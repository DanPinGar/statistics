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PROJECTS\statistics\data\"/>
    </mc:Choice>
  </mc:AlternateContent>
  <xr:revisionPtr revIDLastSave="0" documentId="13_ncr:1_{222AD1CC-7A24-4982-9B81-54214796C1A4}"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<sst xmlns="http://schemas.openxmlformats.org/spreadsheetml/2006/main" count="3751" uniqueCount="2312">
  <si>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</si>
  <si>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</si>
  <si>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</si>
  <si>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</si>
  <si>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</si>
  <si>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</si>
  <si>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</si>
  <si>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</si>
  <si>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</si>
  <si>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</si>
  <si>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</si>
  <si>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</si>
  <si>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</si>
  <si>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</si>
  <si>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</si>
  <si>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</si>
  <si>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</si>
  <si>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</si>
  <si>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</si>
  <si>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</si>
  <si>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</si>
  <si>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</si>
  <si>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</si>
  <si>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</si>
  <si>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</si>
  <si>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</si>
  <si>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</si>
  <si>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</si>
  <si>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</si>
  <si>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</si>
  <si>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</si>
  <si>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</si>
  <si>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</si>
  <si>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</si>
  <si>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</si>
  <si>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</si>
  <si>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</si>
  <si>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</si>
  <si>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</si>
  <si>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</si>
  <si>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</si>
  <si>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</si>
  <si>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</si>
  <si>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</si>
  <si>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</si>
  <si>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</si>
  <si>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</si>
  <si>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</si>
  <si>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</si>
  <si>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</si>
  <si>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</si>
  <si>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</si>
  <si>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</si>
  <si>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</si>
  <si>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</si>
  <si>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</si>
  <si>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</si>
  <si>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</si>
  <si>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</si>
  <si>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</si>
  <si>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</si>
  <si>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</si>
  <si>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</si>
  <si>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</si>
  <si>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</si>
  <si>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</si>
  <si>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</si>
  <si>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</si>
  <si>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</si>
  <si>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</si>
  <si>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</si>
  <si>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</si>
  <si>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</si>
  <si>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</si>
  <si>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</si>
  <si>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</si>
  <si>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</si>
  <si>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</si>
  <si>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</si>
  <si>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</si>
  <si>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</si>
  <si>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</si>
  <si>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</si>
  <si>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</si>
  <si>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</si>
  <si>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</si>
  <si>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</si>
  <si>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</si>
  <si>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</si>
  <si>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</si>
  <si>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</si>
  <si>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</si>
  <si>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</si>
  <si>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</si>
  <si>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</si>
  <si>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</si>
  <si>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</si>
  <si>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</si>
  <si>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</si>
  <si>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</si>
  <si>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</si>
  <si>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</si>
  <si>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</si>
  <si>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</si>
  <si>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</si>
  <si>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</si>
  <si>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</si>
  <si>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</si>
  <si>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</si>
  <si>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</si>
  <si>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</si>
  <si>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</si>
  <si>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</si>
  <si>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</si>
  <si>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</si>
  <si>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</si>
  <si>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</si>
  <si>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</si>
  <si>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</si>
  <si>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</si>
  <si>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</si>
  <si>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</si>
  <si>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</si>
  <si>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</si>
  <si>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</si>
  <si>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</si>
  <si>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</si>
  <si>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</si>
  <si>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</si>
  <si>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</si>
  <si>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</si>
  <si>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</si>
  <si>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</si>
  <si>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</si>
  <si>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</si>
  <si>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</si>
  <si>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</si>
  <si>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</si>
  <si>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</si>
  <si>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</si>
  <si>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</si>
  <si>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</si>
  <si>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</si>
  <si>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</si>
  <si>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</si>
  <si>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</si>
  <si>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</si>
  <si>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</si>
  <si>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</si>
  <si>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</si>
  <si>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</si>
  <si>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</si>
  <si>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</si>
  <si>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</si>
  <si>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</si>
  <si>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</si>
  <si>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</si>
  <si>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</si>
  <si>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</si>
  <si>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</si>
  <si>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</si>
  <si>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</si>
  <si>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</si>
  <si>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</si>
  <si>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</si>
  <si>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</si>
  <si>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</si>
  <si>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</si>
  <si>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</si>
  <si>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</si>
  <si>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</si>
  <si>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</si>
  <si>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</si>
  <si>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</si>
  <si>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</si>
  <si>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</si>
  <si>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</si>
  <si>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</si>
  <si>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</si>
  <si>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</si>
  <si>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</si>
  <si>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</si>
  <si>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</si>
  <si>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</si>
  <si>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</si>
  <si>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</si>
  <si>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</si>
  <si>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</si>
  <si>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</si>
  <si>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</si>
  <si>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</si>
  <si>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</si>
  <si>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</si>
  <si>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</si>
  <si>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</si>
  <si>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</si>
  <si>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</si>
  <si>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</si>
  <si>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</si>
  <si>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</si>
  <si>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</si>
  <si>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</si>
  <si>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</si>
  <si>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</si>
  <si>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</si>
  <si>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</si>
  <si>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</si>
  <si>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</si>
  <si>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</si>
  <si>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</si>
  <si>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</si>
  <si>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</si>
  <si>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</si>
  <si>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</si>
  <si>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</si>
  <si>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</si>
  <si>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</si>
  <si>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</si>
  <si>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</si>
  <si>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</si>
  <si>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</si>
  <si>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</si>
  <si>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</si>
  <si>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</si>
  <si>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</si>
  <si>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</si>
  <si>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</si>
  <si>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</si>
  <si>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</si>
  <si>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</si>
  <si>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</si>
  <si>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</si>
  <si>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</si>
  <si>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</si>
  <si>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</si>
  <si>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</si>
  <si>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</si>
  <si>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</si>
  <si>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</si>
  <si>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</si>
  <si>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</si>
  <si>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</si>
  <si>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</si>
  <si>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</si>
  <si>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</si>
  <si>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</si>
  <si>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</si>
  <si>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</si>
  <si>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</si>
  <si>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</si>
  <si>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</si>
  <si>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</si>
  <si>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</si>
  <si>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</si>
  <si>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</si>
  <si>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</si>
  <si>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</si>
  <si>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</si>
  <si>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</si>
  <si>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</si>
  <si>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</si>
  <si>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</si>
  <si>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</si>
  <si>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</si>
  <si>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</si>
  <si>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</si>
  <si>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</si>
  <si>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</si>
  <si>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</si>
  <si>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</si>
  <si>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</si>
  <si>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</si>
  <si>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</si>
  <si>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</si>
  <si>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</si>
  <si>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</si>
  <si>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</si>
  <si>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</si>
  <si>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</si>
  <si>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</si>
  <si>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</si>
  <si>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</si>
  <si>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</si>
  <si>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</si>
  <si>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</si>
  <si>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</si>
  <si>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</si>
  <si>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</si>
  <si>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</si>
  <si>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</si>
  <si>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</si>
  <si>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</si>
  <si>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</si>
  <si>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</si>
  <si>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</si>
  <si>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</si>
  <si>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</si>
  <si>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</si>
  <si>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</si>
  <si>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</si>
  <si>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</si>
  <si>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</si>
  <si>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</si>
  <si>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</si>
  <si>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</si>
  <si>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</si>
  <si>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</si>
  <si>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</si>
  <si>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</si>
  <si>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</si>
  <si>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</si>
  <si>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</si>
  <si>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</si>
  <si>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</si>
  <si>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</si>
  <si>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</si>
  <si>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</si>
  <si>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</si>
  <si>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</si>
  <si>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</si>
  <si>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</si>
  <si>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</si>
  <si>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</si>
  <si>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</si>
  <si>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</si>
  <si>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</si>
  <si>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</si>
  <si>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</si>
  <si>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</si>
  <si>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</si>
  <si>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</si>
  <si>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</si>
  <si>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</si>
  <si>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</si>
  <si>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</si>
  <si>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</si>
  <si>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</si>
  <si>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</si>
  <si>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</si>
  <si>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</si>
  <si>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</si>
  <si>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</si>
  <si>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</si>
  <si>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</si>
  <si>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</si>
  <si>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</si>
  <si>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</si>
  <si>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</si>
  <si>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</si>
  <si>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</si>
  <si>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</si>
  <si>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</si>
  <si>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</si>
  <si>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</si>
  <si>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</si>
  <si>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</si>
  <si>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</si>
  <si>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</si>
  <si>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</si>
  <si>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</si>
  <si>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</si>
  <si>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</si>
  <si>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</si>
  <si>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</si>
  <si>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</si>
  <si>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</si>
  <si>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</si>
  <si>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</si>
  <si>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</si>
  <si>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</si>
  <si>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</si>
  <si>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</si>
  <si>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</si>
  <si>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</si>
  <si>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</si>
  <si>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</si>
  <si>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</si>
  <si>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</si>
  <si>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</si>
  <si>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</si>
  <si>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</si>
  <si>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</si>
  <si>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</si>
  <si>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</si>
  <si>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</si>
  <si>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</si>
  <si>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</si>
  <si>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</si>
  <si>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</si>
  <si>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</si>
  <si>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</si>
  <si>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</si>
  <si>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</si>
  <si>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</si>
  <si>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</si>
  <si>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</si>
  <si>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</si>
  <si>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</si>
  <si>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</si>
  <si>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</si>
  <si>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</si>
  <si>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</si>
  <si>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</si>
  <si>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</si>
  <si>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</si>
  <si>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</si>
  <si>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</si>
  <si>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</si>
  <si>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</si>
  <si>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</si>
  <si>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</si>
  <si>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</si>
  <si>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</si>
  <si>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</si>
  <si>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</si>
  <si>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</si>
  <si>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</si>
  <si>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</si>
  <si>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</si>
  <si>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</si>
  <si>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</si>
  <si>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</si>
  <si>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</si>
  <si>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</si>
  <si>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</si>
  <si>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</si>
  <si>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</si>
  <si>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</si>
  <si>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</si>
  <si>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</si>
  <si>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</si>
  <si>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</si>
  <si>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</si>
  <si>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</si>
  <si>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</si>
  <si>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</si>
  <si>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</si>
  <si>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</si>
  <si>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</si>
  <si>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</si>
  <si>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</si>
  <si>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</si>
  <si>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</si>
  <si>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</si>
  <si>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</si>
  <si>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</si>
  <si>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</si>
  <si>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</si>
  <si>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</si>
  <si>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</si>
  <si>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</si>
  <si>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</si>
  <si>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</si>
  <si>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</si>
  <si>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</si>
  <si>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</si>
  <si>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</si>
  <si>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</si>
  <si>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</si>
  <si>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</si>
  <si>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</si>
  <si>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</si>
  <si>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</si>
  <si>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</si>
  <si>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</si>
  <si>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</si>
  <si>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</si>
  <si>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</si>
  <si>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</si>
  <si>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</si>
  <si>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</si>
  <si>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</si>
  <si>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</si>
  <si>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</si>
  <si>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</si>
  <si>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</si>
  <si>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</si>
  <si>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</si>
  <si>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</si>
  <si>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</si>
  <si>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</si>
  <si>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</si>
  <si>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</si>
  <si>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</si>
  <si>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</si>
  <si>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</si>
  <si>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</si>
  <si>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</si>
  <si>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</si>
  <si>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</si>
  <si>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</si>
  <si>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</si>
  <si>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</si>
  <si>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</si>
  <si>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</si>
  <si>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</si>
  <si>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</si>
  <si>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</si>
  <si>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</si>
  <si>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</si>
  <si>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</si>
  <si>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</si>
  <si>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</si>
  <si>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</si>
  <si>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</si>
  <si>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</si>
  <si>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</si>
  <si>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</si>
  <si>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</si>
  <si>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</si>
  <si>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</si>
  <si>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</si>
  <si>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</si>
  <si>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</si>
  <si>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</si>
  <si>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</si>
  <si>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</si>
  <si>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</si>
  <si>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</si>
  <si>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</si>
  <si>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</si>
  <si>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</si>
  <si>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</si>
  <si>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</si>
  <si>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</si>
  <si>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</si>
  <si>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</si>
  <si>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</si>
  <si>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</si>
  <si>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</si>
  <si>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</si>
  <si>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</si>
  <si>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</si>
  <si>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</si>
  <si>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</si>
  <si>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</si>
  <si>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</si>
  <si>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</si>
  <si>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</si>
  <si>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</si>
  <si>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</si>
  <si>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</si>
  <si>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</si>
  <si>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</si>
  <si>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</si>
  <si>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</si>
  <si>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</si>
  <si>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</si>
  <si>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</si>
  <si>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</si>
  <si>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</si>
  <si>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</si>
  <si>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</si>
  <si>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</si>
  <si>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</si>
  <si>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</si>
  <si>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</si>
  <si>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</si>
  <si>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</si>
  <si>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</si>
  <si>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</si>
  <si>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</si>
  <si>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</si>
  <si>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</si>
  <si>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</si>
  <si>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</si>
  <si>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</si>
  <si>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</si>
  <si>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</si>
  <si>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</si>
  <si>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</si>
  <si>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</si>
  <si>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</si>
  <si>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</si>
  <si>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</si>
  <si>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</si>
  <si>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</si>
  <si>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</si>
  <si>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</si>
  <si>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</si>
  <si>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</si>
  <si>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</si>
  <si>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</si>
  <si>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</si>
  <si>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</si>
  <si>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</si>
  <si>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</si>
  <si>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</si>
  <si>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</si>
  <si>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</si>
  <si>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</si>
  <si>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</si>
  <si>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</si>
  <si>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</si>
  <si>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</si>
  <si>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</si>
  <si>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</si>
  <si>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</si>
  <si>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</si>
  <si>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</si>
  <si>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</si>
  <si>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</si>
  <si>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</si>
  <si>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</si>
  <si>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</si>
  <si>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</si>
  <si>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</si>
  <si>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</si>
  <si>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</si>
  <si>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</si>
  <si>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</si>
  <si>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</si>
  <si>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</si>
  <si>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</si>
  <si>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</si>
  <si>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</si>
  <si>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</si>
  <si>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</si>
  <si>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</si>
  <si>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</si>
  <si>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</si>
  <si>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</si>
  <si>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</si>
  <si>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</si>
  <si>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</si>
  <si>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</si>
  <si>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</si>
  <si>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</si>
  <si>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</si>
  <si>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</si>
  <si>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</si>
  <si>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</si>
  <si>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</si>
  <si>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</si>
  <si>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</si>
  <si>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</si>
  <si>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</si>
  <si>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</si>
  <si>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</si>
  <si>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</si>
  <si>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</si>
  <si>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</si>
  <si>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</si>
  <si>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</si>
  <si>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</si>
  <si>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</si>
  <si>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</si>
  <si>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</si>
  <si>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</si>
  <si>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</si>
  <si>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</si>
  <si>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</si>
  <si>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</si>
  <si>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</si>
  <si>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</si>
  <si>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</si>
  <si>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</si>
  <si>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</si>
  <si>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</si>
  <si>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</si>
  <si>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</si>
  <si>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</si>
  <si>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</si>
  <si>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</si>
  <si>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</si>
  <si>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</si>
  <si>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</si>
  <si>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</si>
  <si>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</si>
  <si>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</si>
  <si>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</si>
  <si>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</si>
  <si>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</si>
  <si>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</si>
  <si>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</si>
  <si>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</si>
  <si>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</si>
  <si>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</si>
  <si>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</si>
  <si>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</si>
  <si>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</si>
  <si>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</si>
  <si>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</si>
  <si>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</si>
  <si>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</si>
  <si>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</si>
  <si>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</si>
  <si>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</si>
  <si>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</si>
  <si>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</si>
  <si>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</si>
  <si>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</si>
  <si>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</si>
  <si>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</si>
  <si>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</si>
  <si>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</si>
  <si>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</si>
  <si>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</si>
  <si>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</si>
  <si>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</si>
  <si>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</si>
  <si>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</si>
  <si>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</si>
  <si>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</si>
  <si>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</si>
  <si>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</si>
  <si>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</si>
  <si>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</si>
  <si>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</si>
  <si>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</si>
  <si>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</si>
  <si>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</si>
  <si>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</si>
  <si>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</si>
  <si>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</si>
  <si>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</si>
  <si>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</si>
  <si>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</si>
  <si>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</si>
  <si>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</si>
  <si>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</si>
  <si>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</si>
  <si>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</si>
  <si>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</si>
  <si>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</si>
  <si>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</si>
  <si>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</si>
  <si>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</si>
  <si>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</si>
  <si>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</si>
  <si>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</si>
  <si>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</si>
  <si>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</si>
  <si>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</si>
  <si>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</si>
  <si>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</si>
  <si>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</si>
  <si>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</si>
  <si>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</si>
  <si>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</si>
  <si>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</si>
  <si>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</si>
  <si>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</si>
  <si>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</si>
  <si>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</si>
  <si>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</si>
  <si>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</si>
  <si>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</si>
  <si>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</si>
  <si>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</si>
  <si>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</si>
  <si>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</si>
  <si>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</si>
  <si>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</si>
  <si>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</si>
  <si>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</si>
  <si>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</si>
  <si>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</si>
  <si>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</si>
  <si>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</si>
  <si>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</si>
  <si>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</si>
  <si>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</si>
  <si>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</si>
  <si>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</si>
  <si>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</si>
  <si>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</si>
  <si>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</si>
  <si>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</si>
  <si>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</si>
  <si>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</si>
  <si>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</si>
  <si>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</si>
  <si>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</si>
  <si>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</si>
  <si>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</si>
  <si>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</si>
  <si>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</si>
  <si>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</si>
  <si>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</si>
  <si>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</si>
  <si>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</si>
  <si>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</si>
  <si>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</si>
  <si>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</si>
  <si>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</si>
  <si>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</si>
  <si>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</si>
  <si>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</si>
  <si>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</si>
  <si>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</si>
  <si>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</si>
  <si>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</si>
  <si>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</si>
  <si>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</si>
  <si>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</si>
  <si>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</si>
  <si>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</si>
  <si>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</si>
  <si>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</si>
  <si>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</si>
  <si>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</si>
  <si>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</si>
  <si>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</si>
  <si>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</si>
  <si>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</si>
  <si>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</si>
  <si>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</si>
  <si>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</si>
  <si>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</si>
  <si>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</si>
  <si>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</si>
  <si>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</si>
  <si>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</si>
  <si>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</si>
  <si>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</si>
  <si>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</si>
  <si>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</si>
  <si>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</si>
  <si>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</si>
  <si>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</si>
  <si>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</si>
  <si>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</si>
  <si>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</si>
  <si>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</si>
  <si>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</si>
  <si>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</si>
  <si>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</si>
  <si>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</si>
  <si>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</si>
  <si>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</si>
  <si>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</si>
  <si>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</si>
  <si>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</si>
  <si>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</si>
  <si>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</si>
  <si>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</si>
  <si>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</si>
  <si>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</si>
  <si>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</si>
  <si>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</si>
  <si>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</si>
  <si>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</si>
  <si>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</si>
  <si>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</si>
  <si>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</si>
  <si>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</si>
  <si>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</si>
  <si>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</si>
  <si>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</si>
  <si>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</si>
  <si>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</si>
  <si>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</si>
  <si>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</si>
  <si>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</si>
  <si>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</si>
  <si>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</si>
  <si>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</si>
  <si>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</si>
  <si>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</si>
  <si>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</si>
  <si>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</si>
  <si>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</si>
  <si>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</si>
  <si>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</si>
  <si>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</si>
  <si>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</si>
  <si>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</si>
  <si>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</si>
  <si>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</si>
  <si>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</si>
  <si>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</si>
  <si>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</si>
  <si>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</si>
  <si>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</si>
  <si>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</si>
  <si>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</si>
  <si>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</si>
  <si>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</si>
  <si>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</si>
  <si>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</si>
  <si>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</si>
  <si>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</si>
  <si>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</si>
  <si>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</si>
  <si>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</si>
  <si>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</si>
  <si>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</si>
  <si>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</si>
  <si>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</si>
  <si>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</si>
  <si>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</si>
  <si>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</si>
  <si>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</si>
  <si>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</si>
  <si>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</si>
  <si>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</si>
  <si>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</si>
  <si>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</si>
  <si>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</si>
  <si>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</si>
  <si>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</si>
  <si>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</si>
  <si>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</si>
  <si>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</si>
  <si>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</si>
  <si>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</si>
  <si>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</si>
  <si>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</si>
  <si>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</si>
  <si>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</si>
  <si>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</si>
  <si>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</si>
  <si>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</si>
  <si>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</si>
  <si>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</si>
  <si>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</si>
  <si>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</si>
  <si>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</si>
  <si>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</si>
  <si>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</si>
  <si>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</si>
  <si>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</si>
  <si>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</si>
  <si>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</si>
  <si>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</si>
  <si>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</si>
  <si>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</si>
  <si>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</si>
  <si>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</si>
  <si>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</si>
  <si>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</si>
  <si>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</si>
  <si>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</si>
  <si>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</si>
  <si>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</si>
  <si>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</si>
  <si>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</si>
  <si>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</si>
  <si>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</si>
  <si>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</si>
  <si>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</si>
  <si>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</si>
  <si>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</si>
  <si>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</si>
  <si>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</si>
  <si>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</si>
  <si>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</si>
  <si>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</si>
  <si>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</si>
  <si>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</si>
  <si>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</si>
  <si>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</si>
  <si>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</si>
  <si>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</si>
  <si>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</si>
  <si>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</si>
  <si>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</si>
  <si>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</si>
  <si>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</si>
  <si>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</si>
  <si>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</si>
  <si>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</si>
  <si>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</si>
  <si>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</si>
  <si>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</si>
  <si>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</si>
  <si>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</si>
  <si>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</si>
  <si>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</si>
  <si>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</si>
  <si>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</si>
  <si>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</si>
  <si>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</si>
  <si>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</si>
  <si>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</si>
  <si>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</si>
  <si>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</si>
  <si>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</si>
  <si>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</si>
  <si>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</si>
  <si>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</si>
  <si>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</si>
  <si>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</si>
  <si>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</si>
  <si>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</si>
  <si>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</si>
  <si>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</si>
  <si>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</si>
  <si>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</si>
  <si>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</si>
  <si>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</si>
  <si>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</si>
  <si>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</si>
  <si>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</si>
  <si>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</si>
  <si>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</si>
  <si>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</si>
  <si>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</si>
  <si>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</si>
  <si>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</si>
  <si>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</si>
  <si>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</si>
  <si>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</si>
  <si>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</si>
  <si>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</si>
  <si>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</si>
  <si>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</si>
  <si>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</si>
  <si>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</si>
  <si>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</si>
  <si>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</si>
  <si>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</si>
  <si>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</si>
  <si>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</si>
  <si>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</si>
  <si>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</si>
  <si>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</si>
  <si>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</si>
  <si>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</si>
  <si>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</si>
  <si>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</si>
  <si>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</si>
  <si>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</si>
  <si>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</si>
  <si>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</si>
  <si>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</si>
  <si>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</si>
  <si>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</si>
  <si>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</si>
  <si>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</si>
  <si>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</si>
  <si>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</si>
  <si>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</si>
  <si>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</si>
  <si>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</si>
  <si>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</si>
  <si>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</si>
  <si>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</si>
  <si>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</si>
  <si>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</si>
  <si>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</si>
  <si>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</si>
  <si>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</si>
  <si>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</si>
  <si>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</si>
  <si>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</si>
  <si>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</si>
  <si>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</si>
  <si>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</si>
  <si>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</si>
  <si>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</si>
  <si>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</si>
  <si>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</si>
  <si>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</si>
  <si>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</si>
  <si>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</si>
  <si>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</si>
  <si>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</si>
  <si>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</si>
  <si>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</si>
  <si>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</si>
  <si>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</si>
  <si>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</si>
  <si>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</si>
  <si>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</si>
  <si>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</si>
  <si>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</si>
  <si>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</si>
  <si>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</si>
  <si>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</si>
  <si>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</si>
  <si>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</si>
  <si>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</si>
  <si>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</si>
  <si>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</si>
  <si>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</si>
  <si>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</si>
  <si>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</si>
  <si>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</si>
  <si>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</si>
  <si>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</si>
  <si>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</si>
  <si>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</si>
  <si>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</si>
  <si>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</si>
  <si>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</si>
  <si>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</si>
  <si>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</si>
  <si>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</si>
  <si>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</si>
  <si>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</si>
  <si>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</si>
  <si>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</si>
  <si>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</si>
  <si>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</si>
  <si>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</si>
  <si>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</si>
  <si>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</si>
  <si>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</si>
  <si>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</si>
  <si>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</si>
  <si>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</si>
  <si>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</si>
  <si>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</si>
  <si>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</si>
  <si>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</si>
  <si>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</si>
  <si>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</si>
  <si>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</si>
  <si>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</si>
  <si>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</si>
  <si>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</si>
  <si>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</si>
  <si>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</si>
  <si>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</si>
  <si>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</si>
  <si>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</si>
  <si>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</si>
  <si>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</si>
  <si>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</si>
  <si>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</si>
  <si>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</si>
  <si>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</si>
  <si>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</si>
  <si>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</si>
  <si>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</si>
  <si>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</si>
  <si>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</si>
  <si>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</si>
  <si>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</si>
  <si>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</si>
  <si>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</si>
  <si>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</si>
  <si>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</si>
  <si>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</si>
  <si>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</si>
  <si>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</si>
  <si>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</si>
  <si>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</si>
  <si>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</si>
  <si>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</si>
  <si>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</si>
  <si>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</si>
  <si>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</si>
  <si>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</si>
  <si>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</si>
  <si>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</si>
  <si>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</si>
  <si>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</si>
  <si>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</si>
  <si>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</si>
  <si>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</si>
  <si>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</si>
  <si>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</si>
  <si>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</si>
  <si>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</si>
  <si>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</si>
  <si>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</si>
  <si>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</si>
  <si>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</si>
  <si>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</si>
  <si>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</si>
  <si>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</si>
  <si>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</si>
  <si>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</si>
  <si>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</si>
  <si>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</si>
  <si>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</si>
  <si>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</si>
  <si>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</si>
  <si>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</si>
  <si>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</si>
  <si>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</si>
  <si>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</si>
  <si>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</si>
  <si>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</si>
  <si>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</si>
  <si>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</si>
  <si>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</si>
  <si>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</si>
  <si>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</si>
  <si>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</si>
  <si>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</si>
  <si>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</si>
  <si>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</si>
  <si>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</si>
  <si>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</si>
  <si>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</si>
  <si>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</si>
  <si>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</si>
  <si>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</si>
  <si>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</si>
  <si>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</si>
  <si>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</si>
  <si>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</si>
  <si>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</si>
  <si>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</si>
  <si>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</si>
  <si>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</si>
  <si>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</si>
  <si>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</si>
  <si>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</si>
  <si>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</si>
  <si>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</si>
  <si>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</si>
  <si>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</si>
  <si>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</si>
  <si>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</si>
  <si>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</si>
  <si>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</si>
  <si>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</si>
  <si>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</si>
  <si>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</si>
  <si>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</si>
  <si>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</si>
  <si>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</si>
  <si>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</si>
  <si>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</si>
  <si>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</si>
  <si>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</si>
  <si>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</si>
  <si>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</si>
  <si>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</si>
  <si>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</si>
  <si>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</si>
  <si>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</si>
  <si>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</si>
  <si>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</si>
  <si>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</si>
  <si>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</si>
  <si>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</si>
  <si>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</si>
  <si>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</si>
  <si>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</si>
  <si>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</si>
  <si>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</si>
  <si>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</si>
  <si>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</si>
  <si>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</si>
  <si>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</si>
  <si>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</si>
  <si>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</si>
  <si>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</si>
  <si>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</si>
  <si>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</si>
  <si>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</si>
  <si>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</si>
  <si>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</si>
  <si>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</si>
  <si>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</si>
  <si>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</si>
  <si>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</si>
  <si>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</si>
  <si>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</si>
  <si>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</si>
  <si>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</si>
  <si>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</si>
  <si>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</si>
  <si>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</si>
  <si>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</si>
  <si>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</si>
  <si>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</si>
  <si>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</si>
  <si>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</si>
  <si>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</si>
  <si>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mecánica, no veo la vegetación</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</si>
  <si>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</si>
  <si>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</si>
  <si>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</si>
  <si>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</si>
  <si>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</si>
  <si>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</si>
  <si>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</si>
  <si>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</si>
  <si>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</si>
  <si>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</si>
  <si>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</si>
  <si>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</si>
  <si>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</si>
  <si>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</si>
  <si>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</si>
  <si>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</si>
  <si>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</si>
  <si>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</si>
  <si>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</si>
  <si>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</si>
  <si>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</si>
  <si>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</si>
  <si>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</si>
  <si>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</si>
  <si>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anclada, no parece 25</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</si>
  <si>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</si>
  <si>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</si>
  <si>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</si>
  <si>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</si>
  <si>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</si>
  <si>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</si>
  <si>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</si>
  <si>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</si>
  <si>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</si>
  <si>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</si>
  <si>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</si>
  <si>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</si>
  <si>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</si>
  <si>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</si>
  <si>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</si>
  <si>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</si>
  <si>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</si>
  <si>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</si>
  <si>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</si>
  <si>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muy extraño no indicación de cirugía</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</si>
  <si>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</si>
  <si>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</si>
  <si>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</si>
  <si>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</si>
  <si>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</si>
  <si>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</si>
  <si>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</si>
  <si>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</si>
  <si>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</si>
  <si>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</si>
  <si>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</si>
  <si>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</si>
  <si>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</si>
  <si>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</si>
  <si>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</si>
  <si>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</si>
  <si>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</si>
  <si>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</si>
  <si>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</si>
  <si>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</si>
  <si>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</si>
  <si>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</si>
  <si>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</si>
  <si>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</si>
  <si>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</si>
  <si>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</si>
  <si>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</si>
  <si>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</si>
  <si>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</si>
  <si>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</si>
  <si>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</si>
  <si>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</si>
  <si>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</si>
  <si>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</si>
  <si>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</si>
  <si>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</si>
  <si>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</si>
  <si>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</si>
  <si>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</si>
  <si>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</si>
  <si>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</si>
  <si>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</si>
  <si>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</si>
  <si>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</si>
  <si>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</si>
  <si>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</si>
  <si>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</si>
  <si>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</si>
  <si>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</si>
  <si>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</si>
  <si>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</si>
  <si>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</si>
  <si>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muy poco móvil</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</si>
  <si>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</si>
  <si>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</si>
  <si>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</si>
  <si>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</si>
  <si>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</si>
  <si>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</si>
  <si>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</si>
  <si>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</si>
  <si>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</si>
  <si>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</si>
  <si>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</si>
  <si>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</si>
  <si>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</si>
  <si>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</si>
  <si>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</si>
  <si>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</si>
  <si>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</si>
  <si>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</si>
  <si>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</si>
  <si>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</si>
  <si>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</si>
  <si>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</si>
  <si>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</si>
  <si>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</si>
  <si>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</si>
  <si>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</si>
  <si>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</si>
  <si>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</si>
  <si>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</si>
  <si>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</si>
  <si>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</si>
  <si>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</si>
  <si>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</si>
  <si>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</si>
  <si>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</si>
  <si>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</si>
  <si>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</si>
  <si>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</si>
  <si>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</si>
  <si>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</si>
  <si>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un poco dificil definirla, solo hay una imagen y es con zoom</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</si>
  <si>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</si>
  <si>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</si>
  <si>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</si>
  <si>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</si>
  <si>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</si>
  <si>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</si>
  <si>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</si>
  <si>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</si>
  <si>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</si>
  <si>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</si>
  <si>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</si>
  <si>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</si>
  <si>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</si>
  <si>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</si>
  <si>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</si>
  <si>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</si>
  <si>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</si>
  <si>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</si>
  <si>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</si>
  <si>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</si>
  <si>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no parece muy embolizable pero muere dos meses después</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</si>
  <si>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</si>
  <si>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</si>
  <si>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</si>
  <si>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</si>
  <si>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</si>
  <si>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</si>
  <si>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hay ecos en dos fechas diferentes, estas son de 2022</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</si>
  <si>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</si>
  <si>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</si>
  <si>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</si>
  <si>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</si>
  <si>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</si>
  <si>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</si>
  <si>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</si>
  <si>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</si>
  <si>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</si>
  <si>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</si>
  <si>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</si>
  <si>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</si>
  <si>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</si>
  <si>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</si>
  <si>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</si>
  <si>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muy difusa, no soy capaz de medirla</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</si>
  <si>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</si>
  <si>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</si>
  <si>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</si>
  <si>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</si>
  <si>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</si>
  <si>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</si>
  <si>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</si>
  <si>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</si>
  <si>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</si>
  <si>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</si>
  <si>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</si>
  <si>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</si>
  <si>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</si>
  <si>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</si>
  <si>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</si>
  <si>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</si>
  <si>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</si>
  <si>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</si>
  <si>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</si>
  <si>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</si>
  <si>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</si>
  <si>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</si>
  <si>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</si>
  <si>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</si>
  <si>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</si>
  <si>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</si>
  <si>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</si>
  <si>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</si>
  <si>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</si>
  <si>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</si>
  <si>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</si>
  <si>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</si>
  <si>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</si>
  <si>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</si>
  <si>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</si>
  <si>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</si>
  <si>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</si>
  <si>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</si>
  <si>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</si>
  <si>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</si>
  <si>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</si>
  <si>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</si>
  <si>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</si>
  <si>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</si>
  <si>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</si>
  <si>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</si>
  <si>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</si>
  <si>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</si>
  <si>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</si>
  <si>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</si>
  <si>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</si>
  <si>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</si>
  <si>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</si>
  <si>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</si>
  <si>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</si>
  <si>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</si>
  <si>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</si>
  <si>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</si>
  <si>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</si>
  <si>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</si>
  <si>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</si>
  <si>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</si>
  <si>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</si>
  <si>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</si>
  <si>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</si>
  <si>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</si>
  <si>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</si>
  <si>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</si>
  <si>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</si>
  <si>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</si>
  <si>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</si>
  <si>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</si>
  <si>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</si>
  <si>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</si>
  <si>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</si>
  <si>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</si>
  <si>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</si>
  <si>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</si>
  <si>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</si>
  <si>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</si>
  <si>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</si>
  <si>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</si>
  <si>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</si>
  <si>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</si>
  <si>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</si>
  <si>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</si>
  <si>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</si>
  <si>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</si>
  <si>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</si>
  <si>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</si>
  <si>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</si>
  <si>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</si>
  <si>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</si>
  <si>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</si>
  <si>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</si>
  <si>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</si>
  <si>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</si>
  <si>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</si>
  <si>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</si>
  <si>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</si>
  <si>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</si>
  <si>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</si>
  <si>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</si>
  <si>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</si>
  <si>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</si>
  <si>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</si>
  <si>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</si>
  <si>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</si>
  <si>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</si>
  <si>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</si>
  <si>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</si>
  <si>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</si>
  <si>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</si>
  <si>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</si>
  <si>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</si>
  <si>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</si>
  <si>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</si>
  <si>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</si>
  <si>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</si>
  <si>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</si>
  <si>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</si>
  <si>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</si>
  <si>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</si>
  <si>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</si>
  <si>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</si>
  <si>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</si>
  <si>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</si>
  <si>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</si>
  <si>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</si>
  <si>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</si>
  <si>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</si>
  <si>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</si>
  <si>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</si>
  <si>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</si>
  <si>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</si>
  <si>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</si>
  <si>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</si>
  <si>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</si>
  <si>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</si>
  <si>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</si>
  <si>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</si>
  <si>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</si>
  <si>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</si>
  <si>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</si>
  <si>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</si>
  <si>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</si>
  <si>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</si>
  <si>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</si>
  <si>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</si>
  <si>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</si>
  <si>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</si>
  <si>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</si>
  <si>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</si>
  <si>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</si>
  <si>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</si>
  <si>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</si>
  <si>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</si>
  <si>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</si>
  <si>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</si>
  <si>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</si>
  <si>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</si>
  <si>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</si>
  <si>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</si>
  <si>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</si>
  <si>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</si>
  <si>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</si>
  <si>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</si>
  <si>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</si>
  <si>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</si>
  <si>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</si>
  <si>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</si>
  <si>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</si>
  <si>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</si>
  <si>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</si>
  <si>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</si>
  <si>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</si>
  <si>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</si>
  <si>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</si>
  <si>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</si>
  <si>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</si>
  <si>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</si>
  <si>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</si>
  <si>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</si>
  <si>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</si>
  <si>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</si>
  <si>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</si>
  <si>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</si>
  <si>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</si>
  <si>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</si>
  <si>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</si>
  <si>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</si>
  <si>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</si>
  <si>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</si>
  <si>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</si>
  <si>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</si>
  <si>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</si>
  <si>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</si>
  <si>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</si>
  <si>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</si>
  <si>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</si>
  <si>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</si>
  <si>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</si>
  <si>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</si>
  <si>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</si>
  <si>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</si>
  <si>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</si>
  <si>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</si>
  <si>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</si>
  <si>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</si>
  <si>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</si>
  <si>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</si>
  <si>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</si>
  <si>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</si>
  <si>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</si>
  <si>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</si>
  <si>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</si>
  <si>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</si>
  <si>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</si>
  <si>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</si>
  <si>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</si>
  <si>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</si>
  <si>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</si>
  <si>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</si>
  <si>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</si>
  <si>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</si>
  <si>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</si>
  <si>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</si>
  <si>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</si>
  <si>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</si>
  <si>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</si>
  <si>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</si>
  <si>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</si>
  <si>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</si>
  <si>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</si>
  <si>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</si>
  <si>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</si>
  <si>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</si>
  <si>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</si>
  <si>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</si>
  <si>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</si>
  <si>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</si>
  <si>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</si>
  <si>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</si>
  <si>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</si>
  <si>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</si>
  <si>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</si>
  <si>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</si>
  <si>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</si>
  <si>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</si>
  <si>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</si>
  <si>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</si>
  <si>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</si>
  <si>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</si>
  <si>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</si>
  <si>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</si>
  <si>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</si>
  <si>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</si>
  <si>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</si>
  <si>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</si>
  <si>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</si>
  <si>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</si>
  <si>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</si>
  <si>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</si>
  <si>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</si>
  <si>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</si>
  <si>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</si>
  <si>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</si>
  <si>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</si>
  <si>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</si>
  <si>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</si>
  <si>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</si>
  <si>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</si>
  <si>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</si>
  <si>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</si>
  <si>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</si>
  <si>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</si>
  <si>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</si>
  <si>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</si>
  <si>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</si>
  <si>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</si>
  <si>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</si>
  <si>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</si>
  <si>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</si>
  <si>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</si>
  <si>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</si>
  <si>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</si>
  <si>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</si>
  <si>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</si>
  <si>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</si>
  <si>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</si>
  <si>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</si>
  <si>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</si>
  <si>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</si>
  <si>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</si>
  <si>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</si>
  <si>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</si>
  <si>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</si>
  <si>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</si>
  <si>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</si>
  <si>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</si>
  <si>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</si>
  <si>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</si>
  <si>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</si>
  <si>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</si>
  <si>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</si>
  <si>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</si>
  <si>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</si>
  <si>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</si>
  <si>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</si>
  <si>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</si>
  <si>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</si>
  <si>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</si>
  <si>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</si>
  <si>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</si>
  <si>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</si>
  <si>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</si>
  <si>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</si>
  <si>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</si>
  <si>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</si>
  <si>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</si>
  <si>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</si>
  <si>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</si>
  <si>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</si>
  <si>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</si>
  <si>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</si>
  <si>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</si>
  <si>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</si>
  <si>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</si>
  <si>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</si>
  <si>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</si>
  <si>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</si>
  <si>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</si>
  <si>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</si>
  <si>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</si>
  <si>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</si>
  <si>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</si>
  <si>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</si>
  <si>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</si>
  <si>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</si>
  <si>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</si>
  <si>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</si>
  <si>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</si>
  <si>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</si>
  <si>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</si>
  <si>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</si>
  <si>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</si>
  <si>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</si>
  <si>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</si>
  <si>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</si>
  <si>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</si>
  <si>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</si>
  <si>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</si>
  <si>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</si>
  <si>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</si>
  <si>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</si>
  <si>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</si>
  <si>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</si>
  <si>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</si>
  <si>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</si>
  <si>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</si>
  <si>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</si>
  <si>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</si>
  <si>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</si>
  <si>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</si>
  <si>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</si>
  <si>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</si>
  <si>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</si>
  <si>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</si>
  <si>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</si>
  <si>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</si>
  <si>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</si>
  <si>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</si>
  <si>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</si>
  <si>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</si>
  <si>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</si>
  <si>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</si>
  <si>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</si>
  <si>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</si>
  <si>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</si>
  <si>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</si>
  <si>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</si>
  <si>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</si>
  <si>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</si>
  <si>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</si>
  <si>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</si>
  <si>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</si>
  <si>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</si>
  <si>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</si>
  <si>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</si>
  <si>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</si>
  <si>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</si>
  <si>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</si>
  <si>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</si>
  <si>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</si>
  <si>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</si>
  <si>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</si>
  <si>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</si>
  <si>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</si>
  <si>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</si>
  <si>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</si>
  <si>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</si>
  <si>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</si>
  <si>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</si>
  <si>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</si>
  <si>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</si>
  <si>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</si>
  <si>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</si>
  <si>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</si>
  <si>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</si>
  <si>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</si>
  <si>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</si>
  <si>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</si>
  <si>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</si>
  <si>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</si>
  <si>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</si>
  <si>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</si>
  <si>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</si>
  <si>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</si>
  <si>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</si>
  <si>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</si>
  <si>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</si>
  <si>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</si>
  <si>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</si>
  <si>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</si>
  <si>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</si>
  <si>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</si>
  <si>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</si>
  <si>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</si>
  <si>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</si>
  <si>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</si>
  <si>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</si>
  <si>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</si>
  <si>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</si>
  <si>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</si>
  <si>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</si>
  <si>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</si>
  <si>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</si>
  <si>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</si>
  <si>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</si>
  <si>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</si>
  <si>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</si>
  <si>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</si>
  <si>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</si>
  <si>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</si>
  <si>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</si>
  <si>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</si>
  <si>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</si>
  <si>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</si>
  <si>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</si>
  <si>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</si>
  <si>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</si>
  <si>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</si>
  <si>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</si>
  <si>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</si>
  <si>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</si>
  <si>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</si>
  <si>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</si>
  <si>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</si>
  <si>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</si>
  <si>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</si>
  <si>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</si>
  <si>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</si>
  <si>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</si>
  <si>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</si>
  <si>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</si>
  <si>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</si>
  <si>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</si>
  <si>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</si>
  <si>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</si>
  <si>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</si>
  <si>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</si>
  <si>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</si>
  <si>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</si>
  <si>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</si>
  <si>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</si>
  <si>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</si>
  <si>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</si>
  <si>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</si>
  <si>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</si>
  <si>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</si>
  <si>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</si>
  <si>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</si>
  <si>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</si>
  <si>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</si>
  <si>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</si>
  <si>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</si>
  <si>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</si>
  <si>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</si>
  <si>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</si>
  <si>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</si>
  <si>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</si>
  <si>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</si>
  <si>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</si>
  <si>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</si>
  <si>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</si>
  <si>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</si>
  <si>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</si>
  <si>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</si>
  <si>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</si>
  <si>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</si>
  <si>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</si>
  <si>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</si>
  <si>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</si>
  <si>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</si>
  <si>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</si>
  <si>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</si>
  <si>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</si>
  <si>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</si>
  <si>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</si>
  <si>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</si>
  <si>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</si>
  <si>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</si>
  <si>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</si>
  <si>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</si>
  <si>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</si>
  <si>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</si>
  <si>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</si>
  <si>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</si>
  <si>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</si>
  <si>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</si>
  <si>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</si>
  <si>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</si>
  <si>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</si>
  <si>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</si>
  <si>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</si>
  <si>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</si>
  <si>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</si>
  <si>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</si>
  <si>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</si>
  <si>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</si>
  <si>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</si>
  <si>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</si>
  <si>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</si>
  <si>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</si>
  <si>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</si>
  <si>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</si>
  <si>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</si>
  <si>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</si>
  <si>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</si>
  <si>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</si>
  <si>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</si>
  <si>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</si>
  <si>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</si>
  <si>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</si>
  <si>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</si>
  <si>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</si>
  <si>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</si>
  <si>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</si>
  <si>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</si>
  <si>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</si>
  <si>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</si>
  <si>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</si>
  <si>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</si>
  <si>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</si>
  <si>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</si>
  <si>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</si>
  <si>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</si>
  <si>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</si>
  <si>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</si>
  <si>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</si>
  <si>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</si>
  <si>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Parece que hay más de una en la mitral, pequeñas, no se ven muy bien</t>
  </si>
  <si>
    <t>No veo la de la aórtica y parece más grande</t>
  </si>
  <si>
    <t>Muy pequeña</t>
  </si>
  <si>
    <t xml:space="preserve">Muy pequeña y cuesta bastante identificarla </t>
  </si>
  <si>
    <t>dos muy pequeñas en el borde de los velos</t>
  </si>
  <si>
    <t>1226645_8</t>
  </si>
  <si>
    <t>2571256_24</t>
  </si>
  <si>
    <t>A9X7RUCS</t>
  </si>
  <si>
    <t>2574432_55</t>
  </si>
  <si>
    <t>2638996_1</t>
  </si>
  <si>
    <t>2718947_2</t>
  </si>
  <si>
    <t>1734885_1</t>
  </si>
  <si>
    <t>131977_3</t>
  </si>
  <si>
    <t>1758093_40</t>
  </si>
  <si>
    <t>2419082_2</t>
  </si>
  <si>
    <t>2307720_2</t>
  </si>
  <si>
    <t>1855739_3</t>
  </si>
  <si>
    <t>2454406_5</t>
  </si>
  <si>
    <t>1572014_2</t>
  </si>
  <si>
    <t>2400470_3</t>
  </si>
  <si>
    <t>819229_1</t>
  </si>
  <si>
    <t>2534956_1</t>
  </si>
  <si>
    <t>2529312_1</t>
  </si>
  <si>
    <t>562464_11</t>
  </si>
  <si>
    <t>2739127_11</t>
  </si>
  <si>
    <t>1370986_1</t>
  </si>
  <si>
    <t>1740014_31</t>
  </si>
  <si>
    <t>219913_19</t>
  </si>
  <si>
    <t>1441420_8</t>
  </si>
  <si>
    <t>2624238_1</t>
  </si>
  <si>
    <t>2059319_1</t>
  </si>
  <si>
    <t>560742_3</t>
  </si>
  <si>
    <t>2599036_3</t>
  </si>
  <si>
    <t>2575725_1</t>
  </si>
  <si>
    <t>2511968_3</t>
  </si>
  <si>
    <t>2075675_1</t>
  </si>
  <si>
    <t>2572887_6</t>
  </si>
  <si>
    <t>2564063_4</t>
  </si>
  <si>
    <t>83631_1</t>
  </si>
  <si>
    <t>1467340_1</t>
  </si>
  <si>
    <t>704042_1</t>
  </si>
  <si>
    <t>489385_1</t>
  </si>
  <si>
    <t>717292_1</t>
  </si>
  <si>
    <t>2715450_1</t>
  </si>
  <si>
    <t>481131_11</t>
  </si>
  <si>
    <t>762372_4</t>
  </si>
  <si>
    <t>1279866_3</t>
  </si>
  <si>
    <t>1288296_29</t>
  </si>
  <si>
    <t>2498702_22</t>
  </si>
  <si>
    <t>261969_5</t>
  </si>
  <si>
    <t>2238250_9</t>
  </si>
  <si>
    <t>1983667_13</t>
  </si>
  <si>
    <t>165368_17</t>
  </si>
  <si>
    <t>HCSC51_35</t>
  </si>
  <si>
    <t>HCSC_52_3</t>
  </si>
  <si>
    <t>HCSC_53_11</t>
  </si>
  <si>
    <t>HCSC_54_3</t>
  </si>
  <si>
    <t>1115222_10</t>
  </si>
  <si>
    <t>2773991_3</t>
  </si>
  <si>
    <t>1000_4</t>
  </si>
  <si>
    <t>1001_2</t>
  </si>
  <si>
    <t>1003_11</t>
  </si>
  <si>
    <t>15521132_4</t>
  </si>
  <si>
    <t>19801477_2</t>
  </si>
  <si>
    <t>21246909_1</t>
  </si>
  <si>
    <t>20600121_22</t>
  </si>
  <si>
    <t>14869633_9</t>
  </si>
  <si>
    <t>11411429_4</t>
  </si>
  <si>
    <t>13100376_14</t>
  </si>
  <si>
    <t>591857_4</t>
  </si>
  <si>
    <t>18883658_10</t>
  </si>
  <si>
    <t>10248043_31</t>
  </si>
  <si>
    <t>141907_1</t>
  </si>
  <si>
    <t>14883570_11</t>
  </si>
  <si>
    <t>10659957_1</t>
  </si>
  <si>
    <t>568081_2</t>
  </si>
  <si>
    <t>19972629_2</t>
  </si>
  <si>
    <t>483418_15</t>
  </si>
  <si>
    <t>15953358_22</t>
  </si>
  <si>
    <t>607886_15</t>
  </si>
  <si>
    <t>567218_17</t>
  </si>
  <si>
    <t>15188846_7</t>
  </si>
  <si>
    <t>HGTPB-24_7</t>
  </si>
  <si>
    <t>330039_13</t>
  </si>
  <si>
    <t>HGTPB-26_16</t>
  </si>
  <si>
    <t>HGTPB-27_15</t>
  </si>
  <si>
    <t>HGTPB-28_7</t>
  </si>
  <si>
    <t>HGTPB-29_40</t>
  </si>
  <si>
    <t>HGTPB-30_1</t>
  </si>
  <si>
    <t>HGTPB-31_REVISADO_4</t>
  </si>
  <si>
    <t>HGTPB-32_REVISADO_32</t>
  </si>
  <si>
    <t>HGTPB-33_REVISADO_10</t>
  </si>
  <si>
    <t>10852546_23</t>
  </si>
  <si>
    <t>HGTPB-35_24</t>
  </si>
  <si>
    <t>HGTPB-36_8</t>
  </si>
  <si>
    <t>HGTPB-37_3</t>
  </si>
  <si>
    <t>HGTPB-38_31</t>
  </si>
  <si>
    <t>HGTPB-39_6</t>
  </si>
  <si>
    <t>HGTPB-40_20</t>
  </si>
  <si>
    <t>HGTPB-41_1</t>
  </si>
  <si>
    <t>HGTPB-42_18</t>
  </si>
  <si>
    <t>HGTPB-43_1</t>
  </si>
  <si>
    <t>HGTPB-44_14</t>
  </si>
  <si>
    <t>HGTPB-45_29</t>
  </si>
  <si>
    <t>570696_31</t>
  </si>
  <si>
    <t>HGTPB-47_11</t>
  </si>
  <si>
    <t>HGTPB-48_31</t>
  </si>
  <si>
    <t>HGTPB-49_29</t>
  </si>
  <si>
    <t>HGTPB-51_5</t>
  </si>
  <si>
    <t>HGTPB-52_3</t>
  </si>
  <si>
    <t>HGTPB-53_25</t>
  </si>
  <si>
    <t>HGTPB-54_1</t>
  </si>
  <si>
    <t>HGTPB-55_10</t>
  </si>
  <si>
    <t>HGTPB-56_13</t>
  </si>
  <si>
    <t>HGTPB-57_16</t>
  </si>
  <si>
    <t>HGTPB-58_31</t>
  </si>
  <si>
    <t>2458671_23</t>
  </si>
  <si>
    <t>2159300_39</t>
  </si>
  <si>
    <t>2740919_14</t>
  </si>
  <si>
    <t>2702175_12</t>
  </si>
  <si>
    <t>2228902_16</t>
  </si>
  <si>
    <t>2488582_1</t>
  </si>
  <si>
    <t>2096816_27</t>
  </si>
  <si>
    <t>2427767_18</t>
  </si>
  <si>
    <t>2107639_5</t>
  </si>
  <si>
    <t>2243457_20</t>
  </si>
  <si>
    <t>2183094_47</t>
  </si>
  <si>
    <t>2288670_58</t>
  </si>
  <si>
    <t>2357806_12</t>
  </si>
  <si>
    <t>2216498_7</t>
  </si>
  <si>
    <t>2290594_31</t>
  </si>
  <si>
    <t>2233210_29</t>
  </si>
  <si>
    <t>2246482_38</t>
  </si>
  <si>
    <t>2064940_7</t>
  </si>
  <si>
    <t>2029578_24</t>
  </si>
  <si>
    <t>2049922_31</t>
  </si>
  <si>
    <t>2289489_29</t>
  </si>
  <si>
    <t>2359559_2</t>
  </si>
  <si>
    <t>2486399_5</t>
  </si>
  <si>
    <t>2174585_17</t>
  </si>
  <si>
    <t>2625910_37</t>
  </si>
  <si>
    <t>2262005_42</t>
  </si>
  <si>
    <t>2008977_28</t>
  </si>
  <si>
    <t>2396753_3</t>
  </si>
  <si>
    <t>2314368_15</t>
  </si>
  <si>
    <t>HULAL30IDModify_12</t>
  </si>
  <si>
    <t>2279866_3</t>
  </si>
  <si>
    <t>2410587_8</t>
  </si>
  <si>
    <t>2607295_4</t>
  </si>
  <si>
    <t>2344333_29</t>
  </si>
  <si>
    <t>2114679_28</t>
  </si>
  <si>
    <t>2102218_24</t>
  </si>
  <si>
    <t>2123606_24</t>
  </si>
  <si>
    <t>2528912_29</t>
  </si>
  <si>
    <t>2088688_27</t>
  </si>
  <si>
    <t>2731223_28</t>
  </si>
  <si>
    <t>2673186_10</t>
  </si>
  <si>
    <t>2273853_7</t>
  </si>
  <si>
    <t>2182871_21</t>
  </si>
  <si>
    <t>2119377_12</t>
  </si>
  <si>
    <t>2230647_29</t>
  </si>
  <si>
    <t>2321995_42</t>
  </si>
  <si>
    <t>2053180_24</t>
  </si>
  <si>
    <t>2168436_31</t>
  </si>
  <si>
    <t>2765503_35</t>
  </si>
  <si>
    <t>2607532_30</t>
  </si>
  <si>
    <t>2854623_9</t>
  </si>
  <si>
    <t>2642759_1</t>
  </si>
  <si>
    <t>2062611_42</t>
  </si>
  <si>
    <t>2223317_22</t>
  </si>
  <si>
    <t>2313159_14</t>
  </si>
  <si>
    <t>2079248_1</t>
  </si>
  <si>
    <t>2065522_16</t>
  </si>
  <si>
    <t>2431691_43</t>
  </si>
  <si>
    <t>2232469_14</t>
  </si>
  <si>
    <t>2403137_11</t>
  </si>
  <si>
    <t>2644334_1</t>
  </si>
  <si>
    <t>2001777_32</t>
  </si>
  <si>
    <t>2269616_26</t>
  </si>
  <si>
    <t>2122392_50</t>
  </si>
  <si>
    <t>2358928_1</t>
  </si>
  <si>
    <t>2617461_4</t>
  </si>
  <si>
    <t>2596955_15</t>
  </si>
  <si>
    <t>2119459_11</t>
  </si>
  <si>
    <t>2183532_43</t>
  </si>
  <si>
    <t>2322665_1</t>
  </si>
  <si>
    <t>2239374_4</t>
  </si>
  <si>
    <t>2139928_1</t>
  </si>
  <si>
    <t>2507989_7</t>
  </si>
  <si>
    <t>1994059_8</t>
  </si>
  <si>
    <t>2298922_8</t>
  </si>
  <si>
    <t>2288822_11</t>
  </si>
  <si>
    <t>2184812_1</t>
  </si>
  <si>
    <t>27187817_8</t>
  </si>
  <si>
    <t>3101013_13</t>
  </si>
  <si>
    <t>3299923_24</t>
  </si>
  <si>
    <t>3100013_1</t>
  </si>
  <si>
    <t>19710823660_15</t>
  </si>
  <si>
    <t>19531219115_22</t>
  </si>
  <si>
    <t>19550823854_12</t>
  </si>
  <si>
    <t>19670725985_8</t>
  </si>
  <si>
    <t>19460827885_7</t>
  </si>
  <si>
    <t>1354354214_11</t>
  </si>
  <si>
    <t>1096714736_8</t>
  </si>
  <si>
    <t>1531305452_4</t>
  </si>
  <si>
    <t>1317770056_4</t>
  </si>
  <si>
    <t>1612054518_2</t>
  </si>
  <si>
    <t>1110296554_5</t>
  </si>
  <si>
    <t>3389194_10</t>
  </si>
  <si>
    <t>1553799146_4</t>
  </si>
  <si>
    <t>1531867547_12</t>
  </si>
  <si>
    <t>1316287269_21</t>
  </si>
  <si>
    <t>1553400941_6</t>
  </si>
  <si>
    <t>1597028107_32</t>
  </si>
  <si>
    <t>1447021445_15</t>
  </si>
  <si>
    <t>1167554139_2</t>
  </si>
  <si>
    <t>5067841_34</t>
  </si>
  <si>
    <t>1374092603_4</t>
  </si>
  <si>
    <t>878538_17</t>
  </si>
  <si>
    <t>5436085_20</t>
  </si>
  <si>
    <t>1145968508_6</t>
  </si>
  <si>
    <t>1553251195_7</t>
  </si>
  <si>
    <t>1244701976_10</t>
  </si>
  <si>
    <t>1491110369_3</t>
  </si>
  <si>
    <t>1849532241_15</t>
  </si>
  <si>
    <t>1144938688_24</t>
  </si>
  <si>
    <t>1513141493_11</t>
  </si>
  <si>
    <t>1389102240_8</t>
  </si>
  <si>
    <t>1576287079_10</t>
  </si>
  <si>
    <t>1437929717_5</t>
  </si>
  <si>
    <t>1266670759_3</t>
  </si>
  <si>
    <t>1784132114_3</t>
  </si>
  <si>
    <t>1025819254_6</t>
  </si>
  <si>
    <t>2039537457_7</t>
  </si>
  <si>
    <t>1553813900_7</t>
  </si>
  <si>
    <t>HUPHM_35422_4</t>
  </si>
  <si>
    <t>HUPHM_37333_7</t>
  </si>
  <si>
    <t>HUPHM_38434_12</t>
  </si>
  <si>
    <t>HUPHM_39493_3</t>
  </si>
  <si>
    <t>HUPHM_40404_18</t>
  </si>
  <si>
    <t>HUPHM_41421_14</t>
  </si>
  <si>
    <t>HUPHM_42221_5</t>
  </si>
  <si>
    <t>HUPHM_43321_10</t>
  </si>
  <si>
    <t>HUPHM_44121_27</t>
  </si>
  <si>
    <t>HUPHM_45525_14</t>
  </si>
  <si>
    <t>HUPHM_46265_3</t>
  </si>
  <si>
    <t>HUPHM_47167_9</t>
  </si>
  <si>
    <t>HUPHM_48228_12</t>
  </si>
  <si>
    <t>HUPHM_49119_7</t>
  </si>
  <si>
    <t>HUPHM_50055_1</t>
  </si>
  <si>
    <t>PH 591-45_10</t>
  </si>
  <si>
    <t>SC 241-8_6</t>
  </si>
  <si>
    <t>SC 235-8_1</t>
  </si>
  <si>
    <t>PH 536-1_11</t>
  </si>
  <si>
    <t>PH 511-8_8</t>
  </si>
  <si>
    <t>PH 662-64_8</t>
  </si>
  <si>
    <t>PH 658-56_7</t>
  </si>
  <si>
    <t>PH 368-49_12</t>
  </si>
  <si>
    <t>PH 473-17_1</t>
  </si>
  <si>
    <t>PH 483-2_2</t>
  </si>
  <si>
    <t>PH 668-30_6</t>
  </si>
  <si>
    <t>AN0197572833_2</t>
  </si>
  <si>
    <t>PH 600-65_6</t>
  </si>
  <si>
    <t>PH 482-53_14</t>
  </si>
  <si>
    <t>PH 484-45_5</t>
  </si>
  <si>
    <t>PH 395-62_3</t>
  </si>
  <si>
    <t>PH 394-23_2</t>
  </si>
  <si>
    <t>PH 387-60_5</t>
  </si>
  <si>
    <t>PH 796-17_12</t>
  </si>
  <si>
    <t>EPIQ4315_1</t>
  </si>
  <si>
    <t>EPIQ3537_8</t>
  </si>
  <si>
    <t>EPIZ3512_9</t>
  </si>
  <si>
    <t>SC 372-36_29</t>
  </si>
  <si>
    <t>SC 394-28_6</t>
  </si>
  <si>
    <t>AN0188357732_2</t>
  </si>
  <si>
    <t>AN0201948341_8</t>
  </si>
  <si>
    <t>EPIQ62_1</t>
  </si>
  <si>
    <t>SC 352-3_59</t>
  </si>
  <si>
    <t>PH 697-15_1</t>
  </si>
  <si>
    <t>PH 684-6_5</t>
  </si>
  <si>
    <t>PH 683-20_21</t>
  </si>
  <si>
    <t>PH 676-20_11</t>
  </si>
  <si>
    <t>PH 671-16_20</t>
  </si>
  <si>
    <t>SC 283-38_1</t>
  </si>
  <si>
    <t>PH 667-19_11</t>
  </si>
  <si>
    <t>EPIQ 301-21_2</t>
  </si>
  <si>
    <t>EPIQ 246-22_2</t>
  </si>
  <si>
    <t>EPIQ 243-15_8</t>
  </si>
  <si>
    <t>EPIQ 139-23_4</t>
  </si>
  <si>
    <t>EPIQ 45-5_1</t>
  </si>
  <si>
    <t>EPIQ 27-1_4</t>
  </si>
  <si>
    <t>EPIQ 17-4_10</t>
  </si>
  <si>
    <t>PH 380-4_5</t>
  </si>
  <si>
    <t>224454_1</t>
  </si>
  <si>
    <t>717561_23</t>
  </si>
  <si>
    <t>519696_30</t>
  </si>
  <si>
    <t>636308_6</t>
  </si>
  <si>
    <t>101444_6</t>
  </si>
  <si>
    <t>TRUE</t>
  </si>
  <si>
    <t>FALSE</t>
  </si>
  <si>
    <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</si>
</sst>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6">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2"/>
  <sheetViews>
    <sheetView tabSelected="1" workbookViewId="0">
      <pane xSplit="2" ySplit="1" topLeftCell="P301" activePane="bottomRight" state="frozen"/>
      <selection pane="topRight" activeCell="C1" sqref="C1"/>
      <selection pane="bottomLeft" activeCell="A2" sqref="A2"/>
      <selection pane="bottomRight" activeCell="X1" sqref="X1"/>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7.42578125" style="1"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1645</v>
      </c>
      <c r="D1" s="11" t="s">
        <v>4</v>
      </c>
      <c r="E1" s="11" t="s">
        <v>5</v>
      </c>
      <c r="F1" s="11" t="s">
        <v>6</v>
      </c>
      <c r="G1" s="11" t="s">
        <v>7</v>
      </c>
      <c r="H1" s="11" t="s">
        <v>8</v>
      </c>
      <c r="I1" s="11" t="s">
        <v>9</v>
      </c>
      <c r="J1" s="11" t="s">
        <v>10</v>
      </c>
      <c r="K1" s="11" t="s">
        <v>1652</v>
      </c>
      <c r="L1" s="11" t="s">
        <v>11</v>
      </c>
      <c r="M1" s="11" t="s">
        <v>12</v>
      </c>
      <c r="N1" s="11" t="s">
        <v>13</v>
      </c>
      <c r="O1" s="11" t="s">
        <v>14</v>
      </c>
      <c r="P1" s="11" t="s">
        <v>15</v>
      </c>
      <c r="Q1" s="11" t="s">
        <v>1477</v>
      </c>
      <c r="R1" s="11" t="s">
        <v>16</v>
      </c>
      <c r="S1" s="11" t="s">
        <v>2</v>
      </c>
      <c r="T1" s="11" t="s">
        <v>3</v>
      </c>
      <c r="U1" s="11" t="s">
        <v>1252</v>
      </c>
      <c r="V1" s="11" t="s">
        <v>1253</v>
      </c>
      <c r="W1" s="11" t="s">
        <v>1380</v>
      </c>
      <c r="X1" s="95" t="s">
        <v>2311</v>
      </c>
      <c r="Y1" s="95" t="s">
        <v>1726</v>
      </c>
      <c r="Z1" s="11" t="s">
        <v>17</v>
      </c>
      <c r="AA1" s="12" t="s">
        <v>1381</v>
      </c>
      <c r="AB1" s="1" t="s">
        <v>1261</v>
      </c>
      <c r="AC1" s="88" t="s">
        <v>1916</v>
      </c>
      <c r="AE1" s="57" t="s">
        <v>1835</v>
      </c>
    </row>
    <row r="2" spans="1:331" s="2" customFormat="1" x14ac:dyDescent="0.25">
      <c r="A2" s="2" t="s">
        <v>18</v>
      </c>
      <c r="B2" s="6" t="s">
        <v>19</v>
      </c>
      <c r="C2" s="13" t="s">
        <v>1646</v>
      </c>
      <c r="D2" s="2">
        <v>0</v>
      </c>
      <c r="H2" s="2" t="s">
        <v>20</v>
      </c>
      <c r="I2" s="2" t="s">
        <v>21</v>
      </c>
      <c r="J2" s="2" t="s">
        <v>20</v>
      </c>
      <c r="K2" s="2" t="s">
        <v>20</v>
      </c>
      <c r="L2" s="2">
        <v>1</v>
      </c>
      <c r="M2" s="2" t="s">
        <v>20</v>
      </c>
      <c r="O2" s="2">
        <v>1</v>
      </c>
      <c r="P2" s="2" t="s">
        <v>22</v>
      </c>
      <c r="Q2" s="1" t="s">
        <v>1478</v>
      </c>
      <c r="R2" s="1"/>
      <c r="T2" s="2">
        <v>19</v>
      </c>
      <c r="V2" s="2">
        <v>19</v>
      </c>
      <c r="W2" s="1">
        <v>19</v>
      </c>
      <c r="X2" s="1">
        <v>23</v>
      </c>
      <c r="Y2" s="1" t="s">
        <v>2016</v>
      </c>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1646</v>
      </c>
      <c r="D3" s="30">
        <v>1</v>
      </c>
      <c r="E3" s="30" t="s">
        <v>25</v>
      </c>
      <c r="H3" s="30" t="s">
        <v>26</v>
      </c>
      <c r="I3" s="30" t="s">
        <v>25</v>
      </c>
      <c r="J3" s="30" t="s">
        <v>27</v>
      </c>
      <c r="K3" s="30" t="s">
        <v>25</v>
      </c>
      <c r="L3" s="30">
        <v>0</v>
      </c>
      <c r="O3" s="30">
        <v>0</v>
      </c>
      <c r="Q3" s="1" t="s">
        <v>1479</v>
      </c>
      <c r="R3" s="1"/>
      <c r="S3" s="30">
        <v>7</v>
      </c>
      <c r="U3" s="30">
        <v>10</v>
      </c>
      <c r="W3" s="1">
        <v>7</v>
      </c>
      <c r="X3" s="1">
        <v>12</v>
      </c>
      <c r="Y3" s="1" t="s">
        <v>2017</v>
      </c>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1646</v>
      </c>
      <c r="D4" s="35">
        <v>1</v>
      </c>
      <c r="E4" s="35" t="s">
        <v>30</v>
      </c>
      <c r="H4" s="35" t="s">
        <v>27</v>
      </c>
      <c r="I4" s="35" t="s">
        <v>30</v>
      </c>
      <c r="J4" s="35" t="s">
        <v>31</v>
      </c>
      <c r="K4" s="35" t="s">
        <v>26</v>
      </c>
      <c r="L4" s="35">
        <v>0</v>
      </c>
      <c r="O4" s="35">
        <v>1</v>
      </c>
      <c r="P4" s="35" t="s">
        <v>32</v>
      </c>
      <c r="Q4" s="1" t="s">
        <v>1480</v>
      </c>
      <c r="R4" s="1"/>
      <c r="T4" s="35">
        <v>13</v>
      </c>
      <c r="V4" s="35">
        <v>13</v>
      </c>
      <c r="W4" s="1">
        <v>13</v>
      </c>
      <c r="X4" s="1">
        <v>13</v>
      </c>
      <c r="Y4" s="1" t="s">
        <v>2018</v>
      </c>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1646</v>
      </c>
      <c r="D5" s="35">
        <v>3</v>
      </c>
      <c r="E5" s="35" t="s">
        <v>35</v>
      </c>
      <c r="F5" s="35" t="s">
        <v>35</v>
      </c>
      <c r="G5" s="35" t="s">
        <v>35</v>
      </c>
      <c r="H5" s="35" t="s">
        <v>35</v>
      </c>
      <c r="I5" s="35" t="s">
        <v>35</v>
      </c>
      <c r="J5" s="35" t="s">
        <v>36</v>
      </c>
      <c r="K5" s="35" t="s">
        <v>35</v>
      </c>
      <c r="L5" s="35">
        <v>0</v>
      </c>
      <c r="O5" s="35">
        <v>1</v>
      </c>
      <c r="P5" s="35" t="s">
        <v>36</v>
      </c>
      <c r="Q5" s="1" t="s">
        <v>1481</v>
      </c>
      <c r="R5" s="1"/>
      <c r="S5" s="35">
        <v>30</v>
      </c>
      <c r="U5" s="35">
        <v>28</v>
      </c>
      <c r="W5" s="1">
        <v>30</v>
      </c>
      <c r="X5" s="1">
        <v>18</v>
      </c>
      <c r="Y5" s="1" t="s">
        <v>2019</v>
      </c>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1646</v>
      </c>
      <c r="D6" s="35">
        <v>1</v>
      </c>
      <c r="E6" s="35" t="s">
        <v>39</v>
      </c>
      <c r="H6" s="35" t="s">
        <v>40</v>
      </c>
      <c r="I6" s="35" t="s">
        <v>41</v>
      </c>
      <c r="J6" s="35" t="s">
        <v>42</v>
      </c>
      <c r="K6" s="35" t="s">
        <v>39</v>
      </c>
      <c r="L6" s="35">
        <v>0</v>
      </c>
      <c r="O6" s="35">
        <v>1</v>
      </c>
      <c r="P6" s="35" t="s">
        <v>43</v>
      </c>
      <c r="Q6" s="1" t="s">
        <v>320</v>
      </c>
      <c r="R6" s="1"/>
      <c r="T6" s="35">
        <v>20</v>
      </c>
      <c r="V6" s="35">
        <v>22</v>
      </c>
      <c r="W6" s="1">
        <v>20</v>
      </c>
      <c r="X6" s="1">
        <v>15</v>
      </c>
      <c r="Y6" s="1" t="s">
        <v>2020</v>
      </c>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1646</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v>19</v>
      </c>
      <c r="Y7" s="1" t="s">
        <v>2021</v>
      </c>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1646</v>
      </c>
      <c r="D8" s="30">
        <v>2</v>
      </c>
      <c r="E8" s="30" t="s">
        <v>52</v>
      </c>
      <c r="F8" s="30" t="s">
        <v>52</v>
      </c>
      <c r="H8" s="30" t="s">
        <v>53</v>
      </c>
      <c r="I8" s="30" t="s">
        <v>52</v>
      </c>
      <c r="J8" s="30" t="s">
        <v>53</v>
      </c>
      <c r="K8" s="30" t="s">
        <v>52</v>
      </c>
      <c r="L8" s="30">
        <v>0</v>
      </c>
      <c r="O8" s="30">
        <v>0</v>
      </c>
      <c r="Q8" s="1" t="s">
        <v>472</v>
      </c>
      <c r="R8" s="1"/>
      <c r="T8" s="30">
        <v>9</v>
      </c>
      <c r="V8" s="30">
        <v>8</v>
      </c>
      <c r="W8" s="1">
        <v>9</v>
      </c>
      <c r="X8" s="1">
        <v>9</v>
      </c>
      <c r="Y8" s="1" t="s">
        <v>2022</v>
      </c>
      <c r="Z8" s="30">
        <v>6</v>
      </c>
      <c r="AA8" s="13" t="b">
        <v>1</v>
      </c>
      <c r="AB8" s="1"/>
      <c r="AC8" s="57" t="s">
        <v>1442</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1646</v>
      </c>
      <c r="D9" s="35">
        <v>1</v>
      </c>
      <c r="E9" s="35" t="s">
        <v>56</v>
      </c>
      <c r="H9" s="35" t="s">
        <v>57</v>
      </c>
      <c r="I9" s="35" t="s">
        <v>56</v>
      </c>
      <c r="J9" s="35" t="s">
        <v>57</v>
      </c>
      <c r="K9" s="35" t="s">
        <v>56</v>
      </c>
      <c r="L9" s="35">
        <v>0</v>
      </c>
      <c r="O9" s="35">
        <v>1</v>
      </c>
      <c r="Q9" s="1"/>
      <c r="R9" s="1" t="s">
        <v>58</v>
      </c>
      <c r="S9" s="35">
        <v>20</v>
      </c>
      <c r="U9" s="35">
        <v>20</v>
      </c>
      <c r="W9" s="1">
        <v>20</v>
      </c>
      <c r="X9" s="1">
        <v>14</v>
      </c>
      <c r="Y9" s="1" t="s">
        <v>2023</v>
      </c>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1646</v>
      </c>
      <c r="D10" s="3">
        <v>0</v>
      </c>
      <c r="H10" s="3" t="s">
        <v>61</v>
      </c>
      <c r="I10" s="3" t="s">
        <v>62</v>
      </c>
      <c r="J10" s="3" t="s">
        <v>61</v>
      </c>
      <c r="K10" s="3" t="s">
        <v>869</v>
      </c>
      <c r="L10" s="3">
        <v>1</v>
      </c>
      <c r="M10" s="3" t="s">
        <v>57</v>
      </c>
      <c r="O10" s="3">
        <v>1</v>
      </c>
      <c r="Q10" s="1" t="s">
        <v>1482</v>
      </c>
      <c r="R10" s="1"/>
      <c r="S10" s="3">
        <v>15</v>
      </c>
      <c r="V10" s="3">
        <v>15</v>
      </c>
      <c r="W10" s="1">
        <v>15</v>
      </c>
      <c r="X10" s="1">
        <v>17</v>
      </c>
      <c r="Y10" s="1" t="s">
        <v>2024</v>
      </c>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1646</v>
      </c>
      <c r="D11" s="35">
        <v>2</v>
      </c>
      <c r="E11" s="35" t="s">
        <v>65</v>
      </c>
      <c r="F11" s="35" t="s">
        <v>65</v>
      </c>
      <c r="H11" s="35" t="s">
        <v>66</v>
      </c>
      <c r="I11" s="35" t="s">
        <v>67</v>
      </c>
      <c r="J11" s="35" t="s">
        <v>68</v>
      </c>
      <c r="K11" s="35" t="s">
        <v>66</v>
      </c>
      <c r="L11" s="35">
        <v>0</v>
      </c>
      <c r="O11" s="35">
        <v>1</v>
      </c>
      <c r="P11" s="35" t="s">
        <v>68</v>
      </c>
      <c r="Q11" s="1" t="s">
        <v>1483</v>
      </c>
      <c r="R11" s="1"/>
      <c r="S11" s="35">
        <v>13</v>
      </c>
      <c r="U11" s="35">
        <v>14</v>
      </c>
      <c r="W11" s="1">
        <v>13</v>
      </c>
      <c r="X11" s="1">
        <v>13</v>
      </c>
      <c r="Y11" s="1" t="s">
        <v>2025</v>
      </c>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1646</v>
      </c>
      <c r="D12" s="68">
        <v>1</v>
      </c>
      <c r="E12" s="68" t="s">
        <v>71</v>
      </c>
      <c r="H12" s="68" t="s">
        <v>72</v>
      </c>
      <c r="I12" s="68" t="s">
        <v>73</v>
      </c>
      <c r="J12" s="68" t="s">
        <v>74</v>
      </c>
      <c r="K12" s="68" t="s">
        <v>74</v>
      </c>
      <c r="L12" s="68">
        <v>0</v>
      </c>
      <c r="O12" s="68">
        <v>1</v>
      </c>
      <c r="P12" s="68" t="s">
        <v>75</v>
      </c>
      <c r="Q12" s="1"/>
      <c r="R12" s="1" t="s">
        <v>76</v>
      </c>
      <c r="S12" s="68">
        <v>23</v>
      </c>
      <c r="U12" s="68">
        <v>24</v>
      </c>
      <c r="W12" s="1">
        <v>23</v>
      </c>
      <c r="X12" s="1">
        <v>15</v>
      </c>
      <c r="Y12" s="1" t="s">
        <v>2026</v>
      </c>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1646</v>
      </c>
      <c r="D13" s="30">
        <v>0</v>
      </c>
      <c r="H13" s="30" t="s">
        <v>79</v>
      </c>
      <c r="I13" s="30" t="s">
        <v>80</v>
      </c>
      <c r="J13" s="30" t="s">
        <v>79</v>
      </c>
      <c r="K13" s="30" t="s">
        <v>1653</v>
      </c>
      <c r="L13" s="30">
        <v>1</v>
      </c>
      <c r="M13" s="30" t="s">
        <v>81</v>
      </c>
      <c r="O13" s="30">
        <v>1</v>
      </c>
      <c r="Q13" s="1" t="s">
        <v>1484</v>
      </c>
      <c r="R13" s="1"/>
      <c r="T13" s="30">
        <v>12</v>
      </c>
      <c r="V13" s="30">
        <v>12</v>
      </c>
      <c r="W13" s="1">
        <v>12</v>
      </c>
      <c r="X13" s="1">
        <v>9</v>
      </c>
      <c r="Y13" s="1" t="s">
        <v>2027</v>
      </c>
      <c r="Z13" s="30">
        <v>6</v>
      </c>
      <c r="AA13" s="13" t="b">
        <v>1</v>
      </c>
      <c r="AB13" s="1"/>
      <c r="AC13" s="57" t="s">
        <v>1358</v>
      </c>
      <c r="AD13" s="1"/>
      <c r="AE13" s="57"/>
      <c r="AF13" s="1"/>
      <c r="AG13" s="1"/>
      <c r="AH13" s="1"/>
      <c r="AI13" s="1"/>
      <c r="AJ13" s="1"/>
      <c r="AK13" s="1"/>
      <c r="AL13" s="1"/>
      <c r="AM13" s="1"/>
      <c r="AN13" s="1"/>
      <c r="AO13" s="1"/>
      <c r="AP13" s="1"/>
      <c r="AQ13" s="1"/>
    </row>
    <row r="14" spans="1:331" s="30" customFormat="1" x14ac:dyDescent="0.25">
      <c r="A14" s="30" t="s">
        <v>82</v>
      </c>
      <c r="B14" s="30" t="s">
        <v>83</v>
      </c>
      <c r="C14" s="1" t="s">
        <v>1646</v>
      </c>
      <c r="D14" s="30">
        <v>3</v>
      </c>
      <c r="E14" s="30" t="s">
        <v>84</v>
      </c>
      <c r="F14" s="30" t="s">
        <v>84</v>
      </c>
      <c r="G14" s="30" t="s">
        <v>84</v>
      </c>
      <c r="H14" s="30" t="s">
        <v>85</v>
      </c>
      <c r="I14" s="30" t="s">
        <v>86</v>
      </c>
      <c r="J14" s="30" t="s">
        <v>87</v>
      </c>
      <c r="K14" s="30" t="s">
        <v>147</v>
      </c>
      <c r="L14" s="30">
        <v>0</v>
      </c>
      <c r="O14" s="30">
        <v>0</v>
      </c>
      <c r="Q14" s="1" t="s">
        <v>1485</v>
      </c>
      <c r="R14" s="1"/>
      <c r="T14" s="30">
        <v>5</v>
      </c>
      <c r="V14" s="30">
        <v>13</v>
      </c>
      <c r="W14" s="1">
        <v>5</v>
      </c>
      <c r="X14" s="1">
        <v>10</v>
      </c>
      <c r="Y14" s="1" t="s">
        <v>2028</v>
      </c>
      <c r="Z14" s="30">
        <v>6</v>
      </c>
      <c r="AA14" s="13" t="b">
        <v>1</v>
      </c>
      <c r="AB14" s="1" t="s">
        <v>1897</v>
      </c>
      <c r="AC14" s="57" t="s">
        <v>1267</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1646</v>
      </c>
      <c r="D15" s="35">
        <v>1</v>
      </c>
      <c r="E15" s="35" t="s">
        <v>90</v>
      </c>
      <c r="H15" s="35" t="s">
        <v>91</v>
      </c>
      <c r="I15" s="35" t="s">
        <v>92</v>
      </c>
      <c r="J15" s="35" t="s">
        <v>93</v>
      </c>
      <c r="K15" s="35" t="s">
        <v>90</v>
      </c>
      <c r="L15" s="35">
        <v>0</v>
      </c>
      <c r="O15" s="35">
        <v>1</v>
      </c>
      <c r="P15" s="35" t="s">
        <v>94</v>
      </c>
      <c r="Q15" s="1" t="s">
        <v>1486</v>
      </c>
      <c r="R15" s="1"/>
      <c r="T15" s="35">
        <v>8</v>
      </c>
      <c r="W15" s="1">
        <v>8</v>
      </c>
      <c r="X15" s="1">
        <v>12</v>
      </c>
      <c r="Y15" s="1" t="s">
        <v>2029</v>
      </c>
      <c r="Z15" s="35">
        <v>7</v>
      </c>
      <c r="AA15" s="13" t="b">
        <v>1</v>
      </c>
      <c r="AB15" s="1" t="s">
        <v>1889</v>
      </c>
      <c r="AC15" s="57" t="s">
        <v>1266</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1646</v>
      </c>
      <c r="D16" s="35">
        <v>2</v>
      </c>
      <c r="E16" s="35" t="s">
        <v>62</v>
      </c>
      <c r="F16" s="35" t="s">
        <v>62</v>
      </c>
      <c r="H16" s="35" t="s">
        <v>97</v>
      </c>
      <c r="I16" s="35" t="s">
        <v>98</v>
      </c>
      <c r="J16" s="35" t="s">
        <v>99</v>
      </c>
      <c r="K16" s="35" t="s">
        <v>62</v>
      </c>
      <c r="L16" s="35">
        <v>0</v>
      </c>
      <c r="O16" s="35">
        <v>1</v>
      </c>
      <c r="P16" s="35" t="s">
        <v>100</v>
      </c>
      <c r="Q16" s="1" t="s">
        <v>1487</v>
      </c>
      <c r="R16" s="1"/>
      <c r="S16" s="35">
        <v>15</v>
      </c>
      <c r="V16" s="35">
        <v>16</v>
      </c>
      <c r="W16" s="1">
        <v>15</v>
      </c>
      <c r="X16" s="1">
        <v>10</v>
      </c>
      <c r="Y16" s="1" t="s">
        <v>2030</v>
      </c>
      <c r="Z16" s="35">
        <v>7</v>
      </c>
      <c r="AA16" s="13" t="b">
        <v>1</v>
      </c>
      <c r="AB16" s="1"/>
      <c r="AC16" s="57" t="s">
        <v>1268</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1646</v>
      </c>
      <c r="D17" s="35">
        <v>2</v>
      </c>
      <c r="E17" s="35" t="s">
        <v>103</v>
      </c>
      <c r="F17" s="35" t="s">
        <v>103</v>
      </c>
      <c r="H17" s="35" t="s">
        <v>104</v>
      </c>
      <c r="I17" s="35" t="s">
        <v>103</v>
      </c>
      <c r="J17" s="35" t="s">
        <v>104</v>
      </c>
      <c r="K17" s="35" t="s">
        <v>104</v>
      </c>
      <c r="L17" s="35">
        <v>0</v>
      </c>
      <c r="O17" s="35">
        <v>1</v>
      </c>
      <c r="P17" s="35" t="s">
        <v>105</v>
      </c>
      <c r="Q17" s="1" t="s">
        <v>1488</v>
      </c>
      <c r="R17" s="1"/>
      <c r="S17" s="35">
        <v>11</v>
      </c>
      <c r="U17" s="35">
        <v>14</v>
      </c>
      <c r="W17" s="1">
        <v>11</v>
      </c>
      <c r="X17" s="1">
        <v>8</v>
      </c>
      <c r="Y17" s="1" t="s">
        <v>2031</v>
      </c>
      <c r="Z17" s="35">
        <v>7</v>
      </c>
      <c r="AA17" s="13" t="b">
        <v>1</v>
      </c>
      <c r="AB17" s="1" t="s">
        <v>1898</v>
      </c>
      <c r="AC17" s="57" t="s">
        <v>1446</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1646</v>
      </c>
      <c r="D18" s="30">
        <v>0</v>
      </c>
      <c r="H18" s="30" t="s">
        <v>108</v>
      </c>
      <c r="I18" s="30" t="s">
        <v>109</v>
      </c>
      <c r="J18" s="30" t="s">
        <v>110</v>
      </c>
      <c r="K18" s="30" t="s">
        <v>109</v>
      </c>
      <c r="L18" s="30">
        <v>1</v>
      </c>
      <c r="M18" s="30" t="s">
        <v>111</v>
      </c>
      <c r="O18" s="30">
        <v>1</v>
      </c>
      <c r="Q18" s="1" t="s">
        <v>1489</v>
      </c>
      <c r="R18" s="1"/>
      <c r="T18" s="30">
        <v>14</v>
      </c>
      <c r="V18" s="30">
        <v>15</v>
      </c>
      <c r="W18" s="1">
        <v>14</v>
      </c>
      <c r="X18" s="1">
        <v>16</v>
      </c>
      <c r="Y18" s="1" t="s">
        <v>2032</v>
      </c>
      <c r="Z18" s="30">
        <v>6</v>
      </c>
      <c r="AA18" s="13" t="b">
        <v>1</v>
      </c>
      <c r="AB18" s="1"/>
      <c r="AC18" s="57" t="s">
        <v>1269</v>
      </c>
      <c r="AD18" s="1"/>
      <c r="AE18" s="57"/>
      <c r="AF18" s="1"/>
      <c r="AG18" s="1"/>
      <c r="AH18" s="1"/>
      <c r="AI18" s="1"/>
      <c r="AJ18" s="1"/>
      <c r="AK18" s="1"/>
      <c r="AL18" s="1"/>
      <c r="AM18" s="1"/>
      <c r="AN18" s="1"/>
      <c r="AO18" s="1"/>
      <c r="AP18" s="1"/>
      <c r="AQ18" s="1"/>
    </row>
    <row r="19" spans="1:331" s="2" customFormat="1" x14ac:dyDescent="0.25">
      <c r="A19" s="2" t="s">
        <v>112</v>
      </c>
      <c r="B19" s="6">
        <v>2529312</v>
      </c>
      <c r="C19" s="13" t="s">
        <v>1646</v>
      </c>
      <c r="D19" s="2">
        <v>0</v>
      </c>
      <c r="H19" s="2" t="s">
        <v>113</v>
      </c>
      <c r="I19" s="2" t="s">
        <v>114</v>
      </c>
      <c r="J19" s="2" t="s">
        <v>115</v>
      </c>
      <c r="K19" s="2" t="s">
        <v>114</v>
      </c>
      <c r="L19" s="2">
        <v>2</v>
      </c>
      <c r="M19" s="2" t="s">
        <v>115</v>
      </c>
      <c r="N19" s="2" t="s">
        <v>115</v>
      </c>
      <c r="O19" s="2">
        <v>1</v>
      </c>
      <c r="Q19" s="1" t="s">
        <v>1490</v>
      </c>
      <c r="R19" s="1"/>
      <c r="T19" s="2">
        <v>5</v>
      </c>
      <c r="V19" s="2">
        <v>11</v>
      </c>
      <c r="W19" s="1">
        <v>5</v>
      </c>
      <c r="X19" s="1">
        <v>5</v>
      </c>
      <c r="Y19" s="1" t="s">
        <v>2033</v>
      </c>
      <c r="Z19" s="2">
        <v>2</v>
      </c>
      <c r="AA19" s="13" t="b">
        <v>1</v>
      </c>
      <c r="AB19" s="1" t="s">
        <v>1889</v>
      </c>
      <c r="AC19" s="57" t="s">
        <v>1271</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1646</v>
      </c>
      <c r="D20" s="35">
        <v>2</v>
      </c>
      <c r="E20" s="35" t="s">
        <v>118</v>
      </c>
      <c r="F20" s="35" t="s">
        <v>118</v>
      </c>
      <c r="H20" s="35" t="s">
        <v>118</v>
      </c>
      <c r="I20" s="35" t="s">
        <v>118</v>
      </c>
      <c r="J20" s="35" t="s">
        <v>119</v>
      </c>
      <c r="K20" s="35" t="s">
        <v>118</v>
      </c>
      <c r="L20" s="35">
        <v>0</v>
      </c>
      <c r="O20" s="35">
        <v>1</v>
      </c>
      <c r="P20" s="35" t="s">
        <v>119</v>
      </c>
      <c r="Q20" s="1" t="s">
        <v>1491</v>
      </c>
      <c r="R20" s="1"/>
      <c r="T20" s="35">
        <v>13</v>
      </c>
      <c r="V20" s="35">
        <v>14</v>
      </c>
      <c r="W20" s="1">
        <v>13</v>
      </c>
      <c r="X20" s="1">
        <v>16</v>
      </c>
      <c r="Y20" s="1" t="s">
        <v>2034</v>
      </c>
      <c r="Z20" s="35">
        <v>7</v>
      </c>
      <c r="AA20" s="13" t="b">
        <v>1</v>
      </c>
      <c r="AB20" s="1"/>
      <c r="AC20" s="57" t="s">
        <v>1270</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1646</v>
      </c>
      <c r="D21" s="4">
        <v>0</v>
      </c>
      <c r="H21" s="4" t="s">
        <v>122</v>
      </c>
      <c r="I21" s="4" t="s">
        <v>47</v>
      </c>
      <c r="J21" s="4" t="s">
        <v>123</v>
      </c>
      <c r="K21" s="4" t="s">
        <v>47</v>
      </c>
      <c r="L21" s="4">
        <v>1</v>
      </c>
      <c r="M21" s="4" t="s">
        <v>124</v>
      </c>
      <c r="O21" s="4">
        <v>1</v>
      </c>
      <c r="P21" s="4" t="s">
        <v>125</v>
      </c>
      <c r="Q21" s="1" t="s">
        <v>1492</v>
      </c>
      <c r="R21" s="1"/>
      <c r="S21" s="4">
        <v>8</v>
      </c>
      <c r="U21" s="4">
        <v>12</v>
      </c>
      <c r="W21" s="1">
        <v>8</v>
      </c>
      <c r="X21" s="1">
        <v>10</v>
      </c>
      <c r="Y21" s="1" t="s">
        <v>2035</v>
      </c>
      <c r="Z21" s="4">
        <v>4</v>
      </c>
      <c r="AA21" s="13" t="b">
        <v>1</v>
      </c>
      <c r="AB21" s="1" t="s">
        <v>1897</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1646</v>
      </c>
      <c r="D22" s="40">
        <v>0</v>
      </c>
      <c r="H22" s="40" t="s">
        <v>128</v>
      </c>
      <c r="I22" s="40" t="s">
        <v>129</v>
      </c>
      <c r="J22" s="40" t="s">
        <v>130</v>
      </c>
      <c r="K22" s="40" t="s">
        <v>129</v>
      </c>
      <c r="L22" s="40">
        <v>0</v>
      </c>
      <c r="O22" s="40">
        <v>1</v>
      </c>
      <c r="P22" s="40" t="s">
        <v>131</v>
      </c>
      <c r="Q22" s="1"/>
      <c r="R22" s="1" t="s">
        <v>132</v>
      </c>
      <c r="T22" s="40">
        <v>24</v>
      </c>
      <c r="V22" s="40">
        <v>17</v>
      </c>
      <c r="W22" s="1">
        <v>24</v>
      </c>
      <c r="X22" s="1">
        <v>18</v>
      </c>
      <c r="Y22" s="1" t="s">
        <v>2036</v>
      </c>
      <c r="Z22" s="40">
        <v>8</v>
      </c>
      <c r="AA22" s="13" t="b">
        <v>1</v>
      </c>
      <c r="AB22" s="1" t="s">
        <v>1897</v>
      </c>
      <c r="AC22" s="57" t="s">
        <v>1272</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1646</v>
      </c>
      <c r="D23" s="35">
        <v>1</v>
      </c>
      <c r="E23" s="35" t="s">
        <v>135</v>
      </c>
      <c r="H23" s="35" t="s">
        <v>136</v>
      </c>
      <c r="I23" s="35" t="s">
        <v>135</v>
      </c>
      <c r="J23" s="35" t="s">
        <v>136</v>
      </c>
      <c r="K23" s="35" t="s">
        <v>135</v>
      </c>
      <c r="L23" s="35">
        <v>0</v>
      </c>
      <c r="O23" s="35">
        <v>1</v>
      </c>
      <c r="Q23" s="1"/>
      <c r="R23" s="1" t="s">
        <v>137</v>
      </c>
      <c r="T23" s="35">
        <v>9</v>
      </c>
      <c r="V23" s="35">
        <v>12</v>
      </c>
      <c r="W23" s="1">
        <v>9</v>
      </c>
      <c r="X23" s="1">
        <v>11</v>
      </c>
      <c r="Y23" s="1" t="s">
        <v>2037</v>
      </c>
      <c r="Z23" s="35">
        <v>7</v>
      </c>
      <c r="AA23" s="13" t="b">
        <v>1</v>
      </c>
      <c r="AB23" s="1" t="b">
        <v>1</v>
      </c>
      <c r="AC23" s="57" t="s">
        <v>1273</v>
      </c>
      <c r="AD23" s="1"/>
      <c r="AE23" t="s">
        <v>1862</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1646</v>
      </c>
      <c r="D24" s="4">
        <v>0</v>
      </c>
      <c r="H24" s="4" t="s">
        <v>140</v>
      </c>
      <c r="I24" s="4" t="s">
        <v>122</v>
      </c>
      <c r="J24" s="4" t="s">
        <v>141</v>
      </c>
      <c r="K24" s="4" t="s">
        <v>122</v>
      </c>
      <c r="L24" s="4">
        <v>1</v>
      </c>
      <c r="M24" s="4" t="s">
        <v>142</v>
      </c>
      <c r="O24" s="4">
        <v>1</v>
      </c>
      <c r="P24" s="4" t="s">
        <v>125</v>
      </c>
      <c r="Q24" s="1" t="s">
        <v>714</v>
      </c>
      <c r="R24" s="1"/>
      <c r="S24" s="4">
        <v>33</v>
      </c>
      <c r="U24" s="4">
        <v>30</v>
      </c>
      <c r="W24" s="1">
        <v>33</v>
      </c>
      <c r="X24" s="1">
        <v>16</v>
      </c>
      <c r="Y24" s="1" t="s">
        <v>2038</v>
      </c>
      <c r="Z24" s="4">
        <v>4</v>
      </c>
      <c r="AA24" s="13" t="b">
        <v>1</v>
      </c>
      <c r="AB24" s="1" t="s">
        <v>1892</v>
      </c>
      <c r="AC24" s="57" t="s">
        <v>1450</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1646</v>
      </c>
      <c r="D25" s="35">
        <v>1</v>
      </c>
      <c r="E25" s="35" t="s">
        <v>144</v>
      </c>
      <c r="H25" s="35" t="s">
        <v>145</v>
      </c>
      <c r="I25" s="35" t="s">
        <v>144</v>
      </c>
      <c r="J25" s="35" t="s">
        <v>145</v>
      </c>
      <c r="K25" s="35" t="s">
        <v>1654</v>
      </c>
      <c r="L25" s="35">
        <v>0</v>
      </c>
      <c r="O25" s="35">
        <v>1</v>
      </c>
      <c r="Q25" s="1"/>
      <c r="R25" s="13" t="s">
        <v>1959</v>
      </c>
      <c r="T25" s="35">
        <v>15</v>
      </c>
      <c r="V25" s="35">
        <v>16</v>
      </c>
      <c r="W25" s="1">
        <v>15</v>
      </c>
      <c r="X25" s="1">
        <v>19</v>
      </c>
      <c r="Y25" s="1" t="s">
        <v>2039</v>
      </c>
      <c r="Z25" s="35">
        <v>7</v>
      </c>
      <c r="AA25" s="13" t="b">
        <v>1</v>
      </c>
      <c r="AB25" s="1" t="s">
        <v>1892</v>
      </c>
      <c r="AC25" s="57" t="s">
        <v>1960</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1646</v>
      </c>
      <c r="D26" s="45">
        <v>3</v>
      </c>
      <c r="E26" s="45" t="s">
        <v>147</v>
      </c>
      <c r="F26" s="45" t="s">
        <v>147</v>
      </c>
      <c r="G26" s="45" t="s">
        <v>147</v>
      </c>
      <c r="H26" s="45" t="s">
        <v>148</v>
      </c>
      <c r="I26" s="45" t="s">
        <v>147</v>
      </c>
      <c r="J26" s="45" t="s">
        <v>87</v>
      </c>
      <c r="K26" s="45" t="s">
        <v>147</v>
      </c>
      <c r="L26" s="45">
        <v>0</v>
      </c>
      <c r="O26" s="45">
        <v>0</v>
      </c>
      <c r="Q26" s="1" t="s">
        <v>1493</v>
      </c>
      <c r="R26" s="1"/>
      <c r="T26" s="45">
        <v>8</v>
      </c>
      <c r="W26" s="1"/>
      <c r="X26" s="1"/>
      <c r="Y26" s="1"/>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1646</v>
      </c>
      <c r="D27" s="40">
        <v>0</v>
      </c>
      <c r="H27" s="40" t="s">
        <v>151</v>
      </c>
      <c r="I27" s="40" t="s">
        <v>152</v>
      </c>
      <c r="J27" s="40" t="s">
        <v>153</v>
      </c>
      <c r="K27" s="40" t="s">
        <v>151</v>
      </c>
      <c r="L27" s="40">
        <v>0</v>
      </c>
      <c r="O27" s="40">
        <v>1</v>
      </c>
      <c r="P27" s="40" t="s">
        <v>154</v>
      </c>
      <c r="Q27" s="1" t="s">
        <v>1494</v>
      </c>
      <c r="R27" s="1"/>
      <c r="S27" s="40">
        <v>13</v>
      </c>
      <c r="U27" s="40">
        <v>12</v>
      </c>
      <c r="W27" s="1">
        <v>13</v>
      </c>
      <c r="X27" s="1">
        <v>12</v>
      </c>
      <c r="Y27" s="1" t="s">
        <v>2040</v>
      </c>
      <c r="Z27" s="40">
        <v>8</v>
      </c>
      <c r="AA27" s="13" t="b">
        <v>1</v>
      </c>
      <c r="AB27" s="1"/>
      <c r="AC27" s="57" t="s">
        <v>1275</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1646</v>
      </c>
      <c r="D28" s="25">
        <v>0</v>
      </c>
      <c r="H28" s="25" t="s">
        <v>157</v>
      </c>
      <c r="I28" s="25" t="s">
        <v>158</v>
      </c>
      <c r="J28" s="25" t="s">
        <v>157</v>
      </c>
      <c r="K28" s="25" t="s">
        <v>158</v>
      </c>
      <c r="L28" s="25">
        <v>0</v>
      </c>
      <c r="O28" s="25">
        <v>1</v>
      </c>
      <c r="Q28" s="1" t="s">
        <v>1495</v>
      </c>
      <c r="R28" s="1"/>
      <c r="T28" s="25">
        <v>3</v>
      </c>
      <c r="W28" s="1">
        <v>3</v>
      </c>
      <c r="X28" s="1">
        <v>13</v>
      </c>
      <c r="Y28" s="1" t="s">
        <v>2041</v>
      </c>
      <c r="Z28" s="25">
        <v>5</v>
      </c>
      <c r="AA28" s="13" t="b">
        <v>1</v>
      </c>
      <c r="AB28" s="1"/>
      <c r="AC28" s="57" t="s">
        <v>1276</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1646</v>
      </c>
      <c r="D29" s="40">
        <v>0</v>
      </c>
      <c r="H29" s="40" t="s">
        <v>161</v>
      </c>
      <c r="I29" s="40" t="s">
        <v>162</v>
      </c>
      <c r="J29" s="40" t="s">
        <v>163</v>
      </c>
      <c r="K29" s="40" t="s">
        <v>1655</v>
      </c>
      <c r="L29" s="40">
        <v>0</v>
      </c>
      <c r="O29" s="40">
        <v>1</v>
      </c>
      <c r="P29" s="40" t="s">
        <v>163</v>
      </c>
      <c r="Q29" s="1" t="s">
        <v>606</v>
      </c>
      <c r="R29" s="1"/>
      <c r="T29" s="40">
        <v>20</v>
      </c>
      <c r="W29" s="1">
        <v>20</v>
      </c>
      <c r="X29" s="1">
        <v>17</v>
      </c>
      <c r="Y29" s="1" t="s">
        <v>2042</v>
      </c>
      <c r="Z29" s="40">
        <v>8</v>
      </c>
      <c r="AA29" s="13" t="b">
        <v>1</v>
      </c>
      <c r="AB29" s="1" t="s">
        <v>1893</v>
      </c>
      <c r="AC29" s="57" t="s">
        <v>1277</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1646</v>
      </c>
      <c r="D30" s="40">
        <v>0</v>
      </c>
      <c r="H30" s="40" t="s">
        <v>166</v>
      </c>
      <c r="I30" s="40" t="s">
        <v>167</v>
      </c>
      <c r="J30" s="40" t="s">
        <v>168</v>
      </c>
      <c r="K30" s="40" t="s">
        <v>166</v>
      </c>
      <c r="L30" s="40">
        <v>0</v>
      </c>
      <c r="O30" s="40">
        <v>1</v>
      </c>
      <c r="P30" s="40" t="s">
        <v>169</v>
      </c>
      <c r="Q30" s="1"/>
      <c r="R30" s="1" t="s">
        <v>170</v>
      </c>
      <c r="S30" s="40">
        <v>15</v>
      </c>
      <c r="U30" s="40">
        <v>15</v>
      </c>
      <c r="W30" s="1">
        <v>15</v>
      </c>
      <c r="X30" s="1">
        <v>15</v>
      </c>
      <c r="Y30" s="1" t="s">
        <v>2043</v>
      </c>
      <c r="Z30" s="40">
        <v>8</v>
      </c>
      <c r="AA30" s="13" t="b">
        <v>1</v>
      </c>
      <c r="AB30" s="1"/>
      <c r="AC30" s="57" t="s">
        <v>1278</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1646</v>
      </c>
      <c r="D31" s="40">
        <v>0</v>
      </c>
      <c r="H31" s="40" t="s">
        <v>173</v>
      </c>
      <c r="I31" s="40" t="s">
        <v>174</v>
      </c>
      <c r="J31" s="40" t="s">
        <v>173</v>
      </c>
      <c r="K31" s="40" t="s">
        <v>173</v>
      </c>
      <c r="L31" s="40">
        <v>0</v>
      </c>
      <c r="O31" s="40">
        <v>1</v>
      </c>
      <c r="P31" s="40" t="s">
        <v>175</v>
      </c>
      <c r="Q31" s="1" t="s">
        <v>509</v>
      </c>
      <c r="R31" s="1"/>
      <c r="S31" s="40">
        <v>6</v>
      </c>
      <c r="T31" s="40">
        <v>22</v>
      </c>
      <c r="V31" s="40">
        <v>21</v>
      </c>
      <c r="W31" s="1">
        <v>22</v>
      </c>
      <c r="X31" s="1">
        <v>17</v>
      </c>
      <c r="Y31" s="1" t="s">
        <v>2044</v>
      </c>
      <c r="Z31" s="40">
        <v>8</v>
      </c>
      <c r="AA31" s="13" t="b">
        <v>1</v>
      </c>
      <c r="AB31" s="1"/>
      <c r="AC31" s="57" t="s">
        <v>1279</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1646</v>
      </c>
      <c r="D32" s="45">
        <v>0</v>
      </c>
      <c r="H32" s="45" t="s">
        <v>178</v>
      </c>
      <c r="I32" s="45" t="s">
        <v>179</v>
      </c>
      <c r="J32" s="45" t="s">
        <v>180</v>
      </c>
      <c r="K32" s="45" t="s">
        <v>179</v>
      </c>
      <c r="L32" s="45">
        <v>0</v>
      </c>
      <c r="O32" s="45">
        <v>1</v>
      </c>
      <c r="P32" s="45" t="s">
        <v>180</v>
      </c>
      <c r="Q32" s="1" t="s">
        <v>174</v>
      </c>
      <c r="R32" s="1"/>
      <c r="S32" s="45">
        <v>18</v>
      </c>
      <c r="W32" s="1"/>
      <c r="X32" s="1"/>
      <c r="Y32" s="1"/>
      <c r="Z32" s="45">
        <v>-1</v>
      </c>
      <c r="AA32" s="13" t="b">
        <v>0</v>
      </c>
      <c r="AB32" s="1" t="s">
        <v>1889</v>
      </c>
      <c r="AC32" s="57" t="s">
        <v>1922</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1646</v>
      </c>
      <c r="D33" s="40">
        <v>0</v>
      </c>
      <c r="H33" s="40" t="s">
        <v>183</v>
      </c>
      <c r="I33" s="40" t="s">
        <v>184</v>
      </c>
      <c r="J33" s="40" t="s">
        <v>185</v>
      </c>
      <c r="K33" s="40" t="s">
        <v>184</v>
      </c>
      <c r="L33" s="40">
        <v>0</v>
      </c>
      <c r="O33" s="40">
        <v>1</v>
      </c>
      <c r="P33" s="40" t="s">
        <v>186</v>
      </c>
      <c r="Q33" s="1" t="s">
        <v>1496</v>
      </c>
      <c r="R33" s="1"/>
      <c r="S33" s="40">
        <v>12</v>
      </c>
      <c r="U33" s="40">
        <v>14</v>
      </c>
      <c r="W33" s="1">
        <v>12</v>
      </c>
      <c r="X33" s="1">
        <v>13</v>
      </c>
      <c r="Y33" s="1" t="s">
        <v>2045</v>
      </c>
      <c r="Z33" s="40">
        <v>8</v>
      </c>
      <c r="AA33" s="13" t="b">
        <v>1</v>
      </c>
      <c r="AB33" s="1"/>
      <c r="AC33" s="57" t="s">
        <v>1280</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1646</v>
      </c>
      <c r="D34" s="49">
        <v>0</v>
      </c>
      <c r="H34" s="49" t="s">
        <v>189</v>
      </c>
      <c r="I34" s="49" t="s">
        <v>189</v>
      </c>
      <c r="J34" s="49" t="s">
        <v>189</v>
      </c>
      <c r="K34" s="49" t="s">
        <v>189</v>
      </c>
      <c r="L34" s="49">
        <v>0</v>
      </c>
      <c r="O34" s="49">
        <v>1</v>
      </c>
      <c r="Q34" s="1"/>
      <c r="R34" s="1" t="s">
        <v>190</v>
      </c>
      <c r="S34" s="49">
        <v>10</v>
      </c>
      <c r="U34" s="49">
        <v>10</v>
      </c>
      <c r="W34" s="1">
        <v>10</v>
      </c>
      <c r="X34" s="1">
        <v>10</v>
      </c>
      <c r="Y34" s="1" t="s">
        <v>2046</v>
      </c>
      <c r="Z34" s="49">
        <v>9</v>
      </c>
      <c r="AA34" s="13" t="b">
        <v>1</v>
      </c>
      <c r="AB34" s="1"/>
      <c r="AC34" s="57" t="s">
        <v>1281</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1646</v>
      </c>
      <c r="D35" s="40">
        <v>0</v>
      </c>
      <c r="H35" s="40" t="s">
        <v>193</v>
      </c>
      <c r="I35" s="40" t="s">
        <v>193</v>
      </c>
      <c r="J35" s="40" t="s">
        <v>194</v>
      </c>
      <c r="K35" s="40" t="s">
        <v>193</v>
      </c>
      <c r="L35" s="40">
        <v>0</v>
      </c>
      <c r="O35" s="40">
        <v>1</v>
      </c>
      <c r="P35" s="40" t="s">
        <v>194</v>
      </c>
      <c r="Q35" s="1" t="s">
        <v>178</v>
      </c>
      <c r="R35" s="1"/>
      <c r="S35" s="40">
        <v>8</v>
      </c>
      <c r="U35" s="40">
        <v>18</v>
      </c>
      <c r="W35" s="1">
        <v>8</v>
      </c>
      <c r="X35" s="1">
        <v>11</v>
      </c>
      <c r="Y35" s="1" t="s">
        <v>2047</v>
      </c>
      <c r="Z35" s="40">
        <v>8</v>
      </c>
      <c r="AA35" s="13" t="b">
        <v>1</v>
      </c>
      <c r="AB35" s="1" t="s">
        <v>1897</v>
      </c>
      <c r="AC35" s="57" t="s">
        <v>1303</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1646</v>
      </c>
      <c r="D36" s="40">
        <v>0</v>
      </c>
      <c r="H36" s="40" t="s">
        <v>197</v>
      </c>
      <c r="I36" s="40" t="s">
        <v>197</v>
      </c>
      <c r="J36" s="40" t="s">
        <v>197</v>
      </c>
      <c r="K36" s="40" t="s">
        <v>197</v>
      </c>
      <c r="L36" s="40">
        <v>0</v>
      </c>
      <c r="O36" s="40">
        <v>1</v>
      </c>
      <c r="P36" s="40" t="s">
        <v>198</v>
      </c>
      <c r="Q36" s="1" t="s">
        <v>1497</v>
      </c>
      <c r="R36" s="1"/>
      <c r="S36" s="40">
        <v>18</v>
      </c>
      <c r="U36" s="40">
        <v>15</v>
      </c>
      <c r="W36" s="1">
        <v>18</v>
      </c>
      <c r="X36" s="1">
        <v>19</v>
      </c>
      <c r="Y36" s="1" t="s">
        <v>2048</v>
      </c>
      <c r="Z36" s="40">
        <v>8</v>
      </c>
      <c r="AA36" s="13" t="b">
        <v>1</v>
      </c>
      <c r="AB36" s="1"/>
      <c r="AC36" s="57" t="s">
        <v>1285</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1646</v>
      </c>
      <c r="D37" s="40">
        <v>0</v>
      </c>
      <c r="H37" s="40" t="s">
        <v>201</v>
      </c>
      <c r="I37" s="40" t="s">
        <v>201</v>
      </c>
      <c r="J37" s="40" t="s">
        <v>201</v>
      </c>
      <c r="K37" s="40" t="s">
        <v>201</v>
      </c>
      <c r="L37" s="40">
        <v>0</v>
      </c>
      <c r="O37" s="40">
        <v>1</v>
      </c>
      <c r="P37" s="40" t="s">
        <v>202</v>
      </c>
      <c r="Q37" s="1" t="s">
        <v>1498</v>
      </c>
      <c r="R37" s="1"/>
      <c r="S37" s="40">
        <v>16</v>
      </c>
      <c r="U37" s="40">
        <v>8</v>
      </c>
      <c r="W37" s="1">
        <v>16</v>
      </c>
      <c r="X37" s="1">
        <v>9</v>
      </c>
      <c r="Y37" s="1" t="s">
        <v>2049</v>
      </c>
      <c r="Z37" s="40">
        <v>8</v>
      </c>
      <c r="AA37" s="13" t="b">
        <v>1</v>
      </c>
      <c r="AB37" s="1" t="s">
        <v>1897</v>
      </c>
      <c r="AC37" s="57" t="s">
        <v>1305</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1646</v>
      </c>
      <c r="D38" s="40">
        <v>0</v>
      </c>
      <c r="H38" s="40" t="s">
        <v>205</v>
      </c>
      <c r="I38" s="40" t="s">
        <v>205</v>
      </c>
      <c r="J38" s="40" t="s">
        <v>206</v>
      </c>
      <c r="K38" s="40" t="s">
        <v>205</v>
      </c>
      <c r="L38" s="40">
        <v>0</v>
      </c>
      <c r="O38" s="40">
        <v>1</v>
      </c>
      <c r="P38" s="40" t="s">
        <v>207</v>
      </c>
      <c r="Q38" s="1" t="s">
        <v>1499</v>
      </c>
      <c r="R38" s="1"/>
      <c r="S38" s="40">
        <v>16</v>
      </c>
      <c r="U38" s="40">
        <v>10</v>
      </c>
      <c r="W38" s="1">
        <v>16</v>
      </c>
      <c r="X38" s="1">
        <v>15</v>
      </c>
      <c r="Y38" s="1" t="s">
        <v>2050</v>
      </c>
      <c r="Z38" s="40">
        <v>8</v>
      </c>
      <c r="AA38" s="13" t="b">
        <v>1</v>
      </c>
      <c r="AB38" s="1" t="s">
        <v>1897</v>
      </c>
      <c r="AC38" s="57" t="s">
        <v>1306</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1646</v>
      </c>
      <c r="D39" s="25">
        <v>0</v>
      </c>
      <c r="H39" s="25" t="s">
        <v>210</v>
      </c>
      <c r="I39" s="25" t="s">
        <v>211</v>
      </c>
      <c r="J39" s="25" t="s">
        <v>210</v>
      </c>
      <c r="K39" s="25" t="s">
        <v>775</v>
      </c>
      <c r="L39" s="25">
        <v>0</v>
      </c>
      <c r="O39" s="25">
        <v>1</v>
      </c>
      <c r="Q39" s="1" t="s">
        <v>1500</v>
      </c>
      <c r="R39" s="1"/>
      <c r="T39" s="25">
        <v>10</v>
      </c>
      <c r="V39" s="25">
        <v>11</v>
      </c>
      <c r="W39" s="1">
        <v>10</v>
      </c>
      <c r="X39" s="1">
        <v>14</v>
      </c>
      <c r="Y39" s="1" t="s">
        <v>2051</v>
      </c>
      <c r="Z39" s="25">
        <v>5</v>
      </c>
      <c r="AA39" s="13" t="b">
        <v>1</v>
      </c>
      <c r="AB39" s="1"/>
      <c r="AC39" s="57" t="s">
        <v>1307</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1646</v>
      </c>
      <c r="D40" s="25">
        <v>0</v>
      </c>
      <c r="H40" s="25" t="s">
        <v>214</v>
      </c>
      <c r="I40" s="25" t="s">
        <v>214</v>
      </c>
      <c r="J40" s="25" t="s">
        <v>214</v>
      </c>
      <c r="K40" s="25" t="s">
        <v>214</v>
      </c>
      <c r="L40" s="25">
        <v>0</v>
      </c>
      <c r="O40" s="25">
        <v>0</v>
      </c>
      <c r="Q40" s="1" t="s">
        <v>1501</v>
      </c>
      <c r="R40" s="1"/>
      <c r="S40" s="25">
        <v>28</v>
      </c>
      <c r="W40" s="1">
        <v>28</v>
      </c>
      <c r="X40" s="1">
        <v>9</v>
      </c>
      <c r="Y40" s="1" t="s">
        <v>2052</v>
      </c>
      <c r="Z40" s="25">
        <v>5</v>
      </c>
      <c r="AA40" s="13" t="b">
        <v>1</v>
      </c>
      <c r="AB40" s="1" t="s">
        <v>1900</v>
      </c>
      <c r="AC40" s="57" t="s">
        <v>1304</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1646</v>
      </c>
      <c r="D41" s="25">
        <v>0</v>
      </c>
      <c r="H41" s="25" t="s">
        <v>217</v>
      </c>
      <c r="I41" s="25" t="s">
        <v>218</v>
      </c>
      <c r="J41" s="25" t="s">
        <v>217</v>
      </c>
      <c r="K41" s="25" t="s">
        <v>218</v>
      </c>
      <c r="L41" s="25">
        <v>0</v>
      </c>
      <c r="O41" s="25">
        <v>1</v>
      </c>
      <c r="Q41" s="1" t="s">
        <v>1502</v>
      </c>
      <c r="R41" s="1"/>
      <c r="S41" s="25">
        <v>8</v>
      </c>
      <c r="U41" s="25">
        <v>10</v>
      </c>
      <c r="W41" s="1">
        <v>8</v>
      </c>
      <c r="X41" s="1">
        <v>10</v>
      </c>
      <c r="Y41" s="1" t="s">
        <v>2053</v>
      </c>
      <c r="Z41" s="25">
        <v>5</v>
      </c>
      <c r="AA41" s="13" t="b">
        <v>1</v>
      </c>
      <c r="AB41" s="1"/>
      <c r="AC41" s="57" t="s">
        <v>1308</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1646</v>
      </c>
      <c r="D42" s="40">
        <v>0</v>
      </c>
      <c r="H42" s="40" t="s">
        <v>220</v>
      </c>
      <c r="I42" s="40" t="s">
        <v>221</v>
      </c>
      <c r="J42" s="40" t="s">
        <v>222</v>
      </c>
      <c r="K42" s="40" t="s">
        <v>1656</v>
      </c>
      <c r="L42" s="40">
        <v>0</v>
      </c>
      <c r="O42" s="40">
        <v>1</v>
      </c>
      <c r="P42" s="40" t="s">
        <v>223</v>
      </c>
      <c r="Q42" s="1" t="s">
        <v>1503</v>
      </c>
      <c r="R42" s="1"/>
      <c r="S42" s="40">
        <v>10</v>
      </c>
      <c r="U42" s="40">
        <v>10</v>
      </c>
      <c r="W42" s="1">
        <v>10</v>
      </c>
      <c r="X42" s="1">
        <v>11</v>
      </c>
      <c r="Y42" s="1" t="s">
        <v>2054</v>
      </c>
      <c r="Z42" s="40">
        <v>8</v>
      </c>
      <c r="AA42" s="13" t="b">
        <v>1</v>
      </c>
      <c r="AB42" s="1"/>
      <c r="AC42" s="57" t="s">
        <v>1309</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1646</v>
      </c>
      <c r="D43" s="3">
        <v>0</v>
      </c>
      <c r="H43" s="3" t="s">
        <v>226</v>
      </c>
      <c r="I43" s="3" t="s">
        <v>221</v>
      </c>
      <c r="J43" s="3" t="s">
        <v>227</v>
      </c>
      <c r="K43" s="3" t="s">
        <v>221</v>
      </c>
      <c r="L43" s="3">
        <v>1</v>
      </c>
      <c r="M43" s="3" t="s">
        <v>221</v>
      </c>
      <c r="O43" s="3">
        <v>0</v>
      </c>
      <c r="Q43" s="1" t="s">
        <v>1504</v>
      </c>
      <c r="R43" s="1"/>
      <c r="T43" s="3">
        <v>11</v>
      </c>
      <c r="V43" s="3">
        <v>11</v>
      </c>
      <c r="W43" s="1">
        <v>11</v>
      </c>
      <c r="X43" s="1">
        <v>10</v>
      </c>
      <c r="Y43" s="1" t="s">
        <v>2055</v>
      </c>
      <c r="Z43" s="3">
        <v>1</v>
      </c>
      <c r="AA43" s="13" t="b">
        <v>1</v>
      </c>
      <c r="AB43" s="1"/>
      <c r="AC43" s="57" t="s">
        <v>1307</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1646</v>
      </c>
      <c r="D44" s="49">
        <v>0</v>
      </c>
      <c r="H44" s="49" t="s">
        <v>230</v>
      </c>
      <c r="I44" s="49" t="s">
        <v>231</v>
      </c>
      <c r="J44" s="49" t="s">
        <v>230</v>
      </c>
      <c r="K44" s="49" t="s">
        <v>231</v>
      </c>
      <c r="L44" s="49">
        <v>0</v>
      </c>
      <c r="O44" s="49">
        <v>1</v>
      </c>
      <c r="Q44" s="1"/>
      <c r="R44" s="1" t="s">
        <v>232</v>
      </c>
      <c r="S44" s="49">
        <v>7</v>
      </c>
      <c r="U44" s="49">
        <v>7</v>
      </c>
      <c r="W44" s="1">
        <v>7</v>
      </c>
      <c r="X44" s="1">
        <v>8</v>
      </c>
      <c r="Y44" s="1" t="s">
        <v>2056</v>
      </c>
      <c r="Z44" s="49">
        <v>9</v>
      </c>
      <c r="AA44" s="13" t="b">
        <v>1</v>
      </c>
      <c r="AB44" s="1"/>
      <c r="AC44" s="57" t="s">
        <v>1310</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1646</v>
      </c>
      <c r="D45" s="40">
        <v>0</v>
      </c>
      <c r="H45" s="40" t="s">
        <v>235</v>
      </c>
      <c r="I45" s="40" t="s">
        <v>236</v>
      </c>
      <c r="J45" s="40" t="s">
        <v>235</v>
      </c>
      <c r="K45" s="40" t="s">
        <v>1657</v>
      </c>
      <c r="L45" s="40">
        <v>0</v>
      </c>
      <c r="O45" s="40">
        <v>1</v>
      </c>
      <c r="P45" s="40" t="s">
        <v>231</v>
      </c>
      <c r="Q45" s="1" t="s">
        <v>1505</v>
      </c>
      <c r="R45" s="1"/>
      <c r="S45" s="40">
        <v>5</v>
      </c>
      <c r="U45" s="40">
        <v>7</v>
      </c>
      <c r="W45" s="1">
        <v>5</v>
      </c>
      <c r="X45" s="1">
        <v>14</v>
      </c>
      <c r="Y45" s="1" t="s">
        <v>2057</v>
      </c>
      <c r="Z45" s="40">
        <v>8</v>
      </c>
      <c r="AA45" s="13" t="b">
        <v>1</v>
      </c>
      <c r="AB45" s="1"/>
      <c r="AC45" s="57" t="s">
        <v>1312</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1646</v>
      </c>
      <c r="D46" s="72">
        <v>0</v>
      </c>
      <c r="H46" s="72" t="s">
        <v>239</v>
      </c>
      <c r="I46" s="72" t="s">
        <v>210</v>
      </c>
      <c r="J46" s="72" t="s">
        <v>240</v>
      </c>
      <c r="K46" s="72" t="s">
        <v>210</v>
      </c>
      <c r="L46" s="72">
        <v>0</v>
      </c>
      <c r="O46" s="72">
        <v>1</v>
      </c>
      <c r="P46" s="72" t="s">
        <v>241</v>
      </c>
      <c r="Q46" s="1"/>
      <c r="R46" s="1" t="s">
        <v>242</v>
      </c>
      <c r="T46" s="72">
        <v>13</v>
      </c>
      <c r="V46" s="72">
        <v>13</v>
      </c>
      <c r="W46" s="1">
        <v>13</v>
      </c>
      <c r="X46" s="1">
        <v>15</v>
      </c>
      <c r="Y46" s="1" t="s">
        <v>2058</v>
      </c>
      <c r="Z46" s="72">
        <v>14</v>
      </c>
      <c r="AA46" s="13" t="b">
        <v>1</v>
      </c>
      <c r="AB46" s="1"/>
      <c r="AC46" s="57" t="s">
        <v>1313</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1646</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v>14</v>
      </c>
      <c r="Y47" s="1" t="s">
        <v>2059</v>
      </c>
      <c r="Z47" s="2">
        <v>2</v>
      </c>
      <c r="AA47" s="13" t="b">
        <v>1</v>
      </c>
      <c r="AB47" s="1"/>
      <c r="AC47" s="57" t="s">
        <v>1314</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1646</v>
      </c>
      <c r="D48" s="40">
        <v>0</v>
      </c>
      <c r="H48" s="40" t="s">
        <v>239</v>
      </c>
      <c r="I48" s="40" t="s">
        <v>119</v>
      </c>
      <c r="J48" s="40" t="s">
        <v>239</v>
      </c>
      <c r="K48" s="40" t="s">
        <v>119</v>
      </c>
      <c r="L48" s="40">
        <v>0</v>
      </c>
      <c r="O48" s="40">
        <v>1</v>
      </c>
      <c r="P48" s="40" t="s">
        <v>239</v>
      </c>
      <c r="Q48" s="1" t="s">
        <v>1506</v>
      </c>
      <c r="R48" s="1"/>
      <c r="S48" s="40">
        <v>20</v>
      </c>
      <c r="U48" s="40">
        <v>15</v>
      </c>
      <c r="W48" s="1">
        <v>20</v>
      </c>
      <c r="X48" s="1">
        <v>11</v>
      </c>
      <c r="Y48" s="1" t="s">
        <v>2060</v>
      </c>
      <c r="Z48" s="40">
        <v>8</v>
      </c>
      <c r="AA48" s="13" t="b">
        <v>1</v>
      </c>
      <c r="AB48" s="1" t="s">
        <v>1897</v>
      </c>
      <c r="AC48" s="57" t="s">
        <v>1315</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1646</v>
      </c>
      <c r="D49" s="30">
        <v>1</v>
      </c>
      <c r="E49" s="30" t="s">
        <v>251</v>
      </c>
      <c r="H49" s="30" t="s">
        <v>252</v>
      </c>
      <c r="I49" s="30" t="s">
        <v>251</v>
      </c>
      <c r="J49" s="30" t="s">
        <v>252</v>
      </c>
      <c r="K49" s="30" t="s">
        <v>252</v>
      </c>
      <c r="L49" s="30">
        <v>0</v>
      </c>
      <c r="O49" s="30">
        <v>0</v>
      </c>
      <c r="Q49" s="1" t="s">
        <v>1507</v>
      </c>
      <c r="R49" s="1"/>
      <c r="T49" s="30">
        <v>10</v>
      </c>
      <c r="V49" s="30">
        <v>11</v>
      </c>
      <c r="W49" s="1">
        <v>10</v>
      </c>
      <c r="X49" s="1">
        <v>10</v>
      </c>
      <c r="Y49" s="1" t="s">
        <v>2061</v>
      </c>
      <c r="Z49" s="30">
        <v>6</v>
      </c>
      <c r="AA49" s="13" t="b">
        <v>1</v>
      </c>
      <c r="AB49" s="1"/>
      <c r="AC49" s="57" t="s">
        <v>1443</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1646</v>
      </c>
      <c r="D50" s="25">
        <v>0</v>
      </c>
      <c r="H50" s="25" t="s">
        <v>255</v>
      </c>
      <c r="I50" s="25" t="s">
        <v>118</v>
      </c>
      <c r="J50" s="25" t="s">
        <v>255</v>
      </c>
      <c r="K50" s="25" t="s">
        <v>118</v>
      </c>
      <c r="L50" s="25">
        <v>0</v>
      </c>
      <c r="O50" s="25">
        <v>0</v>
      </c>
      <c r="Q50" s="1" t="s">
        <v>240</v>
      </c>
      <c r="R50" s="1"/>
      <c r="T50" s="25">
        <v>3</v>
      </c>
      <c r="V50" s="25">
        <v>3</v>
      </c>
      <c r="W50" s="1">
        <v>3</v>
      </c>
      <c r="X50" s="1">
        <v>7</v>
      </c>
      <c r="Y50" s="1" t="s">
        <v>2062</v>
      </c>
      <c r="Z50" s="25">
        <v>5</v>
      </c>
      <c r="AA50" s="13" t="b">
        <v>1</v>
      </c>
      <c r="AB50" s="1"/>
      <c r="AC50" s="57" t="s">
        <v>1298</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1646</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v>23</v>
      </c>
      <c r="Y51" s="1" t="s">
        <v>2063</v>
      </c>
      <c r="Z51" s="35">
        <v>7</v>
      </c>
      <c r="AA51" s="13" t="b">
        <v>1</v>
      </c>
      <c r="AB51" s="1"/>
      <c r="AC51" s="57" t="s">
        <v>1448</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1316</v>
      </c>
      <c r="B52" s="3" t="s">
        <v>1918</v>
      </c>
      <c r="C52" s="1" t="s">
        <v>1646</v>
      </c>
      <c r="D52" s="3">
        <v>0</v>
      </c>
      <c r="H52" s="3" t="s">
        <v>722</v>
      </c>
      <c r="I52" s="3" t="s">
        <v>722</v>
      </c>
      <c r="J52" s="3" t="s">
        <v>701</v>
      </c>
      <c r="K52" s="3" t="s">
        <v>722</v>
      </c>
      <c r="L52" s="3">
        <v>2</v>
      </c>
      <c r="M52" s="3" t="s">
        <v>1322</v>
      </c>
      <c r="N52" s="3" t="s">
        <v>1323</v>
      </c>
      <c r="O52" s="3">
        <v>1</v>
      </c>
      <c r="P52" s="3" t="s">
        <v>701</v>
      </c>
      <c r="Q52" s="1" t="s">
        <v>1508</v>
      </c>
      <c r="R52" s="1"/>
      <c r="T52" s="3">
        <v>37</v>
      </c>
      <c r="V52" s="3">
        <v>20</v>
      </c>
      <c r="W52" s="1">
        <v>37</v>
      </c>
      <c r="X52" s="1">
        <v>29</v>
      </c>
      <c r="Y52" s="1" t="s">
        <v>2064</v>
      </c>
      <c r="Z52" s="3">
        <v>1</v>
      </c>
      <c r="AA52" s="13" t="b">
        <v>1</v>
      </c>
      <c r="AB52" s="1" t="s">
        <v>1889</v>
      </c>
      <c r="AC52" s="57" t="s">
        <v>1949</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1317</v>
      </c>
      <c r="B53" s="4" t="s">
        <v>1324</v>
      </c>
      <c r="C53" s="1" t="s">
        <v>1646</v>
      </c>
      <c r="D53" s="4">
        <v>1</v>
      </c>
      <c r="E53" s="4" t="s">
        <v>696</v>
      </c>
      <c r="H53" s="4" t="s">
        <v>721</v>
      </c>
      <c r="I53" s="4" t="s">
        <v>1325</v>
      </c>
      <c r="J53" s="4" t="s">
        <v>1326</v>
      </c>
      <c r="K53" s="4" t="s">
        <v>721</v>
      </c>
      <c r="L53" s="4">
        <v>1</v>
      </c>
      <c r="M53" s="4" t="s">
        <v>1327</v>
      </c>
      <c r="O53" s="4">
        <v>1</v>
      </c>
      <c r="P53" s="4" t="s">
        <v>1328</v>
      </c>
      <c r="Q53" s="1" t="s">
        <v>1509</v>
      </c>
      <c r="R53" s="1"/>
      <c r="S53" s="4">
        <v>24</v>
      </c>
      <c r="W53" s="1">
        <v>24</v>
      </c>
      <c r="X53" s="1">
        <v>4</v>
      </c>
      <c r="Y53" s="1" t="s">
        <v>2065</v>
      </c>
      <c r="Z53" s="4">
        <v>4</v>
      </c>
      <c r="AA53" s="13" t="b">
        <v>1</v>
      </c>
      <c r="AB53" s="1" t="s">
        <v>1889</v>
      </c>
      <c r="AC53" s="57" t="s">
        <v>1452</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1470</v>
      </c>
      <c r="B54" s="40" t="s">
        <v>1784</v>
      </c>
      <c r="C54" s="1" t="s">
        <v>1646</v>
      </c>
      <c r="D54" s="40">
        <v>0</v>
      </c>
      <c r="H54" s="40" t="s">
        <v>1471</v>
      </c>
      <c r="I54" s="40" t="s">
        <v>1472</v>
      </c>
      <c r="J54" s="40" t="s">
        <v>1473</v>
      </c>
      <c r="K54" s="40" t="s">
        <v>1658</v>
      </c>
      <c r="L54" s="40">
        <v>0</v>
      </c>
      <c r="O54" s="40">
        <v>1</v>
      </c>
      <c r="P54" s="40" t="s">
        <v>1474</v>
      </c>
      <c r="Q54" s="1" t="s">
        <v>697</v>
      </c>
      <c r="R54" s="1"/>
      <c r="S54" s="40">
        <v>10</v>
      </c>
      <c r="U54" s="40">
        <v>10</v>
      </c>
      <c r="W54" s="1">
        <v>10</v>
      </c>
      <c r="X54" s="1">
        <v>28</v>
      </c>
      <c r="Y54" s="1" t="s">
        <v>2066</v>
      </c>
      <c r="Z54" s="40">
        <v>8</v>
      </c>
      <c r="AA54" s="13" t="b">
        <v>1</v>
      </c>
      <c r="AB54" s="1"/>
      <c r="AC54" s="57" t="s">
        <v>1920</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1475</v>
      </c>
      <c r="B55" s="2" t="s">
        <v>1785</v>
      </c>
      <c r="C55" s="1" t="s">
        <v>1646</v>
      </c>
      <c r="D55" s="2">
        <v>0</v>
      </c>
      <c r="H55" s="2" t="s">
        <v>1474</v>
      </c>
      <c r="I55" s="2" t="s">
        <v>1473</v>
      </c>
      <c r="J55" s="2" t="s">
        <v>1474</v>
      </c>
      <c r="K55" s="2" t="s">
        <v>1473</v>
      </c>
      <c r="L55" s="2">
        <v>1</v>
      </c>
      <c r="M55" s="2" t="s">
        <v>1474</v>
      </c>
      <c r="O55" s="2">
        <v>1</v>
      </c>
      <c r="Q55" s="1"/>
      <c r="R55" s="1" t="s">
        <v>1476</v>
      </c>
      <c r="T55" s="2">
        <v>26</v>
      </c>
      <c r="V55" s="2">
        <v>30</v>
      </c>
      <c r="W55" s="1">
        <v>26</v>
      </c>
      <c r="X55" s="1">
        <v>27</v>
      </c>
      <c r="Y55" s="1" t="s">
        <v>2067</v>
      </c>
      <c r="Z55" s="2">
        <v>2</v>
      </c>
      <c r="AA55" s="13" t="b">
        <v>1</v>
      </c>
      <c r="AB55" s="1"/>
      <c r="AC55" s="57" t="s">
        <v>1921</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1928</v>
      </c>
      <c r="B56" s="68">
        <v>1115222</v>
      </c>
      <c r="C56" s="1" t="s">
        <v>1646</v>
      </c>
      <c r="D56" s="68">
        <v>1</v>
      </c>
      <c r="E56" s="68" t="s">
        <v>1823</v>
      </c>
      <c r="H56" s="68" t="s">
        <v>1818</v>
      </c>
      <c r="I56" s="68" t="s">
        <v>1823</v>
      </c>
      <c r="J56" s="68" t="s">
        <v>1930</v>
      </c>
      <c r="K56" s="68" t="s">
        <v>1818</v>
      </c>
      <c r="L56" s="68">
        <v>0</v>
      </c>
      <c r="O56" s="68">
        <v>1</v>
      </c>
      <c r="P56" s="68" t="s">
        <v>1931</v>
      </c>
      <c r="Q56" s="1"/>
      <c r="R56" s="1" t="s">
        <v>1932</v>
      </c>
      <c r="T56" s="68">
        <v>13</v>
      </c>
      <c r="W56" s="1">
        <v>13</v>
      </c>
      <c r="X56" s="1">
        <v>16</v>
      </c>
      <c r="Y56" s="1" t="s">
        <v>2068</v>
      </c>
      <c r="Z56" s="68">
        <v>13</v>
      </c>
      <c r="AA56" s="13" t="b">
        <v>1</v>
      </c>
      <c r="AB56" s="1"/>
      <c r="AC56" s="57" t="s">
        <v>1943</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1929</v>
      </c>
      <c r="B57" s="3">
        <v>2773991</v>
      </c>
      <c r="C57" s="1" t="s">
        <v>1646</v>
      </c>
      <c r="D57" s="3">
        <v>0</v>
      </c>
      <c r="H57" s="3" t="s">
        <v>1933</v>
      </c>
      <c r="I57" s="3" t="s">
        <v>1934</v>
      </c>
      <c r="J57" s="3" t="s">
        <v>1935</v>
      </c>
      <c r="K57" s="3" t="s">
        <v>1674</v>
      </c>
      <c r="L57" s="3">
        <v>1</v>
      </c>
      <c r="M57" s="3" t="s">
        <v>1930</v>
      </c>
      <c r="O57" s="3">
        <v>1</v>
      </c>
      <c r="Q57" s="13" t="s">
        <v>1832</v>
      </c>
      <c r="R57" s="1"/>
      <c r="S57" s="3">
        <v>9</v>
      </c>
      <c r="W57" s="1">
        <v>9</v>
      </c>
      <c r="X57" s="1">
        <v>10</v>
      </c>
      <c r="Y57" s="1" t="s">
        <v>2069</v>
      </c>
      <c r="Z57" s="3">
        <v>1</v>
      </c>
      <c r="AA57" s="13" t="b">
        <v>1</v>
      </c>
      <c r="AB57" s="1"/>
      <c r="AC57" s="57" t="s">
        <v>1942</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1647</v>
      </c>
      <c r="D58" s="35">
        <v>1</v>
      </c>
      <c r="E58" s="35" t="s">
        <v>264</v>
      </c>
      <c r="H58" s="35" t="s">
        <v>265</v>
      </c>
      <c r="I58" s="35" t="s">
        <v>265</v>
      </c>
      <c r="J58" s="35" t="s">
        <v>266</v>
      </c>
      <c r="K58" s="35" t="s">
        <v>1659</v>
      </c>
      <c r="L58" s="35">
        <v>0</v>
      </c>
      <c r="O58" s="35">
        <v>1</v>
      </c>
      <c r="P58" s="35" t="s">
        <v>267</v>
      </c>
      <c r="Q58" s="1" t="s">
        <v>321</v>
      </c>
      <c r="R58" s="1"/>
      <c r="T58" s="35">
        <v>13</v>
      </c>
      <c r="V58" s="35">
        <v>12</v>
      </c>
      <c r="W58" s="1">
        <v>13</v>
      </c>
      <c r="X58" s="1">
        <v>17</v>
      </c>
      <c r="Y58" s="1" t="s">
        <v>2070</v>
      </c>
      <c r="Z58" s="35">
        <v>7</v>
      </c>
      <c r="AA58" s="13" t="b">
        <v>1</v>
      </c>
      <c r="AB58" s="1"/>
      <c r="AC58" s="57" t="s">
        <v>1390</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1647</v>
      </c>
      <c r="D59" s="35">
        <v>1</v>
      </c>
      <c r="E59" s="35" t="s">
        <v>40</v>
      </c>
      <c r="H59" s="35" t="s">
        <v>40</v>
      </c>
      <c r="I59" s="35" t="s">
        <v>40</v>
      </c>
      <c r="J59" s="35" t="s">
        <v>270</v>
      </c>
      <c r="K59" s="35" t="s">
        <v>40</v>
      </c>
      <c r="L59" s="35">
        <v>0</v>
      </c>
      <c r="O59" s="35">
        <v>1</v>
      </c>
      <c r="P59" s="35" t="s">
        <v>271</v>
      </c>
      <c r="Q59" s="1" t="s">
        <v>131</v>
      </c>
      <c r="R59" s="1"/>
      <c r="T59" s="35">
        <v>9</v>
      </c>
      <c r="V59" s="35">
        <v>11</v>
      </c>
      <c r="W59" s="1">
        <v>9</v>
      </c>
      <c r="X59" s="1">
        <v>14</v>
      </c>
      <c r="Y59" s="1" t="s">
        <v>2071</v>
      </c>
      <c r="Z59" s="35">
        <v>7</v>
      </c>
      <c r="AA59" s="13" t="b">
        <v>1</v>
      </c>
      <c r="AB59" s="1"/>
      <c r="AC59" s="57" t="s">
        <v>1391</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1647</v>
      </c>
      <c r="D60" s="40">
        <v>0</v>
      </c>
      <c r="H60" s="40" t="s">
        <v>274</v>
      </c>
      <c r="I60" s="40" t="s">
        <v>275</v>
      </c>
      <c r="J60" s="40" t="s">
        <v>275</v>
      </c>
      <c r="K60" s="40" t="s">
        <v>1660</v>
      </c>
      <c r="L60" s="40">
        <v>0</v>
      </c>
      <c r="O60" s="40">
        <v>1</v>
      </c>
      <c r="P60" s="40" t="s">
        <v>275</v>
      </c>
      <c r="Q60" s="1" t="s">
        <v>1510</v>
      </c>
      <c r="R60" s="1"/>
      <c r="S60" s="40">
        <v>6</v>
      </c>
      <c r="T60" s="40">
        <v>12</v>
      </c>
      <c r="W60" s="1">
        <v>12</v>
      </c>
      <c r="X60" s="1">
        <v>12</v>
      </c>
      <c r="Y60" s="1" t="s">
        <v>2072</v>
      </c>
      <c r="Z60" s="40">
        <v>8</v>
      </c>
      <c r="AA60" s="13" t="b">
        <v>1</v>
      </c>
      <c r="AB60" s="1"/>
      <c r="AC60" s="57" t="s">
        <v>1398</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1647</v>
      </c>
      <c r="D61" s="35">
        <v>1</v>
      </c>
      <c r="E61" s="35" t="s">
        <v>278</v>
      </c>
      <c r="H61" s="35" t="s">
        <v>21</v>
      </c>
      <c r="I61" s="35" t="s">
        <v>279</v>
      </c>
      <c r="J61" s="35" t="s">
        <v>153</v>
      </c>
      <c r="K61" s="35" t="s">
        <v>21</v>
      </c>
      <c r="L61" s="35">
        <v>0</v>
      </c>
      <c r="O61" s="35">
        <v>1</v>
      </c>
      <c r="P61" s="35" t="s">
        <v>154</v>
      </c>
      <c r="Q61" s="1" t="s">
        <v>1511</v>
      </c>
      <c r="R61" s="1"/>
      <c r="S61" s="35">
        <v>10</v>
      </c>
      <c r="V61" s="35">
        <v>12</v>
      </c>
      <c r="W61" s="1">
        <v>10</v>
      </c>
      <c r="X61" s="1">
        <v>12</v>
      </c>
      <c r="Y61" s="1" t="s">
        <v>2073</v>
      </c>
      <c r="Z61" s="35">
        <v>7</v>
      </c>
      <c r="AA61" s="13" t="b">
        <v>1</v>
      </c>
      <c r="AB61" s="1"/>
      <c r="AC61" s="57" t="s">
        <v>1392</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1647</v>
      </c>
      <c r="D62" s="40">
        <v>0</v>
      </c>
      <c r="H62" s="40" t="s">
        <v>282</v>
      </c>
      <c r="I62" s="40" t="s">
        <v>283</v>
      </c>
      <c r="J62" s="40" t="s">
        <v>282</v>
      </c>
      <c r="K62" s="40" t="s">
        <v>283</v>
      </c>
      <c r="L62" s="40">
        <v>0</v>
      </c>
      <c r="O62" s="40">
        <v>1</v>
      </c>
      <c r="P62" s="40" t="s">
        <v>284</v>
      </c>
      <c r="Q62" s="1" t="s">
        <v>503</v>
      </c>
      <c r="R62" s="1"/>
      <c r="S62" s="40">
        <v>12</v>
      </c>
      <c r="U62" s="40">
        <v>11</v>
      </c>
      <c r="W62" s="1">
        <v>12</v>
      </c>
      <c r="X62" s="1">
        <v>8</v>
      </c>
      <c r="Y62" s="1" t="s">
        <v>2074</v>
      </c>
      <c r="Z62" s="40">
        <v>8</v>
      </c>
      <c r="AA62" s="13" t="b">
        <v>1</v>
      </c>
      <c r="AB62" s="1"/>
      <c r="AC62" s="57" t="s">
        <v>1372</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1647</v>
      </c>
      <c r="D63" s="40">
        <v>1</v>
      </c>
      <c r="H63" s="40" t="s">
        <v>287</v>
      </c>
      <c r="I63" s="40" t="s">
        <v>288</v>
      </c>
      <c r="J63" s="40" t="s">
        <v>289</v>
      </c>
      <c r="K63" s="40" t="s">
        <v>1661</v>
      </c>
      <c r="L63" s="40">
        <v>0</v>
      </c>
      <c r="O63" s="40">
        <v>1</v>
      </c>
      <c r="P63" s="40" t="s">
        <v>20</v>
      </c>
      <c r="Q63" s="1" t="s">
        <v>1512</v>
      </c>
      <c r="R63" s="1"/>
      <c r="S63" s="40">
        <v>12</v>
      </c>
      <c r="U63" s="40">
        <v>12</v>
      </c>
      <c r="W63" s="1">
        <v>12</v>
      </c>
      <c r="X63" s="1">
        <v>11</v>
      </c>
      <c r="Y63" s="1" t="s">
        <v>2075</v>
      </c>
      <c r="Z63" s="40">
        <v>8</v>
      </c>
      <c r="AA63" s="13" t="b">
        <v>1</v>
      </c>
      <c r="AB63" s="1"/>
      <c r="AC63" s="57" t="s">
        <v>1399</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1647</v>
      </c>
      <c r="D64" s="35">
        <v>1</v>
      </c>
      <c r="E64" s="35" t="s">
        <v>292</v>
      </c>
      <c r="H64" s="35" t="s">
        <v>174</v>
      </c>
      <c r="I64" s="35" t="s">
        <v>174</v>
      </c>
      <c r="J64" s="35" t="s">
        <v>174</v>
      </c>
      <c r="K64" s="35" t="s">
        <v>292</v>
      </c>
      <c r="L64" s="35">
        <v>0</v>
      </c>
      <c r="O64" s="35">
        <v>1</v>
      </c>
      <c r="P64" s="35" t="s">
        <v>173</v>
      </c>
      <c r="Q64" s="1" t="s">
        <v>1513</v>
      </c>
      <c r="R64" s="1"/>
      <c r="S64" s="35">
        <v>30</v>
      </c>
      <c r="U64" s="35">
        <v>20</v>
      </c>
      <c r="W64" s="1">
        <v>30</v>
      </c>
      <c r="X64" s="1">
        <v>18</v>
      </c>
      <c r="Y64" s="1" t="s">
        <v>2076</v>
      </c>
      <c r="Z64" s="35">
        <v>7</v>
      </c>
      <c r="AA64" s="13" t="b">
        <v>1</v>
      </c>
      <c r="AB64" s="1" t="s">
        <v>1897</v>
      </c>
      <c r="AC64" s="57" t="s">
        <v>1393</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1647</v>
      </c>
      <c r="D65" s="40">
        <v>0</v>
      </c>
      <c r="H65" s="40" t="s">
        <v>295</v>
      </c>
      <c r="I65" s="40" t="s">
        <v>296</v>
      </c>
      <c r="J65" s="40" t="s">
        <v>297</v>
      </c>
      <c r="K65" s="40" t="s">
        <v>1662</v>
      </c>
      <c r="L65" s="40">
        <v>0</v>
      </c>
      <c r="O65" s="40">
        <v>1</v>
      </c>
      <c r="P65" s="40" t="s">
        <v>298</v>
      </c>
      <c r="Q65" s="1" t="s">
        <v>1514</v>
      </c>
      <c r="R65" s="1"/>
      <c r="T65" s="40">
        <v>8</v>
      </c>
      <c r="W65" s="1">
        <v>8</v>
      </c>
      <c r="X65" s="1">
        <v>14</v>
      </c>
      <c r="Y65" s="1" t="s">
        <v>2077</v>
      </c>
      <c r="Z65" s="40">
        <v>8</v>
      </c>
      <c r="AA65" s="13" t="b">
        <v>1</v>
      </c>
      <c r="AB65" s="1"/>
      <c r="AC65" s="57" t="s">
        <v>1462</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1647</v>
      </c>
      <c r="D66" s="40">
        <v>0</v>
      </c>
      <c r="H66" s="40" t="s">
        <v>180</v>
      </c>
      <c r="I66" s="40" t="s">
        <v>179</v>
      </c>
      <c r="J66" s="40" t="s">
        <v>301</v>
      </c>
      <c r="K66" s="40" t="s">
        <v>180</v>
      </c>
      <c r="L66" s="40">
        <v>0</v>
      </c>
      <c r="O66" s="40">
        <v>1</v>
      </c>
      <c r="P66" s="40" t="s">
        <v>302</v>
      </c>
      <c r="Q66" s="1" t="s">
        <v>278</v>
      </c>
      <c r="R66" s="1"/>
      <c r="S66" s="40">
        <v>5</v>
      </c>
      <c r="T66" s="40">
        <v>15</v>
      </c>
      <c r="V66" s="40">
        <v>16</v>
      </c>
      <c r="W66" s="1">
        <v>15</v>
      </c>
      <c r="X66" s="1">
        <v>20</v>
      </c>
      <c r="Y66" s="1" t="s">
        <v>2078</v>
      </c>
      <c r="Z66" s="40">
        <v>8</v>
      </c>
      <c r="AA66" s="13" t="b">
        <v>1</v>
      </c>
      <c r="AB66" s="1"/>
      <c r="AC66" s="57" t="s">
        <v>1400</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1647</v>
      </c>
      <c r="D67" s="35">
        <v>1</v>
      </c>
      <c r="E67" s="35" t="s">
        <v>305</v>
      </c>
      <c r="H67" s="35" t="s">
        <v>306</v>
      </c>
      <c r="I67" s="35" t="s">
        <v>305</v>
      </c>
      <c r="J67" s="35" t="s">
        <v>36</v>
      </c>
      <c r="K67" s="35" t="s">
        <v>1663</v>
      </c>
      <c r="L67" s="35">
        <v>0</v>
      </c>
      <c r="O67" s="35">
        <v>1</v>
      </c>
      <c r="P67" s="35" t="s">
        <v>307</v>
      </c>
      <c r="Q67" s="1" t="s">
        <v>302</v>
      </c>
      <c r="R67" s="1"/>
      <c r="T67" s="35">
        <v>21</v>
      </c>
      <c r="V67" s="35">
        <v>20</v>
      </c>
      <c r="W67" s="1">
        <v>21</v>
      </c>
      <c r="X67" s="1">
        <v>20</v>
      </c>
      <c r="Y67" s="1" t="s">
        <v>2079</v>
      </c>
      <c r="Z67" s="35">
        <v>7</v>
      </c>
      <c r="AA67" s="13" t="b">
        <v>1</v>
      </c>
      <c r="AB67" s="1"/>
      <c r="AC67" s="57" t="s">
        <v>1394</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1647</v>
      </c>
      <c r="D68" s="72">
        <v>0</v>
      </c>
      <c r="H68" s="72" t="s">
        <v>193</v>
      </c>
      <c r="I68" s="72" t="s">
        <v>310</v>
      </c>
      <c r="J68" s="72" t="s">
        <v>194</v>
      </c>
      <c r="K68" s="72" t="s">
        <v>310</v>
      </c>
      <c r="L68" s="72">
        <v>0</v>
      </c>
      <c r="O68" s="72">
        <v>1</v>
      </c>
      <c r="P68" s="72" t="s">
        <v>311</v>
      </c>
      <c r="Q68" s="1"/>
      <c r="R68" s="1" t="s">
        <v>1789</v>
      </c>
      <c r="T68" s="72">
        <v>9.4</v>
      </c>
      <c r="V68" s="72">
        <v>12</v>
      </c>
      <c r="W68" s="1">
        <v>9.4</v>
      </c>
      <c r="X68" s="1">
        <v>16</v>
      </c>
      <c r="Y68" s="1" t="s">
        <v>2080</v>
      </c>
      <c r="Z68" s="72">
        <v>14</v>
      </c>
      <c r="AA68" s="13" t="b">
        <v>1</v>
      </c>
      <c r="AB68" s="1"/>
      <c r="AC68" s="57" t="s">
        <v>1401</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1647</v>
      </c>
      <c r="D69" s="40">
        <v>0</v>
      </c>
      <c r="H69" s="40" t="s">
        <v>129</v>
      </c>
      <c r="I69" s="40" t="s">
        <v>314</v>
      </c>
      <c r="J69" s="40" t="s">
        <v>315</v>
      </c>
      <c r="K69" s="40" t="s">
        <v>384</v>
      </c>
      <c r="L69" s="40">
        <v>0</v>
      </c>
      <c r="O69" s="40">
        <v>1</v>
      </c>
      <c r="P69" s="40" t="s">
        <v>316</v>
      </c>
      <c r="Q69" s="1" t="s">
        <v>1515</v>
      </c>
      <c r="R69" s="1"/>
      <c r="S69" s="40">
        <v>10</v>
      </c>
      <c r="U69" s="40">
        <v>11</v>
      </c>
      <c r="W69" s="1">
        <v>10</v>
      </c>
      <c r="X69" s="1">
        <v>13</v>
      </c>
      <c r="Y69" s="1" t="s">
        <v>2081</v>
      </c>
      <c r="Z69" s="40">
        <v>8</v>
      </c>
      <c r="AA69" s="13" t="b">
        <v>1</v>
      </c>
      <c r="AB69" s="1"/>
      <c r="AC69" s="57" t="s">
        <v>1402</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1647</v>
      </c>
      <c r="D70" s="25">
        <v>0</v>
      </c>
      <c r="H70" s="25" t="s">
        <v>319</v>
      </c>
      <c r="I70" s="25" t="s">
        <v>320</v>
      </c>
      <c r="J70" s="25" t="s">
        <v>321</v>
      </c>
      <c r="K70" s="25" t="s">
        <v>496</v>
      </c>
      <c r="L70" s="25">
        <v>0</v>
      </c>
      <c r="O70" s="25">
        <v>1</v>
      </c>
      <c r="Q70" s="1" t="s">
        <v>1516</v>
      </c>
      <c r="R70" s="1"/>
      <c r="T70" s="25">
        <v>6</v>
      </c>
      <c r="V70" s="25">
        <v>8</v>
      </c>
      <c r="W70" s="1">
        <v>6</v>
      </c>
      <c r="X70" s="1">
        <v>13</v>
      </c>
      <c r="Y70" s="1" t="s">
        <v>2082</v>
      </c>
      <c r="Z70" s="25">
        <v>5</v>
      </c>
      <c r="AA70" s="13" t="b">
        <v>1</v>
      </c>
      <c r="AB70" s="1"/>
      <c r="AC70" s="57" t="s">
        <v>1282</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1647</v>
      </c>
      <c r="D71" s="25">
        <v>0</v>
      </c>
      <c r="H71" s="25" t="s">
        <v>324</v>
      </c>
      <c r="I71" s="25" t="s">
        <v>325</v>
      </c>
      <c r="J71" s="25" t="s">
        <v>324</v>
      </c>
      <c r="K71" s="25" t="s">
        <v>1664</v>
      </c>
      <c r="L71" s="25">
        <v>0</v>
      </c>
      <c r="O71" s="25">
        <v>0</v>
      </c>
      <c r="Q71" s="1" t="s">
        <v>522</v>
      </c>
      <c r="R71" s="1"/>
      <c r="S71" s="25">
        <v>8.4</v>
      </c>
      <c r="V71" s="25">
        <v>9</v>
      </c>
      <c r="W71" s="1">
        <v>8</v>
      </c>
      <c r="X71" s="1">
        <v>12</v>
      </c>
      <c r="Y71" s="1" t="s">
        <v>2083</v>
      </c>
      <c r="Z71" s="25">
        <v>5</v>
      </c>
      <c r="AA71" s="13" t="b">
        <v>1</v>
      </c>
      <c r="AB71" s="1"/>
      <c r="AC71" s="57" t="s">
        <v>1318</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1647</v>
      </c>
      <c r="D72" s="3">
        <v>0</v>
      </c>
      <c r="H72" s="3" t="s">
        <v>328</v>
      </c>
      <c r="I72" s="3" t="s">
        <v>329</v>
      </c>
      <c r="J72" s="3" t="s">
        <v>330</v>
      </c>
      <c r="K72" s="3" t="s">
        <v>328</v>
      </c>
      <c r="L72" s="3">
        <v>1</v>
      </c>
      <c r="M72" s="3" t="s">
        <v>331</v>
      </c>
      <c r="O72" s="3">
        <v>1</v>
      </c>
      <c r="P72" s="3" t="s">
        <v>332</v>
      </c>
      <c r="Q72" s="1" t="s">
        <v>614</v>
      </c>
      <c r="R72" s="1"/>
      <c r="S72" s="3">
        <v>8</v>
      </c>
      <c r="V72" s="3">
        <v>12</v>
      </c>
      <c r="W72" s="1">
        <v>8</v>
      </c>
      <c r="X72" s="1">
        <v>14</v>
      </c>
      <c r="Y72" s="1" t="s">
        <v>2084</v>
      </c>
      <c r="Z72" s="3">
        <v>1</v>
      </c>
      <c r="AA72" s="13" t="b">
        <v>1</v>
      </c>
      <c r="AB72" s="1" t="s">
        <v>1897</v>
      </c>
      <c r="AC72" s="57" t="s">
        <v>1319</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1647</v>
      </c>
      <c r="D73" s="30">
        <v>0</v>
      </c>
      <c r="H73" s="30" t="s">
        <v>335</v>
      </c>
      <c r="I73" s="30" t="s">
        <v>230</v>
      </c>
      <c r="J73" s="30" t="s">
        <v>335</v>
      </c>
      <c r="K73" s="30" t="s">
        <v>230</v>
      </c>
      <c r="L73" s="30">
        <v>1</v>
      </c>
      <c r="M73" s="30" t="s">
        <v>336</v>
      </c>
      <c r="O73" s="30">
        <v>0</v>
      </c>
      <c r="Q73" s="1" t="s">
        <v>1517</v>
      </c>
      <c r="R73" s="1"/>
      <c r="T73" s="30">
        <v>15</v>
      </c>
      <c r="V73" s="30">
        <v>14</v>
      </c>
      <c r="W73" s="1">
        <v>15</v>
      </c>
      <c r="X73" s="1">
        <v>13</v>
      </c>
      <c r="Y73" s="1" t="s">
        <v>2085</v>
      </c>
      <c r="Z73" s="30">
        <v>6</v>
      </c>
      <c r="AA73" s="13" t="b">
        <v>1</v>
      </c>
      <c r="AB73" s="1"/>
      <c r="AC73" s="57" t="s">
        <v>1320</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1647</v>
      </c>
      <c r="D74" s="40">
        <v>0</v>
      </c>
      <c r="H74" s="40" t="s">
        <v>339</v>
      </c>
      <c r="I74" s="40" t="s">
        <v>340</v>
      </c>
      <c r="J74" s="40" t="s">
        <v>339</v>
      </c>
      <c r="K74" s="40" t="s">
        <v>1665</v>
      </c>
      <c r="L74" s="40">
        <v>0</v>
      </c>
      <c r="O74" s="40">
        <v>1</v>
      </c>
      <c r="P74" s="40" t="s">
        <v>341</v>
      </c>
      <c r="Q74" s="1" t="s">
        <v>1518</v>
      </c>
      <c r="R74" s="1"/>
      <c r="S74" s="40">
        <v>3</v>
      </c>
      <c r="W74" s="1">
        <v>3</v>
      </c>
      <c r="X74" s="1">
        <v>9</v>
      </c>
      <c r="Y74" s="1" t="s">
        <v>2086</v>
      </c>
      <c r="Z74" s="40">
        <v>8</v>
      </c>
      <c r="AA74" s="13" t="b">
        <v>1</v>
      </c>
      <c r="AB74" s="1"/>
      <c r="AC74" s="57" t="s">
        <v>1283</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1647</v>
      </c>
      <c r="D75" s="40">
        <v>0</v>
      </c>
      <c r="H75" s="40" t="s">
        <v>344</v>
      </c>
      <c r="I75" s="40" t="s">
        <v>345</v>
      </c>
      <c r="J75" s="40" t="s">
        <v>346</v>
      </c>
      <c r="K75" s="40" t="s">
        <v>526</v>
      </c>
      <c r="L75" s="40">
        <v>0</v>
      </c>
      <c r="O75" s="40">
        <v>1</v>
      </c>
      <c r="P75" s="40" t="s">
        <v>347</v>
      </c>
      <c r="Q75" s="1" t="s">
        <v>210</v>
      </c>
      <c r="R75" s="1"/>
      <c r="S75" s="40">
        <v>16</v>
      </c>
      <c r="W75" s="1">
        <v>16</v>
      </c>
      <c r="X75" s="1">
        <v>15</v>
      </c>
      <c r="Y75" s="1" t="s">
        <v>2087</v>
      </c>
      <c r="Z75" s="40">
        <v>8</v>
      </c>
      <c r="AA75" s="13" t="b">
        <v>1</v>
      </c>
      <c r="AB75" s="1"/>
      <c r="AC75" s="57" t="s">
        <v>1403</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1647</v>
      </c>
      <c r="D76" s="59">
        <v>1</v>
      </c>
      <c r="H76" s="59" t="s">
        <v>349</v>
      </c>
      <c r="I76" s="59" t="s">
        <v>350</v>
      </c>
      <c r="J76" s="59" t="s">
        <v>349</v>
      </c>
      <c r="K76" s="59" t="s">
        <v>1643</v>
      </c>
      <c r="L76" s="59">
        <v>1</v>
      </c>
      <c r="M76" s="59" t="s">
        <v>351</v>
      </c>
      <c r="O76" s="59">
        <v>1</v>
      </c>
      <c r="Q76" s="1"/>
      <c r="R76" s="1" t="s">
        <v>1790</v>
      </c>
      <c r="S76" s="59">
        <v>12.27</v>
      </c>
      <c r="U76" s="59">
        <v>13</v>
      </c>
      <c r="W76" s="1">
        <v>12</v>
      </c>
      <c r="X76" s="1">
        <v>12</v>
      </c>
      <c r="Y76" s="1" t="s">
        <v>2088</v>
      </c>
      <c r="Z76" s="59">
        <v>11</v>
      </c>
      <c r="AA76" s="13" t="b">
        <v>1</v>
      </c>
      <c r="AB76" s="1"/>
      <c r="AC76" s="57" t="s">
        <v>1905</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1647</v>
      </c>
      <c r="D77" s="3">
        <v>1</v>
      </c>
      <c r="E77" s="3" t="s">
        <v>354</v>
      </c>
      <c r="H77" s="3" t="s">
        <v>355</v>
      </c>
      <c r="I77" s="3" t="s">
        <v>355</v>
      </c>
      <c r="J77" s="3" t="s">
        <v>356</v>
      </c>
      <c r="K77" s="3" t="s">
        <v>355</v>
      </c>
      <c r="L77" s="3">
        <v>0</v>
      </c>
      <c r="O77" s="3">
        <v>1</v>
      </c>
      <c r="P77" s="3" t="s">
        <v>252</v>
      </c>
      <c r="Q77" s="1" t="s">
        <v>1519</v>
      </c>
      <c r="R77" s="1"/>
      <c r="S77" s="3">
        <v>25</v>
      </c>
      <c r="U77" s="3">
        <v>34</v>
      </c>
      <c r="V77" s="3">
        <v>24</v>
      </c>
      <c r="W77" s="1">
        <v>25</v>
      </c>
      <c r="X77" s="1">
        <v>28</v>
      </c>
      <c r="Y77" s="1" t="s">
        <v>2089</v>
      </c>
      <c r="Z77" s="3">
        <v>1</v>
      </c>
      <c r="AA77" s="13" t="b">
        <v>1</v>
      </c>
      <c r="AB77" s="1"/>
      <c r="AC77" s="57" t="s">
        <v>1717</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1647</v>
      </c>
      <c r="D78" s="25">
        <v>0</v>
      </c>
      <c r="H78" s="25" t="s">
        <v>359</v>
      </c>
      <c r="I78" s="25" t="s">
        <v>360</v>
      </c>
      <c r="J78" s="25" t="s">
        <v>359</v>
      </c>
      <c r="K78" s="25" t="s">
        <v>359</v>
      </c>
      <c r="L78" s="25">
        <v>0</v>
      </c>
      <c r="O78" s="25">
        <v>1</v>
      </c>
      <c r="Q78" s="1" t="s">
        <v>783</v>
      </c>
      <c r="R78" s="1"/>
      <c r="S78" s="25">
        <v>7</v>
      </c>
      <c r="W78" s="1">
        <v>7</v>
      </c>
      <c r="X78" s="1">
        <v>5</v>
      </c>
      <c r="Y78" s="1" t="s">
        <v>2090</v>
      </c>
      <c r="Z78" s="25">
        <v>5</v>
      </c>
      <c r="AA78" s="13" t="b">
        <v>1</v>
      </c>
      <c r="AB78" s="1"/>
      <c r="AC78" s="57" t="s">
        <v>1284</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1647</v>
      </c>
      <c r="D79" s="40">
        <v>0</v>
      </c>
      <c r="H79" s="40" t="s">
        <v>363</v>
      </c>
      <c r="I79" s="40" t="s">
        <v>364</v>
      </c>
      <c r="J79" s="40" t="s">
        <v>364</v>
      </c>
      <c r="K79" s="40" t="s">
        <v>1666</v>
      </c>
      <c r="L79" s="40">
        <v>0</v>
      </c>
      <c r="O79" s="40">
        <v>1</v>
      </c>
      <c r="P79" s="40" t="s">
        <v>365</v>
      </c>
      <c r="Q79" s="1" t="s">
        <v>1520</v>
      </c>
      <c r="R79" s="1"/>
      <c r="S79" s="40">
        <v>15</v>
      </c>
      <c r="T79" s="40">
        <v>18</v>
      </c>
      <c r="W79" s="1">
        <v>15</v>
      </c>
      <c r="X79" s="1">
        <v>23</v>
      </c>
      <c r="Y79" s="1" t="s">
        <v>2091</v>
      </c>
      <c r="Z79" s="40">
        <v>8</v>
      </c>
      <c r="AA79" s="13" t="b">
        <v>1</v>
      </c>
      <c r="AB79" s="1"/>
      <c r="AC79" s="57" t="s">
        <v>1404</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1647</v>
      </c>
      <c r="D80" s="25">
        <v>0</v>
      </c>
      <c r="H80" s="25" t="s">
        <v>368</v>
      </c>
      <c r="I80" s="25" t="s">
        <v>369</v>
      </c>
      <c r="J80" s="25" t="s">
        <v>368</v>
      </c>
      <c r="K80" s="25" t="s">
        <v>369</v>
      </c>
      <c r="L80" s="25">
        <v>0</v>
      </c>
      <c r="O80" s="25">
        <v>0</v>
      </c>
      <c r="Q80" s="1" t="s">
        <v>1521</v>
      </c>
      <c r="R80" s="1"/>
      <c r="S80" s="25">
        <v>15</v>
      </c>
      <c r="W80" s="1">
        <v>15</v>
      </c>
      <c r="X80" s="1">
        <v>15</v>
      </c>
      <c r="Y80" s="1" t="s">
        <v>2092</v>
      </c>
      <c r="Z80" s="25">
        <v>5</v>
      </c>
      <c r="AA80" s="13" t="b">
        <v>1</v>
      </c>
      <c r="AB80" s="1" t="s">
        <v>1893</v>
      </c>
      <c r="AC80" s="57" t="s">
        <v>1311</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1647</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v>14</v>
      </c>
      <c r="Y81" s="1" t="s">
        <v>2093</v>
      </c>
      <c r="Z81" s="35">
        <v>7</v>
      </c>
      <c r="AA81" s="13" t="b">
        <v>1</v>
      </c>
      <c r="AB81" s="1"/>
      <c r="AC81" s="57" t="s">
        <v>1395</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1647</v>
      </c>
      <c r="D82" s="25">
        <v>0</v>
      </c>
      <c r="H82" s="25" t="s">
        <v>378</v>
      </c>
      <c r="I82" s="25" t="s">
        <v>185</v>
      </c>
      <c r="J82" s="25" t="s">
        <v>378</v>
      </c>
      <c r="K82" s="25" t="s">
        <v>185</v>
      </c>
      <c r="L82" s="25">
        <v>0</v>
      </c>
      <c r="O82" s="25">
        <v>1</v>
      </c>
      <c r="Q82" s="1" t="s">
        <v>1522</v>
      </c>
      <c r="R82" s="1"/>
      <c r="T82" s="25">
        <v>11</v>
      </c>
      <c r="V82" s="25">
        <v>11</v>
      </c>
      <c r="W82" s="1">
        <v>11</v>
      </c>
      <c r="X82" s="1">
        <v>14</v>
      </c>
      <c r="Y82" s="1" t="s">
        <v>2094</v>
      </c>
      <c r="Z82" s="25">
        <v>5</v>
      </c>
      <c r="AA82" s="13" t="b">
        <v>1</v>
      </c>
      <c r="AB82" s="1"/>
      <c r="AC82" s="57" t="s">
        <v>1321</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1647</v>
      </c>
      <c r="D83" s="40">
        <v>0</v>
      </c>
      <c r="H83" s="40" t="s">
        <v>25</v>
      </c>
      <c r="I83" s="40" t="s">
        <v>380</v>
      </c>
      <c r="J83" s="40" t="s">
        <v>25</v>
      </c>
      <c r="K83" s="40" t="s">
        <v>25</v>
      </c>
      <c r="L83" s="40">
        <v>0</v>
      </c>
      <c r="O83" s="40">
        <v>1</v>
      </c>
      <c r="P83" s="40" t="s">
        <v>381</v>
      </c>
      <c r="Q83" s="1" t="s">
        <v>316</v>
      </c>
      <c r="R83" s="1"/>
      <c r="S83" s="40">
        <v>7</v>
      </c>
      <c r="U83" s="40">
        <v>10</v>
      </c>
      <c r="W83" s="1">
        <v>7</v>
      </c>
      <c r="X83" s="1">
        <v>14</v>
      </c>
      <c r="Y83" s="1" t="s">
        <v>2095</v>
      </c>
      <c r="Z83" s="40">
        <v>8</v>
      </c>
      <c r="AA83" s="13" t="b">
        <v>1</v>
      </c>
      <c r="AB83" s="1"/>
      <c r="AC83" s="57" t="s">
        <v>1402</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1647</v>
      </c>
      <c r="D84" s="72">
        <v>0</v>
      </c>
      <c r="H84" s="72" t="s">
        <v>383</v>
      </c>
      <c r="I84" s="72" t="s">
        <v>31</v>
      </c>
      <c r="J84" s="72" t="s">
        <v>383</v>
      </c>
      <c r="K84" s="72" t="s">
        <v>32</v>
      </c>
      <c r="L84" s="72">
        <v>0</v>
      </c>
      <c r="O84" s="72">
        <v>1</v>
      </c>
      <c r="P84" s="72" t="s">
        <v>384</v>
      </c>
      <c r="Q84" s="1"/>
      <c r="R84" s="1" t="s">
        <v>1791</v>
      </c>
      <c r="S84" s="72">
        <v>7</v>
      </c>
      <c r="U84" s="72">
        <v>8</v>
      </c>
      <c r="W84" s="1">
        <v>7</v>
      </c>
      <c r="X84" s="1">
        <v>8</v>
      </c>
      <c r="Y84" s="1" t="s">
        <v>2096</v>
      </c>
      <c r="Z84" s="72">
        <v>14</v>
      </c>
      <c r="AA84" s="13" t="b">
        <v>1</v>
      </c>
      <c r="AB84" s="1"/>
      <c r="AC84" s="57" t="s">
        <v>1405</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1647</v>
      </c>
      <c r="D85" s="25">
        <v>0</v>
      </c>
      <c r="H85" s="25" t="s">
        <v>35</v>
      </c>
      <c r="I85" s="25" t="s">
        <v>386</v>
      </c>
      <c r="J85" s="25" t="s">
        <v>35</v>
      </c>
      <c r="K85" s="25" t="s">
        <v>1546</v>
      </c>
      <c r="L85" s="25">
        <v>0</v>
      </c>
      <c r="O85" s="25">
        <v>0</v>
      </c>
      <c r="Q85" s="1" t="s">
        <v>974</v>
      </c>
      <c r="R85" s="1"/>
      <c r="S85" s="25">
        <v>7</v>
      </c>
      <c r="U85" s="25">
        <v>6</v>
      </c>
      <c r="W85" s="1">
        <v>7</v>
      </c>
      <c r="X85" s="1">
        <v>6</v>
      </c>
      <c r="Y85" s="1" t="s">
        <v>2097</v>
      </c>
      <c r="Z85" s="25">
        <v>5</v>
      </c>
      <c r="AA85" s="13" t="b">
        <v>1</v>
      </c>
      <c r="AB85" s="1"/>
      <c r="AC85" s="57" t="s">
        <v>1329</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1647</v>
      </c>
      <c r="D86" s="30">
        <v>1</v>
      </c>
      <c r="H86" s="30" t="s">
        <v>388</v>
      </c>
      <c r="I86" s="30" t="s">
        <v>389</v>
      </c>
      <c r="J86" s="30" t="s">
        <v>388</v>
      </c>
      <c r="K86" s="30" t="s">
        <v>1667</v>
      </c>
      <c r="L86" s="30">
        <v>0</v>
      </c>
      <c r="O86" s="30">
        <v>0</v>
      </c>
      <c r="Q86" s="1" t="s">
        <v>1514</v>
      </c>
      <c r="R86" s="1"/>
      <c r="T86" s="30">
        <v>16</v>
      </c>
      <c r="W86" s="1">
        <v>16</v>
      </c>
      <c r="X86" s="1">
        <v>17</v>
      </c>
      <c r="Y86" s="1" t="s">
        <v>2098</v>
      </c>
      <c r="Z86" s="30">
        <v>6</v>
      </c>
      <c r="AA86" s="13" t="b">
        <v>1</v>
      </c>
      <c r="AB86" s="1" t="s">
        <v>1889</v>
      </c>
      <c r="AC86" s="57" t="s">
        <v>1923</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1647</v>
      </c>
      <c r="D87" s="25">
        <v>0</v>
      </c>
      <c r="H87" s="25" t="s">
        <v>391</v>
      </c>
      <c r="I87" s="25" t="s">
        <v>392</v>
      </c>
      <c r="J87" s="25" t="s">
        <v>391</v>
      </c>
      <c r="K87" s="25" t="s">
        <v>1668</v>
      </c>
      <c r="L87" s="25">
        <v>0</v>
      </c>
      <c r="O87" s="25">
        <v>0</v>
      </c>
      <c r="Q87" s="1" t="s">
        <v>1523</v>
      </c>
      <c r="R87" s="1"/>
      <c r="S87" s="25">
        <v>7</v>
      </c>
      <c r="U87" s="25">
        <v>8</v>
      </c>
      <c r="W87" s="1">
        <v>7</v>
      </c>
      <c r="X87" s="1">
        <v>13</v>
      </c>
      <c r="Y87" s="1" t="s">
        <v>2099</v>
      </c>
      <c r="Z87" s="25">
        <v>5</v>
      </c>
      <c r="AA87" s="13" t="b">
        <v>1</v>
      </c>
      <c r="AB87" s="1"/>
      <c r="AC87" s="57" t="s">
        <v>1330</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1647</v>
      </c>
      <c r="D88" s="25">
        <v>0</v>
      </c>
      <c r="H88" s="25" t="s">
        <v>39</v>
      </c>
      <c r="I88" s="25" t="s">
        <v>395</v>
      </c>
      <c r="J88" s="25" t="s">
        <v>39</v>
      </c>
      <c r="K88" s="25" t="s">
        <v>395</v>
      </c>
      <c r="L88" s="25">
        <v>0</v>
      </c>
      <c r="O88" s="25">
        <v>0</v>
      </c>
      <c r="Q88" s="1" t="s">
        <v>1524</v>
      </c>
      <c r="R88" s="1"/>
      <c r="T88" s="25">
        <v>12</v>
      </c>
      <c r="V88" s="25">
        <v>12</v>
      </c>
      <c r="W88" s="1">
        <v>12</v>
      </c>
      <c r="X88" s="1">
        <v>14</v>
      </c>
      <c r="Y88" s="1" t="s">
        <v>2100</v>
      </c>
      <c r="Z88" s="25">
        <v>5</v>
      </c>
      <c r="AA88" s="13" t="b">
        <v>1</v>
      </c>
      <c r="AB88" s="1"/>
      <c r="AC88" s="57" t="s">
        <v>1331</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1647</v>
      </c>
      <c r="D89" s="17">
        <v>3</v>
      </c>
      <c r="E89" s="17" t="s">
        <v>43</v>
      </c>
      <c r="F89" s="17" t="s">
        <v>398</v>
      </c>
      <c r="G89" s="17" t="s">
        <v>398</v>
      </c>
      <c r="H89" s="17" t="s">
        <v>399</v>
      </c>
      <c r="I89" s="17" t="s">
        <v>43</v>
      </c>
      <c r="J89" s="17" t="s">
        <v>399</v>
      </c>
      <c r="K89" s="17" t="s">
        <v>398</v>
      </c>
      <c r="L89" s="17">
        <v>1</v>
      </c>
      <c r="M89" s="17" t="s">
        <v>400</v>
      </c>
      <c r="O89" s="17">
        <v>1</v>
      </c>
      <c r="P89" s="17" t="s">
        <v>401</v>
      </c>
      <c r="Q89" s="1" t="s">
        <v>1525</v>
      </c>
      <c r="R89" s="1"/>
      <c r="T89" s="17">
        <v>7</v>
      </c>
      <c r="V89" s="17">
        <v>9</v>
      </c>
      <c r="W89" s="1">
        <v>7</v>
      </c>
      <c r="X89" s="1">
        <v>14</v>
      </c>
      <c r="Y89" s="1" t="s">
        <v>2101</v>
      </c>
      <c r="Z89" s="17">
        <v>3</v>
      </c>
      <c r="AA89" s="13" t="b">
        <v>1</v>
      </c>
      <c r="AB89" s="1" t="s">
        <v>1889</v>
      </c>
      <c r="AC89" s="57" t="s">
        <v>1332</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1647</v>
      </c>
      <c r="D90" s="25">
        <v>0</v>
      </c>
      <c r="H90" s="25" t="s">
        <v>404</v>
      </c>
      <c r="I90" s="25" t="s">
        <v>405</v>
      </c>
      <c r="J90" s="25" t="s">
        <v>404</v>
      </c>
      <c r="K90" s="25" t="s">
        <v>405</v>
      </c>
      <c r="L90" s="25">
        <v>0</v>
      </c>
      <c r="O90" s="25">
        <v>0</v>
      </c>
      <c r="Q90" s="1" t="s">
        <v>1526</v>
      </c>
      <c r="R90" s="1"/>
      <c r="T90" s="25">
        <v>8</v>
      </c>
      <c r="V90" s="25">
        <v>8</v>
      </c>
      <c r="W90" s="1">
        <v>8</v>
      </c>
      <c r="X90" s="1">
        <v>8</v>
      </c>
      <c r="Y90" s="1" t="s">
        <v>2102</v>
      </c>
      <c r="Z90" s="25">
        <v>5</v>
      </c>
      <c r="AA90" s="13" t="b">
        <v>1</v>
      </c>
      <c r="AB90" s="1"/>
      <c r="AC90" s="57" t="s">
        <v>1333</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1647</v>
      </c>
      <c r="D91" s="25">
        <v>0</v>
      </c>
      <c r="H91" s="25" t="s">
        <v>408</v>
      </c>
      <c r="I91" s="25" t="s">
        <v>409</v>
      </c>
      <c r="J91" s="25" t="s">
        <v>408</v>
      </c>
      <c r="K91" s="25" t="s">
        <v>409</v>
      </c>
      <c r="L91" s="25">
        <v>0</v>
      </c>
      <c r="O91" s="25">
        <v>0</v>
      </c>
      <c r="Q91" s="1" t="s">
        <v>478</v>
      </c>
      <c r="R91" s="1"/>
      <c r="S91" s="25">
        <v>7</v>
      </c>
      <c r="W91" s="1">
        <v>7</v>
      </c>
      <c r="X91" s="1">
        <v>18</v>
      </c>
      <c r="Y91" s="1" t="s">
        <v>2103</v>
      </c>
      <c r="Z91" s="25">
        <v>5</v>
      </c>
      <c r="AA91" s="13" t="b">
        <v>1</v>
      </c>
      <c r="AB91" s="1" t="s">
        <v>1892</v>
      </c>
      <c r="AC91" s="57" t="s">
        <v>1858</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1647</v>
      </c>
      <c r="D92" s="25">
        <v>0</v>
      </c>
      <c r="H92" s="25" t="s">
        <v>411</v>
      </c>
      <c r="I92" s="25" t="s">
        <v>412</v>
      </c>
      <c r="J92" s="25" t="s">
        <v>411</v>
      </c>
      <c r="K92" s="25" t="s">
        <v>412</v>
      </c>
      <c r="L92" s="25">
        <v>0</v>
      </c>
      <c r="O92" s="25">
        <v>1</v>
      </c>
      <c r="Q92" s="1" t="s">
        <v>1527</v>
      </c>
      <c r="R92" s="1"/>
      <c r="S92" s="25">
        <v>11</v>
      </c>
      <c r="U92" s="25">
        <v>11</v>
      </c>
      <c r="W92" s="1">
        <v>11</v>
      </c>
      <c r="X92" s="1">
        <v>13</v>
      </c>
      <c r="Y92" s="1" t="s">
        <v>2104</v>
      </c>
      <c r="Z92" s="25">
        <v>5</v>
      </c>
      <c r="AA92" s="13" t="b">
        <v>1</v>
      </c>
      <c r="AB92" s="1"/>
      <c r="AC92" s="57" t="s">
        <v>1334</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1647</v>
      </c>
      <c r="D93" s="49">
        <v>0</v>
      </c>
      <c r="H93" s="49" t="s">
        <v>414</v>
      </c>
      <c r="I93" s="49" t="s">
        <v>415</v>
      </c>
      <c r="J93" s="49" t="s">
        <v>416</v>
      </c>
      <c r="K93" s="49" t="s">
        <v>180</v>
      </c>
      <c r="L93" s="49">
        <v>0</v>
      </c>
      <c r="O93" s="49">
        <v>1</v>
      </c>
      <c r="Q93" s="1"/>
      <c r="R93" s="1" t="s">
        <v>1792</v>
      </c>
      <c r="T93" s="49">
        <v>15</v>
      </c>
      <c r="W93" s="1">
        <v>15</v>
      </c>
      <c r="X93" s="1">
        <v>27</v>
      </c>
      <c r="Y93" s="1" t="s">
        <v>2105</v>
      </c>
      <c r="Z93" s="49">
        <v>9</v>
      </c>
      <c r="AA93" s="13" t="b">
        <v>1</v>
      </c>
      <c r="AB93" s="1"/>
      <c r="AC93" s="57" t="s">
        <v>1286</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1647</v>
      </c>
      <c r="D94" s="3">
        <v>0</v>
      </c>
      <c r="H94" s="3" t="s">
        <v>332</v>
      </c>
      <c r="I94" s="3" t="s">
        <v>418</v>
      </c>
      <c r="J94" s="3" t="s">
        <v>332</v>
      </c>
      <c r="K94" s="3" t="s">
        <v>185</v>
      </c>
      <c r="L94" s="3">
        <v>1</v>
      </c>
      <c r="M94" s="3" t="s">
        <v>27</v>
      </c>
      <c r="O94" s="3">
        <v>0</v>
      </c>
      <c r="Q94" s="1" t="s">
        <v>383</v>
      </c>
      <c r="R94" s="1"/>
      <c r="T94" s="3">
        <v>11</v>
      </c>
      <c r="V94" s="3">
        <v>11</v>
      </c>
      <c r="W94" s="1">
        <v>11</v>
      </c>
      <c r="X94" s="1">
        <v>19</v>
      </c>
      <c r="Y94" s="1" t="s">
        <v>2106</v>
      </c>
      <c r="Z94" s="3">
        <v>1</v>
      </c>
      <c r="AA94" s="13" t="b">
        <v>1</v>
      </c>
      <c r="AB94" s="1"/>
      <c r="AC94" s="57" t="s">
        <v>1335</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1647</v>
      </c>
      <c r="D95" s="40">
        <v>0</v>
      </c>
      <c r="H95" s="40" t="s">
        <v>420</v>
      </c>
      <c r="I95" s="40" t="s">
        <v>421</v>
      </c>
      <c r="J95" s="40" t="s">
        <v>422</v>
      </c>
      <c r="K95" s="40" t="s">
        <v>420</v>
      </c>
      <c r="L95" s="40">
        <v>0</v>
      </c>
      <c r="O95" s="40">
        <v>1</v>
      </c>
      <c r="P95" s="40" t="s">
        <v>423</v>
      </c>
      <c r="Q95" s="1" t="s">
        <v>437</v>
      </c>
      <c r="R95" s="1"/>
      <c r="T95" s="40">
        <v>12</v>
      </c>
      <c r="V95" s="40">
        <v>13</v>
      </c>
      <c r="W95" s="1">
        <v>12</v>
      </c>
      <c r="X95" s="1">
        <v>18</v>
      </c>
      <c r="Y95" s="1" t="s">
        <v>2107</v>
      </c>
      <c r="Z95" s="40">
        <v>8</v>
      </c>
      <c r="AA95" s="13" t="b">
        <v>1</v>
      </c>
      <c r="AB95" s="1"/>
      <c r="AC95" s="57" t="s">
        <v>1406</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1647</v>
      </c>
      <c r="D96" s="40">
        <v>0</v>
      </c>
      <c r="H96" s="40" t="s">
        <v>425</v>
      </c>
      <c r="I96" s="40" t="s">
        <v>426</v>
      </c>
      <c r="J96" s="40" t="s">
        <v>427</v>
      </c>
      <c r="K96" s="40" t="s">
        <v>425</v>
      </c>
      <c r="L96" s="40">
        <v>0</v>
      </c>
      <c r="O96" s="40">
        <v>1</v>
      </c>
      <c r="P96" s="40" t="s">
        <v>428</v>
      </c>
      <c r="Q96" s="1" t="s">
        <v>645</v>
      </c>
      <c r="R96" s="1"/>
      <c r="T96" s="40">
        <v>16</v>
      </c>
      <c r="V96" s="40">
        <v>17</v>
      </c>
      <c r="W96" s="1">
        <v>16</v>
      </c>
      <c r="X96" s="1">
        <v>10</v>
      </c>
      <c r="Y96" s="1" t="s">
        <v>2108</v>
      </c>
      <c r="Z96" s="40">
        <v>8</v>
      </c>
      <c r="AA96" s="13" t="b">
        <v>1</v>
      </c>
      <c r="AB96" s="1"/>
      <c r="AC96" s="57" t="s">
        <v>1395</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1647</v>
      </c>
      <c r="D97" s="25">
        <v>0</v>
      </c>
      <c r="H97" s="25" t="s">
        <v>430</v>
      </c>
      <c r="I97" s="25" t="s">
        <v>431</v>
      </c>
      <c r="J97" s="25" t="s">
        <v>430</v>
      </c>
      <c r="K97" s="25" t="s">
        <v>431</v>
      </c>
      <c r="L97" s="25">
        <v>0</v>
      </c>
      <c r="O97" s="25">
        <v>1</v>
      </c>
      <c r="Q97" s="1" t="s">
        <v>438</v>
      </c>
      <c r="R97" s="1"/>
      <c r="T97" s="25">
        <v>11</v>
      </c>
      <c r="V97" s="25">
        <v>11</v>
      </c>
      <c r="W97" s="1">
        <v>11</v>
      </c>
      <c r="X97" s="1">
        <v>17</v>
      </c>
      <c r="Y97" s="1" t="s">
        <v>2109</v>
      </c>
      <c r="Z97" s="25">
        <v>5</v>
      </c>
      <c r="AA97" s="13" t="b">
        <v>1</v>
      </c>
      <c r="AB97" s="1"/>
      <c r="AC97" s="57" t="s">
        <v>1336</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1647</v>
      </c>
      <c r="D98" s="40">
        <v>0</v>
      </c>
      <c r="H98" s="40" t="s">
        <v>433</v>
      </c>
      <c r="I98" s="40" t="s">
        <v>428</v>
      </c>
      <c r="J98" s="40" t="s">
        <v>433</v>
      </c>
      <c r="K98" s="40" t="s">
        <v>1669</v>
      </c>
      <c r="L98" s="40">
        <v>0</v>
      </c>
      <c r="O98" s="40">
        <v>1</v>
      </c>
      <c r="P98" s="40" t="s">
        <v>434</v>
      </c>
      <c r="Q98" s="1" t="s">
        <v>1528</v>
      </c>
      <c r="R98" s="1"/>
      <c r="T98" s="40">
        <v>7</v>
      </c>
      <c r="V98" s="40">
        <v>8</v>
      </c>
      <c r="W98" s="1">
        <v>7</v>
      </c>
      <c r="X98" s="1">
        <v>14</v>
      </c>
      <c r="Y98" s="1" t="s">
        <v>2110</v>
      </c>
      <c r="Z98" s="40">
        <v>8</v>
      </c>
      <c r="AA98" s="13" t="b">
        <v>1</v>
      </c>
      <c r="AB98" s="1"/>
      <c r="AC98" s="57" t="s">
        <v>1407</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1647</v>
      </c>
      <c r="D99" s="25">
        <v>0</v>
      </c>
      <c r="H99" s="25" t="s">
        <v>436</v>
      </c>
      <c r="I99" s="25" t="s">
        <v>437</v>
      </c>
      <c r="J99" s="25" t="s">
        <v>438</v>
      </c>
      <c r="K99" s="25" t="s">
        <v>437</v>
      </c>
      <c r="L99" s="25">
        <v>0</v>
      </c>
      <c r="O99" s="25">
        <v>0</v>
      </c>
      <c r="Q99" s="1" t="s">
        <v>1529</v>
      </c>
      <c r="R99" s="1"/>
      <c r="S99" s="25">
        <v>6</v>
      </c>
      <c r="U99" s="25">
        <v>7</v>
      </c>
      <c r="W99" s="1">
        <v>6</v>
      </c>
      <c r="X99" s="1">
        <v>21</v>
      </c>
      <c r="Y99" s="1" t="s">
        <v>2111</v>
      </c>
      <c r="Z99" s="25">
        <v>5</v>
      </c>
      <c r="AA99" s="13" t="b">
        <v>1</v>
      </c>
      <c r="AB99" s="1"/>
      <c r="AC99" s="57" t="s">
        <v>1298</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1647</v>
      </c>
      <c r="D100" s="30">
        <v>1</v>
      </c>
      <c r="E100" s="30" t="s">
        <v>440</v>
      </c>
      <c r="H100" s="30" t="s">
        <v>441</v>
      </c>
      <c r="I100" s="30" t="s">
        <v>440</v>
      </c>
      <c r="J100" s="30" t="s">
        <v>441</v>
      </c>
      <c r="K100" s="30" t="s">
        <v>441</v>
      </c>
      <c r="L100" s="30">
        <v>0</v>
      </c>
      <c r="O100" s="30">
        <v>1</v>
      </c>
      <c r="Q100" s="1" t="s">
        <v>1530</v>
      </c>
      <c r="R100" s="1"/>
      <c r="S100" s="30">
        <v>9</v>
      </c>
      <c r="W100" s="1">
        <v>9</v>
      </c>
      <c r="X100" s="1">
        <v>16</v>
      </c>
      <c r="Y100" s="1" t="s">
        <v>2112</v>
      </c>
      <c r="Z100" s="30">
        <v>6</v>
      </c>
      <c r="AA100" s="13" t="b">
        <v>1</v>
      </c>
      <c r="AB100" s="1"/>
      <c r="AC100" s="57" t="s">
        <v>1280</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1647</v>
      </c>
      <c r="D101" s="49">
        <v>0</v>
      </c>
      <c r="H101" s="49" t="s">
        <v>443</v>
      </c>
      <c r="I101" s="49" t="s">
        <v>444</v>
      </c>
      <c r="J101" s="49" t="s">
        <v>443</v>
      </c>
      <c r="K101" s="49" t="s">
        <v>444</v>
      </c>
      <c r="L101" s="49">
        <v>0</v>
      </c>
      <c r="O101" s="49">
        <v>1</v>
      </c>
      <c r="Q101" s="1"/>
      <c r="R101" s="1" t="s">
        <v>1793</v>
      </c>
      <c r="T101" s="49">
        <v>18</v>
      </c>
      <c r="W101" s="1">
        <v>18</v>
      </c>
      <c r="X101" s="1">
        <v>19</v>
      </c>
      <c r="Y101" s="1" t="s">
        <v>2113</v>
      </c>
      <c r="Z101" s="49">
        <v>9</v>
      </c>
      <c r="AA101" s="13" t="b">
        <v>1</v>
      </c>
      <c r="AB101" s="1"/>
      <c r="AC101" s="57" t="s">
        <v>1408</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1647</v>
      </c>
      <c r="D102" s="25">
        <v>0</v>
      </c>
      <c r="H102" s="25" t="s">
        <v>446</v>
      </c>
      <c r="I102" s="25" t="s">
        <v>447</v>
      </c>
      <c r="J102" s="25" t="s">
        <v>448</v>
      </c>
      <c r="K102" s="25" t="s">
        <v>1670</v>
      </c>
      <c r="L102" s="25">
        <v>0</v>
      </c>
      <c r="O102" s="25">
        <v>0</v>
      </c>
      <c r="Q102" s="1" t="s">
        <v>221</v>
      </c>
      <c r="R102" s="1"/>
      <c r="S102" s="25">
        <v>7</v>
      </c>
      <c r="U102" s="25">
        <v>6</v>
      </c>
      <c r="W102" s="1">
        <v>7</v>
      </c>
      <c r="X102" s="1">
        <v>13</v>
      </c>
      <c r="Y102" s="1" t="s">
        <v>2114</v>
      </c>
      <c r="Z102" s="25">
        <v>5</v>
      </c>
      <c r="AA102" s="13" t="b">
        <v>1</v>
      </c>
      <c r="AB102" s="1"/>
      <c r="AC102" s="57" t="s">
        <v>1305</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1647</v>
      </c>
      <c r="D103" s="25">
        <v>0</v>
      </c>
      <c r="H103" s="25" t="s">
        <v>223</v>
      </c>
      <c r="I103" s="25" t="s">
        <v>451</v>
      </c>
      <c r="J103" s="25" t="s">
        <v>223</v>
      </c>
      <c r="K103" s="25" t="s">
        <v>451</v>
      </c>
      <c r="L103" s="25">
        <v>0</v>
      </c>
      <c r="O103" s="25">
        <v>0</v>
      </c>
      <c r="Q103" s="1" t="s">
        <v>1531</v>
      </c>
      <c r="R103" s="1"/>
      <c r="S103" s="25">
        <v>7</v>
      </c>
      <c r="U103" s="25">
        <v>7</v>
      </c>
      <c r="W103" s="1">
        <v>7</v>
      </c>
      <c r="X103" s="1">
        <v>13</v>
      </c>
      <c r="Y103" s="1" t="s">
        <v>2115</v>
      </c>
      <c r="Z103" s="25">
        <v>5</v>
      </c>
      <c r="AA103" s="13" t="b">
        <v>1</v>
      </c>
      <c r="AB103" s="1"/>
      <c r="AC103" s="57" t="s">
        <v>1333</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1647</v>
      </c>
      <c r="D104" s="72">
        <v>0</v>
      </c>
      <c r="H104" s="72" t="s">
        <v>453</v>
      </c>
      <c r="I104" s="72" t="s">
        <v>454</v>
      </c>
      <c r="J104" s="72" t="s">
        <v>453</v>
      </c>
      <c r="K104" s="72" t="s">
        <v>1671</v>
      </c>
      <c r="L104" s="72">
        <v>0</v>
      </c>
      <c r="O104" s="72">
        <v>1</v>
      </c>
      <c r="P104" s="72" t="s">
        <v>453</v>
      </c>
      <c r="Q104" s="1"/>
      <c r="R104" s="1" t="s">
        <v>455</v>
      </c>
      <c r="T104" s="72">
        <v>8</v>
      </c>
      <c r="W104" s="1">
        <v>8</v>
      </c>
      <c r="X104" s="1">
        <v>19</v>
      </c>
      <c r="Y104" s="1" t="s">
        <v>2116</v>
      </c>
      <c r="Z104" s="72">
        <v>14</v>
      </c>
      <c r="AA104" s="13" t="b">
        <v>1</v>
      </c>
      <c r="AB104" s="1"/>
      <c r="AC104" s="57" t="s">
        <v>1449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1647</v>
      </c>
      <c r="D105" s="30">
        <v>1</v>
      </c>
      <c r="E105" s="30" t="s">
        <v>457</v>
      </c>
      <c r="H105" s="30" t="s">
        <v>458</v>
      </c>
      <c r="I105" s="30" t="s">
        <v>457</v>
      </c>
      <c r="J105" s="30" t="s">
        <v>458</v>
      </c>
      <c r="K105" s="30" t="s">
        <v>1672</v>
      </c>
      <c r="L105" s="30">
        <v>0</v>
      </c>
      <c r="O105" s="30">
        <v>0</v>
      </c>
      <c r="Q105" s="1" t="s">
        <v>1532</v>
      </c>
      <c r="R105" s="1"/>
      <c r="S105" s="30">
        <v>13</v>
      </c>
      <c r="W105" s="1">
        <v>13</v>
      </c>
      <c r="X105" s="1">
        <v>28</v>
      </c>
      <c r="Y105" s="1" t="s">
        <v>2117</v>
      </c>
      <c r="Z105" s="30">
        <v>6</v>
      </c>
      <c r="AA105" s="13" t="b">
        <v>1</v>
      </c>
      <c r="AB105" s="1" t="s">
        <v>1893</v>
      </c>
      <c r="AC105" s="57" t="s">
        <v>1444</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1647</v>
      </c>
      <c r="D106" s="40">
        <v>0</v>
      </c>
      <c r="H106" s="40" t="s">
        <v>458</v>
      </c>
      <c r="I106" s="40" t="s">
        <v>460</v>
      </c>
      <c r="J106" s="40" t="s">
        <v>458</v>
      </c>
      <c r="K106" s="40" t="s">
        <v>460</v>
      </c>
      <c r="L106" s="40">
        <v>0</v>
      </c>
      <c r="O106" s="40">
        <v>1</v>
      </c>
      <c r="P106" s="40" t="s">
        <v>461</v>
      </c>
      <c r="Q106" s="1" t="s">
        <v>1533</v>
      </c>
      <c r="R106" s="1"/>
      <c r="T106" s="40">
        <v>9</v>
      </c>
      <c r="V106" s="40">
        <v>9</v>
      </c>
      <c r="W106" s="1">
        <v>9</v>
      </c>
      <c r="X106" s="1">
        <v>12</v>
      </c>
      <c r="Y106" s="1" t="s">
        <v>2118</v>
      </c>
      <c r="Z106" s="40">
        <v>8</v>
      </c>
      <c r="AA106" s="13" t="b">
        <v>1</v>
      </c>
      <c r="AB106" s="1"/>
      <c r="AC106" s="57" t="s">
        <v>1461</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1647</v>
      </c>
      <c r="D107" s="45">
        <v>0</v>
      </c>
      <c r="H107" s="45" t="s">
        <v>463</v>
      </c>
      <c r="I107" s="45" t="s">
        <v>464</v>
      </c>
      <c r="K107" s="45" t="s">
        <v>685</v>
      </c>
      <c r="L107" s="45">
        <v>0</v>
      </c>
      <c r="O107" s="45">
        <v>1</v>
      </c>
      <c r="P107" s="45" t="s">
        <v>465</v>
      </c>
      <c r="Q107" s="1"/>
      <c r="R107" s="1" t="s">
        <v>1794</v>
      </c>
      <c r="T107" s="45">
        <v>14</v>
      </c>
      <c r="W107" s="1"/>
      <c r="X107" s="1"/>
      <c r="Y107" s="1"/>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1647</v>
      </c>
      <c r="D108" s="72">
        <v>0</v>
      </c>
      <c r="H108" s="72" t="s">
        <v>1243</v>
      </c>
      <c r="I108" s="72" t="s">
        <v>1244</v>
      </c>
      <c r="J108" s="72" t="s">
        <v>1243</v>
      </c>
      <c r="K108" s="72" t="s">
        <v>1243</v>
      </c>
      <c r="L108" s="72">
        <v>0</v>
      </c>
      <c r="O108" s="72">
        <v>1</v>
      </c>
      <c r="P108" s="72" t="s">
        <v>1245</v>
      </c>
      <c r="Q108" s="1"/>
      <c r="R108" s="1" t="s">
        <v>453</v>
      </c>
      <c r="T108" s="72">
        <v>6</v>
      </c>
      <c r="V108" s="72">
        <v>6</v>
      </c>
      <c r="W108" s="1">
        <v>6</v>
      </c>
      <c r="X108" s="1">
        <v>11</v>
      </c>
      <c r="Y108" s="1" t="s">
        <v>2119</v>
      </c>
      <c r="Z108" s="72">
        <v>14</v>
      </c>
      <c r="AA108" s="13" t="b">
        <v>1</v>
      </c>
      <c r="AB108" s="1" t="s">
        <v>1889</v>
      </c>
      <c r="AC108" s="57" t="s">
        <v>1409</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1647</v>
      </c>
      <c r="D109" s="59">
        <v>0</v>
      </c>
      <c r="H109" s="59" t="s">
        <v>123</v>
      </c>
      <c r="I109" s="59" t="s">
        <v>1246</v>
      </c>
      <c r="J109" s="59" t="s">
        <v>716</v>
      </c>
      <c r="K109" s="59" t="s">
        <v>1673</v>
      </c>
      <c r="L109" s="59">
        <v>1</v>
      </c>
      <c r="M109" s="59" t="s">
        <v>1247</v>
      </c>
      <c r="O109" s="59">
        <v>1</v>
      </c>
      <c r="Q109" s="1"/>
      <c r="R109" s="1" t="s">
        <v>700</v>
      </c>
      <c r="S109" s="59">
        <v>10</v>
      </c>
      <c r="T109" s="59">
        <v>5</v>
      </c>
      <c r="U109" s="59">
        <v>10</v>
      </c>
      <c r="V109" s="59">
        <v>7</v>
      </c>
      <c r="W109" s="1">
        <v>10</v>
      </c>
      <c r="X109" s="1">
        <v>13</v>
      </c>
      <c r="Y109" s="1" t="s">
        <v>2120</v>
      </c>
      <c r="Z109" s="59">
        <v>11</v>
      </c>
      <c r="AA109" s="13" t="b">
        <v>1</v>
      </c>
      <c r="AB109" s="1"/>
      <c r="AC109" s="57" t="s">
        <v>1365</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1647</v>
      </c>
      <c r="D110" s="40">
        <v>0</v>
      </c>
      <c r="H110" s="40" t="s">
        <v>1248</v>
      </c>
      <c r="I110" s="40" t="s">
        <v>226</v>
      </c>
      <c r="J110" s="77">
        <v>45650</v>
      </c>
      <c r="K110" s="77" t="s">
        <v>226</v>
      </c>
      <c r="L110" s="40">
        <v>0</v>
      </c>
      <c r="O110" s="40">
        <v>1</v>
      </c>
      <c r="P110" s="40" t="s">
        <v>222</v>
      </c>
      <c r="Q110" s="1" t="s">
        <v>1534</v>
      </c>
      <c r="R110" s="1"/>
      <c r="T110" s="40">
        <v>12</v>
      </c>
      <c r="V110" s="40">
        <v>16</v>
      </c>
      <c r="W110" s="1">
        <v>12</v>
      </c>
      <c r="X110" s="1">
        <v>19</v>
      </c>
      <c r="Y110" s="1" t="s">
        <v>2121</v>
      </c>
      <c r="Z110" s="40">
        <v>8</v>
      </c>
      <c r="AA110" s="13" t="b">
        <v>1</v>
      </c>
      <c r="AB110" s="1" t="s">
        <v>1889</v>
      </c>
      <c r="AC110" s="57" t="s">
        <v>1626</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1647</v>
      </c>
      <c r="D111" s="17">
        <v>1</v>
      </c>
      <c r="E111" s="17" t="s">
        <v>1249</v>
      </c>
      <c r="I111" s="17" t="s">
        <v>1250</v>
      </c>
      <c r="J111" s="17" t="s">
        <v>690</v>
      </c>
      <c r="L111" s="17">
        <v>1</v>
      </c>
      <c r="M111" s="17" t="s">
        <v>140</v>
      </c>
      <c r="O111" s="17">
        <v>1</v>
      </c>
      <c r="Q111" s="1" t="s">
        <v>1535</v>
      </c>
      <c r="R111" s="1"/>
      <c r="T111" s="17">
        <v>17</v>
      </c>
      <c r="V111" s="17">
        <v>17</v>
      </c>
      <c r="W111" s="1">
        <v>17</v>
      </c>
      <c r="X111" s="1">
        <v>17</v>
      </c>
      <c r="Y111" s="1" t="s">
        <v>2122</v>
      </c>
      <c r="Z111" s="17">
        <v>3</v>
      </c>
      <c r="AA111" s="13" t="b">
        <v>1</v>
      </c>
      <c r="AB111" s="1"/>
      <c r="AC111" s="57" t="s">
        <v>1366</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1467</v>
      </c>
      <c r="B112" s="35" t="s">
        <v>1467</v>
      </c>
      <c r="C112" s="1" t="s">
        <v>1647</v>
      </c>
      <c r="D112" s="35">
        <v>2</v>
      </c>
      <c r="E112" s="35" t="s">
        <v>1468</v>
      </c>
      <c r="F112" s="35" t="s">
        <v>1468</v>
      </c>
      <c r="H112" s="35" t="s">
        <v>1468</v>
      </c>
      <c r="I112" s="35" t="s">
        <v>1468</v>
      </c>
      <c r="J112" s="35" t="s">
        <v>1469</v>
      </c>
      <c r="K112" s="35" t="s">
        <v>1468</v>
      </c>
      <c r="L112" s="35">
        <v>0</v>
      </c>
      <c r="P112" s="35" t="s">
        <v>1469</v>
      </c>
      <c r="Q112" s="1" t="s">
        <v>1536</v>
      </c>
      <c r="R112" s="1"/>
      <c r="T112" s="35">
        <v>11</v>
      </c>
      <c r="V112" s="35">
        <v>12</v>
      </c>
      <c r="W112" s="1">
        <v>12</v>
      </c>
      <c r="X112" s="1">
        <v>10</v>
      </c>
      <c r="Y112" s="1" t="s">
        <v>2123</v>
      </c>
      <c r="Z112" s="35">
        <v>7</v>
      </c>
      <c r="AA112" s="13" t="b">
        <v>1</v>
      </c>
      <c r="AB112" s="1"/>
      <c r="AC112" s="57" t="s">
        <v>1395</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1628</v>
      </c>
      <c r="B113" s="72" t="s">
        <v>1628</v>
      </c>
      <c r="C113" s="1" t="s">
        <v>1647</v>
      </c>
      <c r="D113" s="72">
        <v>0</v>
      </c>
      <c r="H113" s="72" t="s">
        <v>1535</v>
      </c>
      <c r="I113" s="72" t="s">
        <v>141</v>
      </c>
      <c r="J113" s="72" t="s">
        <v>1535</v>
      </c>
      <c r="K113" s="72" t="s">
        <v>690</v>
      </c>
      <c r="L113" s="72">
        <v>0</v>
      </c>
      <c r="O113" s="72">
        <v>1</v>
      </c>
      <c r="P113" s="72" t="s">
        <v>1535</v>
      </c>
      <c r="Q113" s="1" t="s">
        <v>1629</v>
      </c>
      <c r="R113" s="1"/>
      <c r="S113" s="72">
        <v>10.6</v>
      </c>
      <c r="W113" s="1">
        <v>11</v>
      </c>
      <c r="X113" s="1">
        <v>0</v>
      </c>
      <c r="Y113" s="1" t="s">
        <v>2124</v>
      </c>
      <c r="Z113" s="72">
        <v>14</v>
      </c>
      <c r="AA113" s="13" t="b">
        <v>1</v>
      </c>
      <c r="AB113" s="1"/>
      <c r="AC113" s="57" t="s">
        <v>1947</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1630</v>
      </c>
      <c r="B114" s="72" t="s">
        <v>1630</v>
      </c>
      <c r="C114" s="1" t="s">
        <v>1647</v>
      </c>
      <c r="D114" s="72">
        <v>0</v>
      </c>
      <c r="H114" s="72" t="s">
        <v>1674</v>
      </c>
      <c r="I114" s="72" t="s">
        <v>1674</v>
      </c>
      <c r="J114" s="72" t="s">
        <v>1734</v>
      </c>
      <c r="K114" s="72" t="s">
        <v>1674</v>
      </c>
      <c r="L114" s="72">
        <v>0</v>
      </c>
      <c r="O114" s="72">
        <v>1</v>
      </c>
      <c r="P114" s="72" t="s">
        <v>1734</v>
      </c>
      <c r="Q114" s="1" t="s">
        <v>1735</v>
      </c>
      <c r="R114" s="1"/>
      <c r="T114" s="72">
        <v>14.6</v>
      </c>
      <c r="V114" s="72">
        <v>8</v>
      </c>
      <c r="W114" s="1">
        <v>15</v>
      </c>
      <c r="X114" s="1">
        <v>12</v>
      </c>
      <c r="Y114" s="1" t="s">
        <v>2125</v>
      </c>
      <c r="Z114" s="72">
        <v>14</v>
      </c>
      <c r="AA114" s="13" t="b">
        <v>1</v>
      </c>
      <c r="AB114" s="1"/>
      <c r="AC114" s="57" t="s">
        <v>1946</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1631</v>
      </c>
      <c r="B115" s="49" t="s">
        <v>1631</v>
      </c>
      <c r="C115" s="1" t="s">
        <v>1647</v>
      </c>
      <c r="D115" s="49">
        <v>0</v>
      </c>
      <c r="H115" s="49" t="s">
        <v>1736</v>
      </c>
      <c r="I115" s="49" t="s">
        <v>1472</v>
      </c>
      <c r="J115" s="49" t="s">
        <v>1736</v>
      </c>
      <c r="K115" s="49" t="s">
        <v>1555</v>
      </c>
      <c r="L115" s="49">
        <v>0</v>
      </c>
      <c r="O115" s="49">
        <v>1</v>
      </c>
      <c r="Q115" s="1" t="s">
        <v>727</v>
      </c>
      <c r="R115" s="1"/>
      <c r="S115" s="49">
        <v>14</v>
      </c>
      <c r="T115" s="49">
        <v>14</v>
      </c>
      <c r="V115" s="49">
        <v>9</v>
      </c>
      <c r="W115" s="1">
        <v>14</v>
      </c>
      <c r="X115" s="1">
        <v>9</v>
      </c>
      <c r="Y115" s="1" t="s">
        <v>2126</v>
      </c>
      <c r="Z115" s="49">
        <v>9</v>
      </c>
      <c r="AA115" s="13" t="b">
        <v>1</v>
      </c>
      <c r="AB115" s="1" t="s">
        <v>1948</v>
      </c>
      <c r="AC115" s="57" t="s">
        <v>1901</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35" customFormat="1" x14ac:dyDescent="0.25">
      <c r="A116" s="35" t="s">
        <v>466</v>
      </c>
      <c r="B116" s="35" t="s">
        <v>467</v>
      </c>
      <c r="C116" s="1" t="s">
        <v>1648</v>
      </c>
      <c r="D116" s="35">
        <v>3</v>
      </c>
      <c r="E116" s="35" t="s">
        <v>468</v>
      </c>
      <c r="F116" s="35" t="s">
        <v>468</v>
      </c>
      <c r="G116" s="35" t="s">
        <v>468</v>
      </c>
      <c r="H116" s="35" t="s">
        <v>468</v>
      </c>
      <c r="I116" s="35" t="s">
        <v>468</v>
      </c>
      <c r="J116" s="35" t="s">
        <v>468</v>
      </c>
      <c r="K116" s="35" t="s">
        <v>468</v>
      </c>
      <c r="L116" s="35">
        <v>0</v>
      </c>
      <c r="O116" s="35">
        <v>1</v>
      </c>
      <c r="Q116" s="1"/>
      <c r="R116" s="1" t="s">
        <v>469</v>
      </c>
      <c r="T116" s="35">
        <v>30</v>
      </c>
      <c r="W116" s="1">
        <v>30</v>
      </c>
      <c r="X116" s="1">
        <v>23</v>
      </c>
      <c r="Y116" s="1" t="s">
        <v>2127</v>
      </c>
      <c r="Z116" s="35">
        <v>7</v>
      </c>
      <c r="AA116" s="13" t="b">
        <v>1</v>
      </c>
      <c r="AB116" s="1"/>
      <c r="AC116" s="57" t="s">
        <v>1718</v>
      </c>
      <c r="AD116" s="1"/>
      <c r="AE116" s="57"/>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row>
    <row r="117" spans="1:331" s="30" customFormat="1" x14ac:dyDescent="0.25">
      <c r="A117" s="30" t="s">
        <v>470</v>
      </c>
      <c r="B117" s="30" t="s">
        <v>471</v>
      </c>
      <c r="C117" s="1" t="s">
        <v>1648</v>
      </c>
      <c r="D117" s="30">
        <v>1</v>
      </c>
      <c r="E117" s="30" t="s">
        <v>472</v>
      </c>
      <c r="H117" s="30" t="s">
        <v>473</v>
      </c>
      <c r="I117" s="30" t="s">
        <v>472</v>
      </c>
      <c r="J117" s="30" t="s">
        <v>473</v>
      </c>
      <c r="K117" s="30" t="s">
        <v>1675</v>
      </c>
      <c r="L117" s="30">
        <v>0</v>
      </c>
      <c r="O117" s="30">
        <v>0</v>
      </c>
      <c r="Q117" s="1" t="s">
        <v>61</v>
      </c>
      <c r="R117" s="1"/>
      <c r="T117" s="30">
        <v>15</v>
      </c>
      <c r="V117" s="30">
        <v>15</v>
      </c>
      <c r="W117" s="1">
        <v>15</v>
      </c>
      <c r="X117" s="1">
        <v>16</v>
      </c>
      <c r="Y117" s="1" t="s">
        <v>2128</v>
      </c>
      <c r="Z117" s="30">
        <v>6</v>
      </c>
      <c r="AA117" s="13" t="b">
        <v>1</v>
      </c>
      <c r="AB117" s="1"/>
      <c r="AC117" s="57" t="s">
        <v>1445</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474</v>
      </c>
      <c r="B118" s="30" t="s">
        <v>475</v>
      </c>
      <c r="C118" s="1" t="s">
        <v>1648</v>
      </c>
      <c r="D118" s="30">
        <v>3</v>
      </c>
      <c r="E118" s="30" t="s">
        <v>476</v>
      </c>
      <c r="F118" s="30" t="s">
        <v>476</v>
      </c>
      <c r="G118" s="30" t="s">
        <v>476</v>
      </c>
      <c r="H118" s="30" t="s">
        <v>477</v>
      </c>
      <c r="I118" s="30" t="s">
        <v>478</v>
      </c>
      <c r="J118" s="30" t="s">
        <v>479</v>
      </c>
      <c r="K118" s="30" t="s">
        <v>477</v>
      </c>
      <c r="L118" s="30">
        <v>0</v>
      </c>
      <c r="O118" s="30">
        <v>1</v>
      </c>
      <c r="Q118" s="1" t="s">
        <v>482</v>
      </c>
      <c r="R118" s="1"/>
      <c r="T118" s="30">
        <v>28</v>
      </c>
      <c r="V118" s="30">
        <v>17</v>
      </c>
      <c r="W118" s="1">
        <v>28</v>
      </c>
      <c r="X118" s="1">
        <v>23</v>
      </c>
      <c r="Y118" s="1" t="s">
        <v>2129</v>
      </c>
      <c r="Z118" s="30">
        <v>6</v>
      </c>
      <c r="AA118" s="13" t="b">
        <v>1</v>
      </c>
      <c r="AB118" s="1"/>
      <c r="AC118" s="57" t="s">
        <v>1906</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17" customFormat="1" x14ac:dyDescent="0.25">
      <c r="A119" s="17" t="s">
        <v>480</v>
      </c>
      <c r="B119" s="21" t="s">
        <v>481</v>
      </c>
      <c r="C119" s="13" t="s">
        <v>1648</v>
      </c>
      <c r="D119" s="17">
        <v>1</v>
      </c>
      <c r="E119" s="17" t="s">
        <v>482</v>
      </c>
      <c r="H119" s="17" t="s">
        <v>482</v>
      </c>
      <c r="I119" s="17" t="s">
        <v>420</v>
      </c>
      <c r="J119" s="17" t="s">
        <v>422</v>
      </c>
      <c r="K119" s="17" t="s">
        <v>482</v>
      </c>
      <c r="L119" s="17">
        <v>1</v>
      </c>
      <c r="M119" s="17" t="s">
        <v>483</v>
      </c>
      <c r="O119" s="17">
        <v>1</v>
      </c>
      <c r="Q119" s="1" t="s">
        <v>483</v>
      </c>
      <c r="R119" s="1"/>
      <c r="S119" s="17">
        <v>12</v>
      </c>
      <c r="T119" s="17">
        <v>4</v>
      </c>
      <c r="U119" s="17">
        <v>14</v>
      </c>
      <c r="V119" s="17">
        <v>4</v>
      </c>
      <c r="W119" s="1">
        <v>12</v>
      </c>
      <c r="X119" s="1">
        <v>11</v>
      </c>
      <c r="Y119" s="1" t="s">
        <v>2130</v>
      </c>
      <c r="Z119" s="17">
        <v>3</v>
      </c>
      <c r="AA119" s="13" t="b">
        <v>1</v>
      </c>
      <c r="AB119" s="1"/>
      <c r="AC119" s="57" t="s">
        <v>1384</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25" customFormat="1" x14ac:dyDescent="0.25">
      <c r="A120" s="25" t="s">
        <v>484</v>
      </c>
      <c r="B120" s="25" t="s">
        <v>485</v>
      </c>
      <c r="C120" s="1" t="s">
        <v>1648</v>
      </c>
      <c r="D120" s="25">
        <v>0</v>
      </c>
      <c r="H120" s="25" t="s">
        <v>486</v>
      </c>
      <c r="I120" s="25" t="s">
        <v>477</v>
      </c>
      <c r="J120" s="25" t="s">
        <v>486</v>
      </c>
      <c r="K120" s="25" t="s">
        <v>476</v>
      </c>
      <c r="L120" s="25">
        <v>0</v>
      </c>
      <c r="O120" s="25">
        <v>0</v>
      </c>
      <c r="Q120" s="1" t="s">
        <v>420</v>
      </c>
      <c r="R120" s="1"/>
      <c r="T120" s="25">
        <v>6</v>
      </c>
      <c r="V120" s="25">
        <v>5</v>
      </c>
      <c r="W120" s="1">
        <v>6</v>
      </c>
      <c r="X120" s="1">
        <v>17</v>
      </c>
      <c r="Y120" s="1" t="s">
        <v>2131</v>
      </c>
      <c r="Z120" s="25">
        <v>5</v>
      </c>
      <c r="AA120" s="13" t="b">
        <v>1</v>
      </c>
      <c r="AB120" s="1"/>
      <c r="AC120" s="57" t="s">
        <v>1287</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17" customFormat="1" x14ac:dyDescent="0.25">
      <c r="A121" s="17" t="s">
        <v>487</v>
      </c>
      <c r="B121" s="21" t="s">
        <v>488</v>
      </c>
      <c r="C121" s="13" t="s">
        <v>1648</v>
      </c>
      <c r="D121" s="17">
        <v>3</v>
      </c>
      <c r="E121" s="17" t="s">
        <v>411</v>
      </c>
      <c r="F121" s="17" t="s">
        <v>411</v>
      </c>
      <c r="G121" s="17" t="s">
        <v>411</v>
      </c>
      <c r="H121" s="17" t="s">
        <v>411</v>
      </c>
      <c r="I121" s="17" t="s">
        <v>411</v>
      </c>
      <c r="J121" s="17" t="s">
        <v>411</v>
      </c>
      <c r="K121" s="17" t="s">
        <v>411</v>
      </c>
      <c r="L121" s="17">
        <v>1</v>
      </c>
      <c r="M121" s="17" t="s">
        <v>489</v>
      </c>
      <c r="O121" s="17">
        <v>1</v>
      </c>
      <c r="Q121" s="1"/>
      <c r="R121" s="1" t="s">
        <v>489</v>
      </c>
      <c r="S121" s="17">
        <v>20.9</v>
      </c>
      <c r="T121" s="17">
        <v>33.799999999999997</v>
      </c>
      <c r="U121" s="17">
        <v>15</v>
      </c>
      <c r="V121" s="17">
        <v>18</v>
      </c>
      <c r="W121" s="1">
        <v>34</v>
      </c>
      <c r="X121" s="1">
        <v>23</v>
      </c>
      <c r="Y121" s="1" t="s">
        <v>2132</v>
      </c>
      <c r="Z121" s="17">
        <v>3</v>
      </c>
      <c r="AA121" s="13" t="b">
        <v>1</v>
      </c>
      <c r="AB121" s="1" t="s">
        <v>1892</v>
      </c>
      <c r="AC121" s="57" t="s">
        <v>1945</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30" customFormat="1" x14ac:dyDescent="0.25">
      <c r="A122" s="30" t="s">
        <v>490</v>
      </c>
      <c r="B122" s="30" t="s">
        <v>491</v>
      </c>
      <c r="C122" s="1" t="s">
        <v>1648</v>
      </c>
      <c r="D122" s="30">
        <v>2</v>
      </c>
      <c r="E122" s="30" t="s">
        <v>492</v>
      </c>
      <c r="F122" s="30" t="s">
        <v>492</v>
      </c>
      <c r="H122" s="30" t="s">
        <v>493</v>
      </c>
      <c r="I122" s="30" t="s">
        <v>492</v>
      </c>
      <c r="J122" s="30" t="s">
        <v>493</v>
      </c>
      <c r="K122" s="30" t="s">
        <v>1676</v>
      </c>
      <c r="L122" s="30">
        <v>0</v>
      </c>
      <c r="O122" s="30">
        <v>0</v>
      </c>
      <c r="Q122" s="1" t="s">
        <v>409</v>
      </c>
      <c r="R122" s="1"/>
      <c r="S122" s="30">
        <v>7</v>
      </c>
      <c r="U122" s="30">
        <v>10</v>
      </c>
      <c r="W122" s="1">
        <v>7</v>
      </c>
      <c r="X122" s="1">
        <v>9</v>
      </c>
      <c r="Y122" s="1" t="s">
        <v>2133</v>
      </c>
      <c r="Z122" s="30">
        <v>6</v>
      </c>
      <c r="AA122" s="13" t="b">
        <v>1</v>
      </c>
      <c r="AB122" s="1"/>
      <c r="AC122" s="57" t="s">
        <v>1411</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59" customFormat="1" x14ac:dyDescent="0.25">
      <c r="A123" s="59" t="s">
        <v>494</v>
      </c>
      <c r="B123" s="61" t="s">
        <v>495</v>
      </c>
      <c r="C123" s="13" t="s">
        <v>1648</v>
      </c>
      <c r="D123" s="59">
        <v>0</v>
      </c>
      <c r="H123" s="59" t="s">
        <v>496</v>
      </c>
      <c r="I123" s="59" t="s">
        <v>497</v>
      </c>
      <c r="J123" s="59" t="s">
        <v>498</v>
      </c>
      <c r="K123" s="59" t="s">
        <v>497</v>
      </c>
      <c r="L123" s="59">
        <v>1</v>
      </c>
      <c r="M123" s="59" t="s">
        <v>321</v>
      </c>
      <c r="O123" s="59">
        <v>1</v>
      </c>
      <c r="Q123" s="1"/>
      <c r="R123" s="1" t="s">
        <v>499</v>
      </c>
      <c r="T123" s="59">
        <v>6</v>
      </c>
      <c r="V123" s="59">
        <v>8</v>
      </c>
      <c r="W123" s="1">
        <v>6</v>
      </c>
      <c r="X123" s="1">
        <v>13</v>
      </c>
      <c r="Y123" s="1" t="s">
        <v>2134</v>
      </c>
      <c r="Z123" s="59">
        <v>11</v>
      </c>
      <c r="AA123" s="13" t="b">
        <v>1</v>
      </c>
      <c r="AB123" s="1"/>
      <c r="AC123" s="57" t="s">
        <v>1907</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40" customFormat="1" x14ac:dyDescent="0.25">
      <c r="A124" s="40" t="s">
        <v>500</v>
      </c>
      <c r="B124" s="40" t="s">
        <v>501</v>
      </c>
      <c r="C124" s="1" t="s">
        <v>1648</v>
      </c>
      <c r="D124" s="40">
        <v>0</v>
      </c>
      <c r="H124" s="40" t="s">
        <v>502</v>
      </c>
      <c r="I124" s="40" t="s">
        <v>503</v>
      </c>
      <c r="J124" s="40" t="s">
        <v>502</v>
      </c>
      <c r="K124" s="40" t="s">
        <v>503</v>
      </c>
      <c r="L124" s="40">
        <v>0</v>
      </c>
      <c r="O124" s="40">
        <v>1</v>
      </c>
      <c r="P124" s="40" t="s">
        <v>504</v>
      </c>
      <c r="Q124" s="1" t="s">
        <v>130</v>
      </c>
      <c r="R124" s="1"/>
      <c r="T124" s="40">
        <v>10</v>
      </c>
      <c r="V124" s="40">
        <v>10</v>
      </c>
      <c r="W124" s="1">
        <v>10</v>
      </c>
      <c r="X124" s="1">
        <v>23</v>
      </c>
      <c r="Y124" s="1" t="s">
        <v>2135</v>
      </c>
      <c r="Z124" s="40">
        <v>8</v>
      </c>
      <c r="AA124" s="13" t="b">
        <v>1</v>
      </c>
      <c r="AB124" s="1"/>
      <c r="AC124" s="57" t="s">
        <v>1410</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30" customFormat="1" x14ac:dyDescent="0.25">
      <c r="A125" s="30" t="s">
        <v>505</v>
      </c>
      <c r="B125" s="30" t="s">
        <v>506</v>
      </c>
      <c r="C125" s="1" t="s">
        <v>1648</v>
      </c>
      <c r="D125" s="30">
        <v>4</v>
      </c>
      <c r="E125" s="30" t="s">
        <v>427</v>
      </c>
      <c r="F125" s="30" t="s">
        <v>427</v>
      </c>
      <c r="G125" s="30" t="s">
        <v>427</v>
      </c>
      <c r="H125" s="30" t="s">
        <v>507</v>
      </c>
      <c r="I125" s="30" t="s">
        <v>508</v>
      </c>
      <c r="J125" s="30" t="s">
        <v>509</v>
      </c>
      <c r="K125" s="30" t="s">
        <v>507</v>
      </c>
      <c r="L125" s="30">
        <v>0</v>
      </c>
      <c r="O125" s="30">
        <v>1</v>
      </c>
      <c r="Q125" s="1" t="s">
        <v>1537</v>
      </c>
      <c r="R125" s="1"/>
      <c r="T125" s="30">
        <v>15</v>
      </c>
      <c r="V125" s="30">
        <v>15</v>
      </c>
      <c r="W125" s="1">
        <v>15</v>
      </c>
      <c r="X125" s="1">
        <v>15</v>
      </c>
      <c r="Y125" s="1" t="s">
        <v>2136</v>
      </c>
      <c r="Z125" s="30">
        <v>6</v>
      </c>
      <c r="AA125" s="13" t="b">
        <v>1</v>
      </c>
      <c r="AB125" s="1" t="s">
        <v>1893</v>
      </c>
      <c r="AC125" s="57" t="s">
        <v>1642</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25" customFormat="1" x14ac:dyDescent="0.25">
      <c r="A126" s="25" t="s">
        <v>510</v>
      </c>
      <c r="B126" s="29" t="s">
        <v>511</v>
      </c>
      <c r="C126" s="13" t="s">
        <v>1648</v>
      </c>
      <c r="D126" s="25">
        <v>0</v>
      </c>
      <c r="H126" s="25" t="s">
        <v>512</v>
      </c>
      <c r="I126" s="25" t="s">
        <v>513</v>
      </c>
      <c r="J126" s="25" t="s">
        <v>512</v>
      </c>
      <c r="K126" s="25" t="s">
        <v>604</v>
      </c>
      <c r="L126" s="25">
        <v>0</v>
      </c>
      <c r="O126" s="25">
        <v>0</v>
      </c>
      <c r="Q126" s="1" t="s">
        <v>507</v>
      </c>
      <c r="R126" s="1"/>
      <c r="T126" s="25">
        <v>11</v>
      </c>
      <c r="V126" s="25">
        <v>10</v>
      </c>
      <c r="W126" s="1">
        <v>11</v>
      </c>
      <c r="X126" s="1">
        <v>13</v>
      </c>
      <c r="Y126" s="1" t="s">
        <v>2137</v>
      </c>
      <c r="Z126" s="25">
        <v>5</v>
      </c>
      <c r="AA126" s="13" t="b">
        <v>1</v>
      </c>
      <c r="AB126" s="1"/>
      <c r="AC126" s="57" t="s">
        <v>1337</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64" customFormat="1" x14ac:dyDescent="0.25">
      <c r="A127" s="64" t="s">
        <v>514</v>
      </c>
      <c r="B127" s="64" t="s">
        <v>515</v>
      </c>
      <c r="C127" s="1" t="s">
        <v>1648</v>
      </c>
      <c r="D127" s="64">
        <v>0</v>
      </c>
      <c r="H127" s="64" t="s">
        <v>516</v>
      </c>
      <c r="I127" s="64" t="s">
        <v>517</v>
      </c>
      <c r="J127" s="64" t="s">
        <v>518</v>
      </c>
      <c r="K127" s="64" t="s">
        <v>517</v>
      </c>
      <c r="L127" s="64">
        <v>1</v>
      </c>
      <c r="M127" s="64" t="s">
        <v>517</v>
      </c>
      <c r="O127" s="64">
        <v>1</v>
      </c>
      <c r="Q127" s="1"/>
      <c r="R127" s="1" t="s">
        <v>110</v>
      </c>
      <c r="T127" s="64">
        <v>21</v>
      </c>
      <c r="W127" s="1">
        <v>21</v>
      </c>
      <c r="X127" s="1">
        <v>19</v>
      </c>
      <c r="Y127" s="1" t="s">
        <v>2138</v>
      </c>
      <c r="Z127" s="64">
        <v>12</v>
      </c>
      <c r="AA127" s="13" t="b">
        <v>1</v>
      </c>
      <c r="AB127" s="1"/>
      <c r="AC127" s="57" t="s">
        <v>1367</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spans="1:331" s="35" customFormat="1" x14ac:dyDescent="0.25">
      <c r="A128" s="35" t="s">
        <v>519</v>
      </c>
      <c r="B128" s="35" t="s">
        <v>520</v>
      </c>
      <c r="C128" s="1" t="s">
        <v>1648</v>
      </c>
      <c r="D128" s="35">
        <v>1</v>
      </c>
      <c r="E128" s="35" t="s">
        <v>521</v>
      </c>
      <c r="H128" s="35" t="s">
        <v>522</v>
      </c>
      <c r="I128" s="35" t="s">
        <v>521</v>
      </c>
      <c r="J128" s="35" t="s">
        <v>522</v>
      </c>
      <c r="K128" s="35" t="s">
        <v>521</v>
      </c>
      <c r="L128" s="35">
        <v>0</v>
      </c>
      <c r="O128" s="35">
        <v>1</v>
      </c>
      <c r="Q128" s="1"/>
      <c r="R128" s="1" t="s">
        <v>523</v>
      </c>
      <c r="S128" s="35">
        <v>14</v>
      </c>
      <c r="T128" s="35">
        <v>12</v>
      </c>
      <c r="U128" s="35">
        <v>10</v>
      </c>
      <c r="V128" s="35">
        <v>15</v>
      </c>
      <c r="W128" s="1">
        <v>12</v>
      </c>
      <c r="X128" s="1">
        <v>15</v>
      </c>
      <c r="Y128" s="1" t="s">
        <v>2139</v>
      </c>
      <c r="Z128" s="35">
        <v>7</v>
      </c>
      <c r="AA128" s="13" t="b">
        <v>1</v>
      </c>
      <c r="AB128" s="1"/>
      <c r="AC128" s="57" t="s">
        <v>1412</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row>
    <row r="129" spans="1:331" s="52" customFormat="1" x14ac:dyDescent="0.25">
      <c r="A129" s="52" t="s">
        <v>524</v>
      </c>
      <c r="B129" s="56" t="s">
        <v>525</v>
      </c>
      <c r="C129" s="13" t="s">
        <v>1648</v>
      </c>
      <c r="D129" s="52">
        <v>1</v>
      </c>
      <c r="E129" s="52" t="s">
        <v>526</v>
      </c>
      <c r="H129" s="52" t="s">
        <v>527</v>
      </c>
      <c r="I129" s="52" t="s">
        <v>526</v>
      </c>
      <c r="J129" s="52" t="s">
        <v>527</v>
      </c>
      <c r="K129" s="52" t="s">
        <v>526</v>
      </c>
      <c r="L129" s="52">
        <v>1</v>
      </c>
      <c r="M129" s="52" t="s">
        <v>344</v>
      </c>
      <c r="O129" s="52">
        <v>1</v>
      </c>
      <c r="P129" s="52" t="s">
        <v>347</v>
      </c>
      <c r="Q129" s="1" t="s">
        <v>918</v>
      </c>
      <c r="R129" s="1"/>
      <c r="S129" s="52">
        <v>14</v>
      </c>
      <c r="U129" s="52">
        <v>8</v>
      </c>
      <c r="W129" s="1">
        <v>14</v>
      </c>
      <c r="X129" s="1">
        <v>12</v>
      </c>
      <c r="Y129" s="1" t="s">
        <v>2140</v>
      </c>
      <c r="Z129" s="52">
        <v>10</v>
      </c>
      <c r="AA129" s="13" t="b">
        <v>1</v>
      </c>
      <c r="AB129" s="1"/>
      <c r="AC129" s="57" t="s">
        <v>1908</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25" customFormat="1" x14ac:dyDescent="0.25">
      <c r="A130" s="25" t="s">
        <v>528</v>
      </c>
      <c r="B130" s="29" t="s">
        <v>529</v>
      </c>
      <c r="C130" s="13" t="s">
        <v>1648</v>
      </c>
      <c r="D130" s="25">
        <v>0</v>
      </c>
      <c r="H130" s="25" t="s">
        <v>344</v>
      </c>
      <c r="I130" s="25" t="s">
        <v>530</v>
      </c>
      <c r="J130" s="25" t="s">
        <v>344</v>
      </c>
      <c r="K130" s="25" t="s">
        <v>530</v>
      </c>
      <c r="L130" s="25">
        <v>0</v>
      </c>
      <c r="O130" s="25">
        <v>0</v>
      </c>
      <c r="Q130" s="1" t="s">
        <v>924</v>
      </c>
      <c r="R130" s="1"/>
      <c r="S130" s="25">
        <v>4</v>
      </c>
      <c r="V130" s="25">
        <v>6</v>
      </c>
      <c r="W130" s="1">
        <v>4</v>
      </c>
      <c r="X130" s="1">
        <v>5</v>
      </c>
      <c r="Y130" s="1" t="s">
        <v>2141</v>
      </c>
      <c r="Z130" s="25">
        <v>5</v>
      </c>
      <c r="AA130" s="13" t="b">
        <v>1</v>
      </c>
      <c r="AB130" s="1"/>
      <c r="AC130" s="57" t="s">
        <v>1298</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30" customFormat="1" x14ac:dyDescent="0.25">
      <c r="A131" s="30" t="s">
        <v>531</v>
      </c>
      <c r="B131" s="30" t="s">
        <v>532</v>
      </c>
      <c r="C131" s="1" t="s">
        <v>1648</v>
      </c>
      <c r="D131" s="30">
        <v>1</v>
      </c>
      <c r="E131" s="80">
        <v>44523</v>
      </c>
      <c r="H131" s="30" t="s">
        <v>344</v>
      </c>
      <c r="I131" s="30" t="s">
        <v>533</v>
      </c>
      <c r="J131" s="30" t="s">
        <v>344</v>
      </c>
      <c r="K131" s="30" t="s">
        <v>260</v>
      </c>
      <c r="L131" s="30">
        <v>0</v>
      </c>
      <c r="O131" s="30">
        <v>0</v>
      </c>
      <c r="Q131" s="1" t="s">
        <v>325</v>
      </c>
      <c r="R131" s="1"/>
      <c r="S131" s="30">
        <v>5</v>
      </c>
      <c r="U131" s="30">
        <v>6</v>
      </c>
      <c r="W131" s="1">
        <v>5</v>
      </c>
      <c r="X131" s="1">
        <v>11</v>
      </c>
      <c r="Y131" s="1" t="s">
        <v>2142</v>
      </c>
      <c r="Z131" s="30">
        <v>6</v>
      </c>
      <c r="AA131" s="13" t="b">
        <v>1</v>
      </c>
      <c r="AB131" s="1"/>
      <c r="AC131" s="57" t="s">
        <v>1640</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25" customFormat="1" x14ac:dyDescent="0.25">
      <c r="A132" s="25" t="s">
        <v>534</v>
      </c>
      <c r="B132" s="29" t="s">
        <v>535</v>
      </c>
      <c r="C132" s="13" t="s">
        <v>1648</v>
      </c>
      <c r="D132" s="25">
        <v>0</v>
      </c>
      <c r="H132" s="25" t="s">
        <v>536</v>
      </c>
      <c r="I132" s="25" t="s">
        <v>537</v>
      </c>
      <c r="J132" s="25" t="s">
        <v>536</v>
      </c>
      <c r="K132" s="25" t="s">
        <v>1677</v>
      </c>
      <c r="L132" s="25">
        <v>0</v>
      </c>
      <c r="O132" s="25">
        <v>1</v>
      </c>
      <c r="Q132" s="1" t="s">
        <v>1501</v>
      </c>
      <c r="R132" s="1"/>
      <c r="S132" s="25">
        <v>17</v>
      </c>
      <c r="U132" s="25">
        <v>17</v>
      </c>
      <c r="W132" s="1">
        <v>17</v>
      </c>
      <c r="X132" s="1">
        <v>23</v>
      </c>
      <c r="Y132" s="1" t="s">
        <v>2143</v>
      </c>
      <c r="Z132" s="25">
        <v>5</v>
      </c>
      <c r="AA132" s="13" t="b">
        <v>1</v>
      </c>
      <c r="AB132" s="1"/>
      <c r="AC132" s="57" t="s">
        <v>1288</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35" customFormat="1" x14ac:dyDescent="0.25">
      <c r="A133" s="35" t="s">
        <v>538</v>
      </c>
      <c r="B133" s="39" t="s">
        <v>539</v>
      </c>
      <c r="C133" s="13" t="s">
        <v>1648</v>
      </c>
      <c r="D133" s="35">
        <v>1</v>
      </c>
      <c r="E133" s="35" t="s">
        <v>540</v>
      </c>
      <c r="H133" s="35" t="s">
        <v>541</v>
      </c>
      <c r="I133" s="35" t="s">
        <v>542</v>
      </c>
      <c r="J133" s="35" t="s">
        <v>543</v>
      </c>
      <c r="K133" s="35" t="s">
        <v>542</v>
      </c>
      <c r="L133" s="35">
        <v>0</v>
      </c>
      <c r="O133" s="35">
        <v>1</v>
      </c>
      <c r="Q133" s="1"/>
      <c r="R133" s="1" t="s">
        <v>350</v>
      </c>
      <c r="S133" s="35">
        <v>9</v>
      </c>
      <c r="U133" s="35">
        <v>9</v>
      </c>
      <c r="W133" s="1">
        <v>9</v>
      </c>
      <c r="X133" s="1">
        <v>8</v>
      </c>
      <c r="Y133" s="1" t="s">
        <v>2144</v>
      </c>
      <c r="Z133" s="35">
        <v>7</v>
      </c>
      <c r="AA133" s="13" t="b">
        <v>1</v>
      </c>
      <c r="AB133" s="1"/>
      <c r="AC133" s="57" t="s">
        <v>1919</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544</v>
      </c>
      <c r="B134" s="39" t="s">
        <v>545</v>
      </c>
      <c r="C134" s="13" t="s">
        <v>1648</v>
      </c>
      <c r="D134" s="35">
        <v>1</v>
      </c>
      <c r="E134" s="35" t="s">
        <v>148</v>
      </c>
      <c r="H134" s="35" t="s">
        <v>546</v>
      </c>
      <c r="I134" s="35" t="s">
        <v>547</v>
      </c>
      <c r="J134" s="35" t="s">
        <v>546</v>
      </c>
      <c r="K134" s="35" t="s">
        <v>547</v>
      </c>
      <c r="L134" s="35">
        <v>0</v>
      </c>
      <c r="O134" s="35">
        <v>1</v>
      </c>
      <c r="P134" s="35" t="s">
        <v>548</v>
      </c>
      <c r="Q134" s="1" t="s">
        <v>1538</v>
      </c>
      <c r="R134" s="1"/>
      <c r="T134" s="35">
        <v>25</v>
      </c>
      <c r="V134" s="35">
        <v>22</v>
      </c>
      <c r="W134" s="1">
        <v>25</v>
      </c>
      <c r="X134" s="1">
        <v>17</v>
      </c>
      <c r="Y134" s="1" t="s">
        <v>2145</v>
      </c>
      <c r="Z134" s="35">
        <v>7</v>
      </c>
      <c r="AA134" s="13" t="b">
        <v>1</v>
      </c>
      <c r="AB134" s="1" t="s">
        <v>1893</v>
      </c>
      <c r="AC134" s="57" t="s">
        <v>1289</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22" customFormat="1" ht="15.75" x14ac:dyDescent="0.25">
      <c r="A135" s="22" t="s">
        <v>549</v>
      </c>
      <c r="B135" s="22" t="s">
        <v>550</v>
      </c>
      <c r="C135" s="83" t="s">
        <v>1648</v>
      </c>
      <c r="D135" s="22">
        <v>0</v>
      </c>
      <c r="H135" s="22" t="s">
        <v>551</v>
      </c>
      <c r="I135" s="22" t="s">
        <v>552</v>
      </c>
      <c r="J135" s="22" t="s">
        <v>551</v>
      </c>
      <c r="K135" s="22" t="s">
        <v>552</v>
      </c>
      <c r="L135" s="22">
        <v>1</v>
      </c>
      <c r="M135" s="22" t="s">
        <v>553</v>
      </c>
      <c r="O135" s="22">
        <v>0</v>
      </c>
      <c r="Q135" s="83" t="s">
        <v>551</v>
      </c>
      <c r="R135" s="83"/>
      <c r="T135" s="22">
        <v>19</v>
      </c>
      <c r="V135" s="22">
        <v>23</v>
      </c>
      <c r="W135" s="83">
        <v>19</v>
      </c>
      <c r="X135" s="1">
        <v>18</v>
      </c>
      <c r="Y135" s="1" t="s">
        <v>2146</v>
      </c>
      <c r="Z135" s="22">
        <v>4</v>
      </c>
      <c r="AA135" s="92" t="b">
        <v>1</v>
      </c>
      <c r="AB135" s="83" t="s">
        <v>1898</v>
      </c>
      <c r="AC135" s="85" t="s">
        <v>1368</v>
      </c>
      <c r="AD135" s="83"/>
      <c r="AE135" s="85"/>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row>
    <row r="136" spans="1:331" s="30" customFormat="1" x14ac:dyDescent="0.25">
      <c r="A136" s="30" t="s">
        <v>554</v>
      </c>
      <c r="B136" s="30" t="s">
        <v>555</v>
      </c>
      <c r="C136" s="1" t="s">
        <v>1648</v>
      </c>
      <c r="D136" s="30">
        <v>1</v>
      </c>
      <c r="E136" s="30" t="s">
        <v>61</v>
      </c>
      <c r="H136" s="30" t="s">
        <v>556</v>
      </c>
      <c r="I136" s="30" t="s">
        <v>97</v>
      </c>
      <c r="J136" s="30" t="s">
        <v>557</v>
      </c>
      <c r="K136" s="30" t="s">
        <v>1678</v>
      </c>
      <c r="L136" s="30">
        <v>0</v>
      </c>
      <c r="O136" s="30">
        <v>1</v>
      </c>
      <c r="Q136" s="1" t="s">
        <v>1539</v>
      </c>
      <c r="R136" s="1"/>
      <c r="S136" s="30">
        <v>20</v>
      </c>
      <c r="W136" s="1">
        <v>20</v>
      </c>
      <c r="X136" s="1">
        <v>15</v>
      </c>
      <c r="Y136" s="1" t="s">
        <v>2147</v>
      </c>
      <c r="Z136" s="30">
        <v>6</v>
      </c>
      <c r="AA136" s="13" t="b">
        <v>1</v>
      </c>
      <c r="AB136" s="1" t="s">
        <v>1898</v>
      </c>
      <c r="AC136" s="57" t="s">
        <v>1290</v>
      </c>
      <c r="AD136" s="1"/>
      <c r="AE136" s="57"/>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row>
    <row r="137" spans="1:331" s="25" customFormat="1" x14ac:dyDescent="0.25">
      <c r="A137" s="25" t="s">
        <v>558</v>
      </c>
      <c r="B137" s="29" t="s">
        <v>559</v>
      </c>
      <c r="C137" s="13" t="s">
        <v>1648</v>
      </c>
      <c r="D137" s="25">
        <v>0</v>
      </c>
      <c r="H137" s="25" t="s">
        <v>560</v>
      </c>
      <c r="I137" s="25" t="s">
        <v>561</v>
      </c>
      <c r="J137" s="25" t="s">
        <v>560</v>
      </c>
      <c r="K137" s="25" t="s">
        <v>561</v>
      </c>
      <c r="L137" s="25">
        <v>0</v>
      </c>
      <c r="O137" s="25">
        <v>1</v>
      </c>
      <c r="Q137" s="1" t="s">
        <v>651</v>
      </c>
      <c r="R137" s="1"/>
      <c r="T137" s="25">
        <v>19</v>
      </c>
      <c r="V137" s="25">
        <v>17</v>
      </c>
      <c r="W137" s="1">
        <v>19</v>
      </c>
      <c r="X137" s="1">
        <v>17</v>
      </c>
      <c r="Y137" s="1" t="s">
        <v>2148</v>
      </c>
      <c r="Z137" s="25">
        <v>5</v>
      </c>
      <c r="AA137" s="13" t="b">
        <v>1</v>
      </c>
      <c r="AB137" s="1"/>
      <c r="AC137" s="57" t="s">
        <v>1338</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35" customFormat="1" x14ac:dyDescent="0.25">
      <c r="A138" s="35" t="s">
        <v>562</v>
      </c>
      <c r="B138" s="39" t="s">
        <v>563</v>
      </c>
      <c r="C138" s="13" t="s">
        <v>1648</v>
      </c>
      <c r="D138" s="35">
        <v>1</v>
      </c>
      <c r="E138" s="35" t="s">
        <v>564</v>
      </c>
      <c r="H138" s="35" t="s">
        <v>565</v>
      </c>
      <c r="I138" s="35" t="s">
        <v>566</v>
      </c>
      <c r="J138" s="35" t="s">
        <v>565</v>
      </c>
      <c r="K138" s="35" t="s">
        <v>1679</v>
      </c>
      <c r="L138" s="35">
        <v>0</v>
      </c>
      <c r="O138" s="35">
        <v>1</v>
      </c>
      <c r="P138" s="35" t="s">
        <v>567</v>
      </c>
      <c r="Q138" s="1" t="s">
        <v>1540</v>
      </c>
      <c r="R138" s="1"/>
      <c r="S138" s="35">
        <v>10</v>
      </c>
      <c r="W138" s="1">
        <v>10</v>
      </c>
      <c r="X138" s="1">
        <v>17</v>
      </c>
      <c r="Y138" s="1" t="s">
        <v>2149</v>
      </c>
      <c r="Z138" s="35">
        <v>7</v>
      </c>
      <c r="AA138" s="13" t="b">
        <v>1</v>
      </c>
      <c r="AB138" s="1"/>
      <c r="AC138" s="57" t="s">
        <v>1285</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25" customFormat="1" x14ac:dyDescent="0.25">
      <c r="A139" s="25" t="s">
        <v>568</v>
      </c>
      <c r="B139" s="29" t="s">
        <v>569</v>
      </c>
      <c r="C139" s="13" t="s">
        <v>1648</v>
      </c>
      <c r="D139" s="25">
        <v>0</v>
      </c>
      <c r="H139" s="25" t="s">
        <v>350</v>
      </c>
      <c r="I139" s="25" t="s">
        <v>570</v>
      </c>
      <c r="J139" s="25" t="s">
        <v>350</v>
      </c>
      <c r="K139" s="25" t="s">
        <v>570</v>
      </c>
      <c r="L139" s="25">
        <v>0</v>
      </c>
      <c r="O139" s="25">
        <v>0</v>
      </c>
      <c r="Q139" s="1" t="s">
        <v>1541</v>
      </c>
      <c r="R139" s="1"/>
      <c r="S139" s="25">
        <v>10.7</v>
      </c>
      <c r="U139" s="25">
        <v>6</v>
      </c>
      <c r="W139" s="1">
        <v>11</v>
      </c>
      <c r="X139" s="1">
        <v>15</v>
      </c>
      <c r="Y139" s="1" t="s">
        <v>2150</v>
      </c>
      <c r="Z139" s="25">
        <v>5</v>
      </c>
      <c r="AA139" s="13" t="b">
        <v>1</v>
      </c>
      <c r="AB139" s="1"/>
      <c r="AC139" s="57" t="s">
        <v>1909</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35" customFormat="1" x14ac:dyDescent="0.25">
      <c r="A140" s="35" t="s">
        <v>571</v>
      </c>
      <c r="B140" s="39" t="s">
        <v>572</v>
      </c>
      <c r="C140" s="13" t="s">
        <v>1648</v>
      </c>
      <c r="D140" s="35">
        <v>0</v>
      </c>
      <c r="H140" s="35" t="s">
        <v>350</v>
      </c>
      <c r="I140" s="35" t="s">
        <v>573</v>
      </c>
      <c r="J140" s="35" t="s">
        <v>350</v>
      </c>
      <c r="K140" s="35" t="s">
        <v>144</v>
      </c>
      <c r="L140" s="35">
        <v>0</v>
      </c>
      <c r="O140" s="35">
        <v>1</v>
      </c>
      <c r="Q140" s="1"/>
      <c r="R140" s="1" t="s">
        <v>574</v>
      </c>
      <c r="S140" s="35">
        <v>25</v>
      </c>
      <c r="W140" s="1">
        <v>25</v>
      </c>
      <c r="X140" s="1">
        <v>9</v>
      </c>
      <c r="Y140" s="1" t="s">
        <v>2151</v>
      </c>
      <c r="Z140" s="35">
        <v>7</v>
      </c>
      <c r="AA140" s="13" t="b">
        <v>1</v>
      </c>
      <c r="AB140" s="1" t="s">
        <v>1898</v>
      </c>
      <c r="AC140" s="57" t="s">
        <v>1291</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25" customFormat="1" x14ac:dyDescent="0.25">
      <c r="A141" s="25" t="s">
        <v>575</v>
      </c>
      <c r="B141" s="29" t="s">
        <v>576</v>
      </c>
      <c r="C141" s="13" t="s">
        <v>1648</v>
      </c>
      <c r="D141" s="25">
        <v>0</v>
      </c>
      <c r="H141" s="25" t="s">
        <v>100</v>
      </c>
      <c r="I141" s="25" t="s">
        <v>473</v>
      </c>
      <c r="J141" s="25" t="s">
        <v>100</v>
      </c>
      <c r="K141" s="25" t="s">
        <v>100</v>
      </c>
      <c r="L141" s="25">
        <v>0</v>
      </c>
      <c r="O141" s="25">
        <v>0</v>
      </c>
      <c r="Q141" s="1" t="s">
        <v>84</v>
      </c>
      <c r="R141" s="1"/>
      <c r="S141" s="25">
        <v>8</v>
      </c>
      <c r="W141" s="1">
        <v>8</v>
      </c>
      <c r="X141" s="1">
        <v>11</v>
      </c>
      <c r="Y141" s="1" t="s">
        <v>2152</v>
      </c>
      <c r="Z141" s="25">
        <v>5</v>
      </c>
      <c r="AA141" s="13" t="b">
        <v>1</v>
      </c>
      <c r="AB141" s="1" t="s">
        <v>1892</v>
      </c>
      <c r="AC141" s="57" t="s">
        <v>1859</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30" customFormat="1" x14ac:dyDescent="0.25">
      <c r="A142" s="30" t="s">
        <v>577</v>
      </c>
      <c r="B142" s="30" t="s">
        <v>578</v>
      </c>
      <c r="C142" s="1" t="s">
        <v>1648</v>
      </c>
      <c r="D142" s="30">
        <v>1</v>
      </c>
      <c r="E142" s="30" t="s">
        <v>579</v>
      </c>
      <c r="H142" s="30" t="s">
        <v>580</v>
      </c>
      <c r="I142" s="30" t="s">
        <v>581</v>
      </c>
      <c r="J142" s="30" t="s">
        <v>582</v>
      </c>
      <c r="K142" s="30" t="s">
        <v>580</v>
      </c>
      <c r="L142" s="30">
        <v>0</v>
      </c>
      <c r="O142" s="30">
        <v>1</v>
      </c>
      <c r="Q142" s="1" t="s">
        <v>1542</v>
      </c>
      <c r="R142" s="1"/>
      <c r="S142" s="30">
        <v>11.4</v>
      </c>
      <c r="U142" s="30">
        <v>6</v>
      </c>
      <c r="W142" s="1">
        <v>11</v>
      </c>
      <c r="X142" s="1">
        <v>9</v>
      </c>
      <c r="Y142" s="1" t="s">
        <v>2153</v>
      </c>
      <c r="Z142" s="30">
        <v>6</v>
      </c>
      <c r="AA142" s="13" t="b">
        <v>1</v>
      </c>
      <c r="AB142" s="1"/>
      <c r="AC142" s="57" t="s">
        <v>1910</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 customFormat="1" x14ac:dyDescent="0.25">
      <c r="A143" s="3" t="s">
        <v>583</v>
      </c>
      <c r="B143" s="5" t="s">
        <v>584</v>
      </c>
      <c r="C143" s="13" t="s">
        <v>1648</v>
      </c>
      <c r="D143" s="3">
        <v>0</v>
      </c>
      <c r="H143" s="3" t="s">
        <v>585</v>
      </c>
      <c r="I143" s="3" t="s">
        <v>586</v>
      </c>
      <c r="J143" s="3" t="s">
        <v>587</v>
      </c>
      <c r="K143" s="3" t="s">
        <v>1680</v>
      </c>
      <c r="L143" s="3">
        <v>1</v>
      </c>
      <c r="M143" s="3" t="s">
        <v>588</v>
      </c>
      <c r="O143" s="3">
        <v>0</v>
      </c>
      <c r="Q143" s="1" t="s">
        <v>1543</v>
      </c>
      <c r="R143" s="1"/>
      <c r="T143" s="3">
        <v>10</v>
      </c>
      <c r="V143" s="3">
        <v>11</v>
      </c>
      <c r="W143" s="1">
        <v>10</v>
      </c>
      <c r="X143" s="1">
        <v>11</v>
      </c>
      <c r="Y143" s="1" t="s">
        <v>2154</v>
      </c>
      <c r="Z143" s="3">
        <v>1</v>
      </c>
      <c r="AA143" s="13" t="b">
        <v>1</v>
      </c>
      <c r="AB143" s="1"/>
      <c r="AC143" s="57" t="s">
        <v>1359</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49" customFormat="1" x14ac:dyDescent="0.25">
      <c r="A144" s="49" t="s">
        <v>589</v>
      </c>
      <c r="B144" s="49" t="s">
        <v>590</v>
      </c>
      <c r="C144" s="1" t="s">
        <v>1648</v>
      </c>
      <c r="D144" s="49">
        <v>0</v>
      </c>
      <c r="H144" s="49" t="s">
        <v>591</v>
      </c>
      <c r="I144" s="49" t="s">
        <v>592</v>
      </c>
      <c r="J144" s="49" t="s">
        <v>593</v>
      </c>
      <c r="K144" s="49" t="s">
        <v>591</v>
      </c>
      <c r="L144" s="49">
        <v>0</v>
      </c>
      <c r="O144" s="49">
        <v>1</v>
      </c>
      <c r="Q144" s="1"/>
      <c r="R144" s="1" t="s">
        <v>594</v>
      </c>
      <c r="S144" s="49">
        <v>13</v>
      </c>
      <c r="W144" s="1">
        <v>13</v>
      </c>
      <c r="X144" s="1">
        <v>17</v>
      </c>
      <c r="Y144" s="1" t="s">
        <v>2155</v>
      </c>
      <c r="Z144" s="49">
        <v>9</v>
      </c>
      <c r="AA144" s="13" t="b">
        <v>1</v>
      </c>
      <c r="AB144" s="1"/>
      <c r="AC144" s="57" t="s">
        <v>1414</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3" customFormat="1" x14ac:dyDescent="0.25">
      <c r="A145" s="3" t="s">
        <v>595</v>
      </c>
      <c r="B145" s="5" t="s">
        <v>596</v>
      </c>
      <c r="C145" s="13" t="s">
        <v>1648</v>
      </c>
      <c r="D145" s="3">
        <v>0</v>
      </c>
      <c r="H145" s="3" t="s">
        <v>597</v>
      </c>
      <c r="I145" s="3" t="s">
        <v>598</v>
      </c>
      <c r="J145" s="3" t="s">
        <v>597</v>
      </c>
      <c r="K145" s="3" t="s">
        <v>1644</v>
      </c>
      <c r="L145" s="3">
        <v>2</v>
      </c>
      <c r="M145" s="3" t="s">
        <v>599</v>
      </c>
      <c r="N145" s="3" t="s">
        <v>599</v>
      </c>
      <c r="O145" s="3">
        <v>1</v>
      </c>
      <c r="P145" s="3" t="s">
        <v>600</v>
      </c>
      <c r="Q145" s="1" t="s">
        <v>1544</v>
      </c>
      <c r="R145" s="1"/>
      <c r="T145" s="3">
        <v>7</v>
      </c>
      <c r="V145" s="3">
        <v>8</v>
      </c>
      <c r="W145" s="1">
        <v>7</v>
      </c>
      <c r="X145" s="1">
        <v>14</v>
      </c>
      <c r="Y145" s="1" t="s">
        <v>2156</v>
      </c>
      <c r="Z145" s="3">
        <v>1</v>
      </c>
      <c r="AA145" s="13" t="b">
        <v>1</v>
      </c>
      <c r="AB145" s="1" t="s">
        <v>1893</v>
      </c>
      <c r="AC145" s="57" t="s">
        <v>1998</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40" customFormat="1" x14ac:dyDescent="0.25">
      <c r="A146" s="40" t="s">
        <v>601</v>
      </c>
      <c r="B146" s="40" t="s">
        <v>602</v>
      </c>
      <c r="C146" s="1" t="s">
        <v>1648</v>
      </c>
      <c r="D146" s="40">
        <v>0</v>
      </c>
      <c r="H146" s="40" t="s">
        <v>603</v>
      </c>
      <c r="I146" s="40" t="s">
        <v>604</v>
      </c>
      <c r="J146" s="40" t="s">
        <v>605</v>
      </c>
      <c r="K146" s="40" t="s">
        <v>1681</v>
      </c>
      <c r="L146" s="40">
        <v>0</v>
      </c>
      <c r="O146" s="40">
        <v>1</v>
      </c>
      <c r="P146" s="40" t="s">
        <v>606</v>
      </c>
      <c r="Q146" s="1" t="s">
        <v>1545</v>
      </c>
      <c r="R146" s="1"/>
      <c r="S146" s="40">
        <v>18</v>
      </c>
      <c r="W146" s="1">
        <v>18</v>
      </c>
      <c r="X146" s="1">
        <v>13</v>
      </c>
      <c r="Y146" s="1" t="s">
        <v>2157</v>
      </c>
      <c r="Z146" s="40">
        <v>8</v>
      </c>
      <c r="AA146" s="13" t="b">
        <v>1</v>
      </c>
      <c r="AB146" s="1"/>
      <c r="AC146" s="57" t="s">
        <v>1860</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607</v>
      </c>
      <c r="B147" s="40" t="s">
        <v>608</v>
      </c>
      <c r="C147" s="1" t="s">
        <v>1648</v>
      </c>
      <c r="D147" s="40">
        <v>0</v>
      </c>
      <c r="H147" s="40" t="s">
        <v>108</v>
      </c>
      <c r="I147" s="40" t="s">
        <v>111</v>
      </c>
      <c r="J147" s="40" t="s">
        <v>609</v>
      </c>
      <c r="K147" s="40" t="s">
        <v>111</v>
      </c>
      <c r="L147" s="40">
        <v>0</v>
      </c>
      <c r="O147" s="40">
        <v>1</v>
      </c>
      <c r="P147" s="40" t="s">
        <v>610</v>
      </c>
      <c r="Q147" s="13" t="s">
        <v>2001</v>
      </c>
      <c r="R147" s="1"/>
      <c r="T147" s="40">
        <v>16.100000000000001</v>
      </c>
      <c r="W147" s="1">
        <v>16</v>
      </c>
      <c r="X147" s="1">
        <v>18</v>
      </c>
      <c r="Y147" s="1" t="s">
        <v>2158</v>
      </c>
      <c r="Z147" s="40">
        <v>8</v>
      </c>
      <c r="AA147" s="13" t="b">
        <v>1</v>
      </c>
      <c r="AB147" s="17" t="s">
        <v>1889</v>
      </c>
      <c r="AC147" s="57" t="s">
        <v>1936</v>
      </c>
      <c r="AD147" s="1"/>
      <c r="AE147" s="57" t="s">
        <v>2000</v>
      </c>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25" customFormat="1" x14ac:dyDescent="0.25">
      <c r="A148" s="25" t="s">
        <v>611</v>
      </c>
      <c r="B148" s="29" t="s">
        <v>612</v>
      </c>
      <c r="C148" s="13" t="s">
        <v>1648</v>
      </c>
      <c r="D148" s="25">
        <v>0</v>
      </c>
      <c r="H148" s="25" t="s">
        <v>310</v>
      </c>
      <c r="I148" s="25" t="s">
        <v>613</v>
      </c>
      <c r="J148" s="25" t="s">
        <v>614</v>
      </c>
      <c r="L148" s="25">
        <v>0</v>
      </c>
      <c r="O148" s="25">
        <v>1</v>
      </c>
      <c r="Q148" s="1" t="s">
        <v>1547</v>
      </c>
      <c r="R148" s="1"/>
      <c r="S148" s="25">
        <v>7</v>
      </c>
      <c r="U148" s="25">
        <v>9</v>
      </c>
      <c r="W148" s="1">
        <v>7</v>
      </c>
      <c r="X148" s="1">
        <v>18</v>
      </c>
      <c r="Y148" s="1" t="s">
        <v>2159</v>
      </c>
      <c r="Z148" s="25">
        <v>5</v>
      </c>
      <c r="AA148" s="13" t="b">
        <v>1</v>
      </c>
      <c r="AB148" s="1"/>
      <c r="AC148" s="57" t="s">
        <v>1297</v>
      </c>
      <c r="AD148" s="1"/>
      <c r="AE148" s="57"/>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615</v>
      </c>
      <c r="B149" s="29" t="s">
        <v>616</v>
      </c>
      <c r="C149" s="13" t="s">
        <v>1648</v>
      </c>
      <c r="D149" s="25">
        <v>0</v>
      </c>
      <c r="H149" s="25" t="s">
        <v>617</v>
      </c>
      <c r="I149" s="25" t="s">
        <v>618</v>
      </c>
      <c r="J149" s="25" t="s">
        <v>617</v>
      </c>
      <c r="K149" s="25" t="s">
        <v>618</v>
      </c>
      <c r="L149" s="25">
        <v>0</v>
      </c>
      <c r="O149" s="25">
        <v>0</v>
      </c>
      <c r="Q149" s="1" t="s">
        <v>1548</v>
      </c>
      <c r="R149" s="1"/>
      <c r="S149" s="25">
        <v>6</v>
      </c>
      <c r="T149" s="25">
        <v>6</v>
      </c>
      <c r="U149" s="25">
        <v>7</v>
      </c>
      <c r="V149" s="25">
        <v>7</v>
      </c>
      <c r="W149" s="1">
        <v>6</v>
      </c>
      <c r="X149" s="1">
        <v>8</v>
      </c>
      <c r="Y149" s="1" t="s">
        <v>2160</v>
      </c>
      <c r="Z149" s="25">
        <v>5</v>
      </c>
      <c r="AA149" s="13" t="b">
        <v>1</v>
      </c>
      <c r="AB149" s="1"/>
      <c r="AC149" s="57" t="s">
        <v>1341</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45" customFormat="1" x14ac:dyDescent="0.25">
      <c r="A150" s="45" t="s">
        <v>619</v>
      </c>
      <c r="C150" s="1" t="s">
        <v>1648</v>
      </c>
      <c r="D150" s="45">
        <v>0</v>
      </c>
      <c r="H150" s="45" t="s">
        <v>597</v>
      </c>
      <c r="I150" s="45" t="s">
        <v>598</v>
      </c>
      <c r="J150" s="45" t="s">
        <v>597</v>
      </c>
      <c r="K150" s="45" t="s">
        <v>1644</v>
      </c>
      <c r="L150" s="45">
        <v>0</v>
      </c>
      <c r="O150" s="45">
        <v>1</v>
      </c>
      <c r="P150" s="45" t="s">
        <v>600</v>
      </c>
      <c r="Q150" s="1" t="s">
        <v>1544</v>
      </c>
      <c r="R150" s="1"/>
      <c r="T150" s="45">
        <v>6</v>
      </c>
      <c r="W150" s="1"/>
      <c r="X150" s="1"/>
      <c r="Y150" s="1"/>
      <c r="Z150" s="45">
        <v>-1</v>
      </c>
      <c r="AA150" s="13" t="b">
        <v>0</v>
      </c>
      <c r="AB150" s="1"/>
      <c r="AC150" s="57" t="s">
        <v>1999</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30" customFormat="1" x14ac:dyDescent="0.25">
      <c r="A151" s="30" t="s">
        <v>620</v>
      </c>
      <c r="B151" s="30" t="s">
        <v>621</v>
      </c>
      <c r="C151" s="1" t="s">
        <v>1648</v>
      </c>
      <c r="D151" s="30">
        <v>1</v>
      </c>
      <c r="E151" s="30" t="s">
        <v>622</v>
      </c>
      <c r="H151" s="30" t="s">
        <v>623</v>
      </c>
      <c r="I151" s="30" t="s">
        <v>624</v>
      </c>
      <c r="J151" s="30" t="s">
        <v>625</v>
      </c>
      <c r="K151" s="30" t="s">
        <v>1682</v>
      </c>
      <c r="L151" s="30">
        <v>0</v>
      </c>
      <c r="O151" s="30">
        <v>0</v>
      </c>
      <c r="Q151" s="1" t="s">
        <v>1549</v>
      </c>
      <c r="R151" s="1"/>
      <c r="W151" s="1">
        <v>0</v>
      </c>
      <c r="X151" s="1">
        <v>18</v>
      </c>
      <c r="Y151" s="1" t="s">
        <v>2161</v>
      </c>
      <c r="Z151" s="30">
        <v>6</v>
      </c>
      <c r="AA151" s="13" t="b">
        <v>1</v>
      </c>
      <c r="AB151" s="1" t="s">
        <v>1889</v>
      </c>
      <c r="AC151" s="57" t="s">
        <v>1924</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40" customFormat="1" x14ac:dyDescent="0.25">
      <c r="A152" s="40" t="s">
        <v>626</v>
      </c>
      <c r="B152" s="44" t="s">
        <v>627</v>
      </c>
      <c r="C152" s="13" t="s">
        <v>1648</v>
      </c>
      <c r="D152" s="40">
        <v>0</v>
      </c>
      <c r="H152" s="40" t="s">
        <v>628</v>
      </c>
      <c r="I152" s="40" t="s">
        <v>629</v>
      </c>
      <c r="J152" s="40" t="s">
        <v>630</v>
      </c>
      <c r="K152" s="40" t="s">
        <v>629</v>
      </c>
      <c r="L152" s="40">
        <v>0</v>
      </c>
      <c r="O152" s="40">
        <v>1</v>
      </c>
      <c r="P152" s="40" t="s">
        <v>599</v>
      </c>
      <c r="Q152" s="1" t="s">
        <v>853</v>
      </c>
      <c r="R152" s="1"/>
      <c r="S152" s="40">
        <v>11.8</v>
      </c>
      <c r="U152" s="40">
        <v>8</v>
      </c>
      <c r="W152" s="1">
        <v>12</v>
      </c>
      <c r="X152" s="1">
        <v>12</v>
      </c>
      <c r="Y152" s="1" t="s">
        <v>2162</v>
      </c>
      <c r="Z152" s="40">
        <v>8</v>
      </c>
      <c r="AA152" s="13" t="b">
        <v>1</v>
      </c>
      <c r="AB152" s="1"/>
      <c r="AC152" s="57" t="s">
        <v>1911</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3" customFormat="1" x14ac:dyDescent="0.25">
      <c r="A153" s="3" t="s">
        <v>631</v>
      </c>
      <c r="B153" s="5" t="s">
        <v>632</v>
      </c>
      <c r="C153" s="13" t="s">
        <v>1648</v>
      </c>
      <c r="D153" s="3">
        <v>0</v>
      </c>
      <c r="H153" s="3" t="s">
        <v>633</v>
      </c>
      <c r="I153" s="3" t="s">
        <v>634</v>
      </c>
      <c r="J153" s="3" t="s">
        <v>635</v>
      </c>
      <c r="K153" s="3" t="s">
        <v>1683</v>
      </c>
      <c r="L153" s="3">
        <v>1</v>
      </c>
      <c r="M153" s="3" t="s">
        <v>636</v>
      </c>
      <c r="O153" s="3">
        <v>0</v>
      </c>
      <c r="Q153" s="1" t="s">
        <v>1550</v>
      </c>
      <c r="R153" s="1"/>
      <c r="S153" s="3">
        <v>7</v>
      </c>
      <c r="U153" s="3">
        <v>8</v>
      </c>
      <c r="W153" s="1">
        <v>7</v>
      </c>
      <c r="X153" s="1">
        <v>8</v>
      </c>
      <c r="Y153" s="1" t="s">
        <v>2163</v>
      </c>
      <c r="Z153" s="3">
        <v>1</v>
      </c>
      <c r="AA153" s="13" t="b">
        <v>1</v>
      </c>
      <c r="AB153" s="1"/>
      <c r="AC153" s="57" t="s">
        <v>1912</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25" customFormat="1" x14ac:dyDescent="0.25">
      <c r="A154" s="25" t="s">
        <v>637</v>
      </c>
      <c r="B154" s="29" t="s">
        <v>638</v>
      </c>
      <c r="C154" s="13" t="s">
        <v>1648</v>
      </c>
      <c r="D154" s="25">
        <v>0</v>
      </c>
      <c r="H154" s="25" t="s">
        <v>639</v>
      </c>
      <c r="I154" s="25" t="s">
        <v>640</v>
      </c>
      <c r="J154" s="25" t="s">
        <v>639</v>
      </c>
      <c r="K154" s="25" t="s">
        <v>1684</v>
      </c>
      <c r="L154" s="25">
        <v>0</v>
      </c>
      <c r="O154" s="25">
        <v>0</v>
      </c>
      <c r="Q154" s="1" t="s">
        <v>1551</v>
      </c>
      <c r="R154" s="1"/>
      <c r="T154" s="25">
        <v>3</v>
      </c>
      <c r="V154" s="25">
        <v>3</v>
      </c>
      <c r="W154" s="1">
        <v>3</v>
      </c>
      <c r="X154" s="1">
        <v>14</v>
      </c>
      <c r="Y154" s="1" t="s">
        <v>2164</v>
      </c>
      <c r="Z154" s="25">
        <v>5</v>
      </c>
      <c r="AA154" s="13" t="b">
        <v>1</v>
      </c>
      <c r="AB154" s="1"/>
      <c r="AC154" s="57" t="s">
        <v>1342</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35" customFormat="1" x14ac:dyDescent="0.25">
      <c r="A155" s="35" t="s">
        <v>641</v>
      </c>
      <c r="B155" s="39" t="s">
        <v>642</v>
      </c>
      <c r="C155" s="13" t="s">
        <v>1648</v>
      </c>
      <c r="D155" s="35">
        <v>1</v>
      </c>
      <c r="E155" s="35" t="s">
        <v>643</v>
      </c>
      <c r="H155" s="35" t="s">
        <v>644</v>
      </c>
      <c r="I155" s="35" t="s">
        <v>428</v>
      </c>
      <c r="J155" s="35" t="s">
        <v>645</v>
      </c>
      <c r="K155" s="35" t="s">
        <v>428</v>
      </c>
      <c r="L155" s="35">
        <v>0</v>
      </c>
      <c r="O155" s="35">
        <v>1</v>
      </c>
      <c r="Q155" s="1"/>
      <c r="R155" s="1" t="s">
        <v>646</v>
      </c>
      <c r="T155" s="35">
        <v>12</v>
      </c>
      <c r="V155" s="35">
        <v>12</v>
      </c>
      <c r="W155" s="1">
        <v>12</v>
      </c>
      <c r="X155" s="1">
        <v>13</v>
      </c>
      <c r="Y155" s="1" t="s">
        <v>2165</v>
      </c>
      <c r="Z155" s="35">
        <v>7</v>
      </c>
      <c r="AA155" s="13" t="b">
        <v>1</v>
      </c>
      <c r="AB155" s="1"/>
      <c r="AC155" s="57" t="s">
        <v>1292</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72" customFormat="1" x14ac:dyDescent="0.25">
      <c r="A156" s="72" t="s">
        <v>647</v>
      </c>
      <c r="B156" s="75" t="s">
        <v>648</v>
      </c>
      <c r="C156" s="13" t="s">
        <v>1648</v>
      </c>
      <c r="D156" s="72">
        <v>0</v>
      </c>
      <c r="H156" s="72" t="s">
        <v>649</v>
      </c>
      <c r="I156" s="72" t="s">
        <v>650</v>
      </c>
      <c r="J156" s="72" t="s">
        <v>433</v>
      </c>
      <c r="K156" s="72" t="s">
        <v>650</v>
      </c>
      <c r="L156" s="72">
        <v>0</v>
      </c>
      <c r="O156" s="72">
        <v>1</v>
      </c>
      <c r="P156" s="72" t="s">
        <v>651</v>
      </c>
      <c r="Q156" s="1"/>
      <c r="R156" s="1" t="s">
        <v>652</v>
      </c>
      <c r="S156" s="72">
        <v>14</v>
      </c>
      <c r="U156" s="72">
        <v>12</v>
      </c>
      <c r="W156" s="1">
        <v>14</v>
      </c>
      <c r="X156" s="1">
        <v>12</v>
      </c>
      <c r="Y156" s="1" t="s">
        <v>2166</v>
      </c>
      <c r="Z156" s="72">
        <v>14</v>
      </c>
      <c r="AA156" s="13" t="b">
        <v>1</v>
      </c>
      <c r="AB156" s="1"/>
      <c r="AC156" s="57" t="s">
        <v>1385</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spans="1:331" s="25" customFormat="1" x14ac:dyDescent="0.25">
      <c r="A157" s="25" t="s">
        <v>653</v>
      </c>
      <c r="B157" s="29" t="s">
        <v>654</v>
      </c>
      <c r="C157" s="13" t="s">
        <v>1648</v>
      </c>
      <c r="D157" s="25">
        <v>0</v>
      </c>
      <c r="H157" s="25" t="s">
        <v>440</v>
      </c>
      <c r="I157" s="25" t="s">
        <v>433</v>
      </c>
      <c r="J157" s="25" t="s">
        <v>440</v>
      </c>
      <c r="K157" s="25" t="s">
        <v>433</v>
      </c>
      <c r="L157" s="25">
        <v>0</v>
      </c>
      <c r="O157" s="25">
        <v>0</v>
      </c>
      <c r="Q157" s="1" t="s">
        <v>1520</v>
      </c>
      <c r="R157" s="1"/>
      <c r="S157" s="25">
        <v>8</v>
      </c>
      <c r="U157" s="25">
        <v>8</v>
      </c>
      <c r="W157" s="1">
        <v>8</v>
      </c>
      <c r="X157" s="1">
        <v>26</v>
      </c>
      <c r="Y157" s="1" t="s">
        <v>2167</v>
      </c>
      <c r="Z157" s="25">
        <v>5</v>
      </c>
      <c r="AA157" s="13" t="b">
        <v>1</v>
      </c>
      <c r="AB157" s="1"/>
      <c r="AC157" s="57" t="s">
        <v>1357</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row>
    <row r="158" spans="1:331" s="25" customFormat="1" x14ac:dyDescent="0.25">
      <c r="A158" s="25" t="s">
        <v>655</v>
      </c>
      <c r="B158" s="29" t="s">
        <v>656</v>
      </c>
      <c r="C158" s="13" t="s">
        <v>1648</v>
      </c>
      <c r="D158" s="25">
        <v>0</v>
      </c>
      <c r="H158" s="25" t="s">
        <v>649</v>
      </c>
      <c r="I158" s="25" t="s">
        <v>644</v>
      </c>
      <c r="J158" s="25" t="s">
        <v>433</v>
      </c>
      <c r="K158" s="25" t="s">
        <v>1685</v>
      </c>
      <c r="L158" s="25">
        <v>0</v>
      </c>
      <c r="O158" s="25">
        <v>0</v>
      </c>
      <c r="Q158" s="1" t="s">
        <v>1552</v>
      </c>
      <c r="R158" s="1"/>
      <c r="S158" s="25">
        <v>7</v>
      </c>
      <c r="U158" s="25">
        <v>6</v>
      </c>
      <c r="W158" s="1">
        <v>7</v>
      </c>
      <c r="X158" s="1">
        <v>17</v>
      </c>
      <c r="Y158" s="1" t="s">
        <v>2168</v>
      </c>
      <c r="Z158" s="25">
        <v>5</v>
      </c>
      <c r="AA158" s="13" t="b">
        <v>1</v>
      </c>
      <c r="AB158" s="1"/>
      <c r="AC158" s="57" t="s">
        <v>1359</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59" customFormat="1" x14ac:dyDescent="0.25">
      <c r="A159" s="59" t="s">
        <v>657</v>
      </c>
      <c r="B159" s="61" t="s">
        <v>658</v>
      </c>
      <c r="C159" s="13" t="s">
        <v>1648</v>
      </c>
      <c r="D159" s="59">
        <v>0</v>
      </c>
      <c r="H159" s="59" t="s">
        <v>659</v>
      </c>
      <c r="I159" s="59" t="s">
        <v>660</v>
      </c>
      <c r="J159" s="59" t="s">
        <v>659</v>
      </c>
      <c r="K159" s="59" t="s">
        <v>1686</v>
      </c>
      <c r="L159" s="59">
        <v>1</v>
      </c>
      <c r="M159" s="59" t="s">
        <v>661</v>
      </c>
      <c r="O159" s="59">
        <v>1</v>
      </c>
      <c r="Q159" s="1"/>
      <c r="R159" s="1" t="s">
        <v>662</v>
      </c>
      <c r="T159" s="59">
        <v>22</v>
      </c>
      <c r="V159" s="59">
        <v>20</v>
      </c>
      <c r="W159" s="1">
        <v>22</v>
      </c>
      <c r="X159" s="1">
        <v>24</v>
      </c>
      <c r="Y159" s="1" t="s">
        <v>2169</v>
      </c>
      <c r="Z159" s="59">
        <v>11</v>
      </c>
      <c r="AA159" s="13" t="b">
        <v>1</v>
      </c>
      <c r="AB159" s="1"/>
      <c r="AC159" s="57" t="s">
        <v>1369</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25" customFormat="1" x14ac:dyDescent="0.25">
      <c r="A160" s="25" t="s">
        <v>663</v>
      </c>
      <c r="B160" s="29" t="s">
        <v>664</v>
      </c>
      <c r="C160" s="13" t="s">
        <v>1648</v>
      </c>
      <c r="D160" s="25">
        <v>0</v>
      </c>
      <c r="H160" s="25" t="s">
        <v>665</v>
      </c>
      <c r="I160" s="25" t="s">
        <v>227</v>
      </c>
      <c r="J160" s="25" t="s">
        <v>665</v>
      </c>
      <c r="K160" s="25" t="s">
        <v>227</v>
      </c>
      <c r="L160" s="25">
        <v>0</v>
      </c>
      <c r="O160" s="25">
        <v>1</v>
      </c>
      <c r="Q160" s="1" t="s">
        <v>226</v>
      </c>
      <c r="R160" s="1"/>
      <c r="T160" s="25">
        <v>11</v>
      </c>
      <c r="V160" s="25">
        <v>11</v>
      </c>
      <c r="W160" s="1">
        <v>11</v>
      </c>
      <c r="X160" s="1">
        <v>13</v>
      </c>
      <c r="Y160" s="1" t="s">
        <v>2170</v>
      </c>
      <c r="Z160" s="25">
        <v>5</v>
      </c>
      <c r="AA160" s="13" t="b">
        <v>1</v>
      </c>
      <c r="AB160" s="1"/>
      <c r="AC160" s="57" t="s">
        <v>1355</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35" customFormat="1" x14ac:dyDescent="0.25">
      <c r="A161" s="35" t="s">
        <v>666</v>
      </c>
      <c r="B161" s="39" t="s">
        <v>667</v>
      </c>
      <c r="C161" s="13" t="s">
        <v>1648</v>
      </c>
      <c r="D161" s="35">
        <v>1</v>
      </c>
      <c r="E161" s="35" t="s">
        <v>446</v>
      </c>
      <c r="H161" s="35" t="s">
        <v>668</v>
      </c>
      <c r="I161" s="35" t="s">
        <v>446</v>
      </c>
      <c r="J161" s="35" t="s">
        <v>669</v>
      </c>
      <c r="K161" s="35" t="s">
        <v>1687</v>
      </c>
      <c r="L161" s="35">
        <v>0</v>
      </c>
      <c r="O161" s="35">
        <v>1</v>
      </c>
      <c r="Q161" s="1"/>
      <c r="R161" s="1" t="s">
        <v>670</v>
      </c>
      <c r="S161" s="35">
        <v>9</v>
      </c>
      <c r="U161" s="35">
        <v>8</v>
      </c>
      <c r="W161" s="1">
        <v>9</v>
      </c>
      <c r="X161" s="1">
        <v>24</v>
      </c>
      <c r="Y161" s="1" t="s">
        <v>2171</v>
      </c>
      <c r="Z161" s="35">
        <v>7</v>
      </c>
      <c r="AA161" s="13" t="b">
        <v>1</v>
      </c>
      <c r="AB161" s="1"/>
      <c r="AC161" s="57" t="s">
        <v>1417</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45" customFormat="1" x14ac:dyDescent="0.25">
      <c r="A162" s="45" t="s">
        <v>671</v>
      </c>
      <c r="C162" s="1" t="s">
        <v>1648</v>
      </c>
      <c r="D162" s="45">
        <v>0</v>
      </c>
      <c r="H162" s="45" t="s">
        <v>560</v>
      </c>
      <c r="I162" s="45" t="s">
        <v>561</v>
      </c>
      <c r="J162" s="45" t="s">
        <v>560</v>
      </c>
      <c r="K162" s="45" t="s">
        <v>561</v>
      </c>
      <c r="L162" s="45">
        <v>0</v>
      </c>
      <c r="O162" s="45">
        <v>1</v>
      </c>
      <c r="Q162" s="1" t="s">
        <v>651</v>
      </c>
      <c r="R162" s="1"/>
      <c r="T162" s="45">
        <v>19</v>
      </c>
      <c r="W162" s="1"/>
      <c r="X162" s="1"/>
      <c r="Y162" s="1"/>
      <c r="Z162" s="45">
        <v>-1</v>
      </c>
      <c r="AA162" s="13" t="b">
        <v>0</v>
      </c>
      <c r="AB162" s="1"/>
      <c r="AC162" s="57" t="s">
        <v>1233</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25" customFormat="1" x14ac:dyDescent="0.25">
      <c r="A163" s="25" t="s">
        <v>672</v>
      </c>
      <c r="B163" s="29" t="s">
        <v>673</v>
      </c>
      <c r="C163" s="13" t="s">
        <v>1648</v>
      </c>
      <c r="D163" s="25">
        <v>0</v>
      </c>
      <c r="H163" s="25" t="s">
        <v>674</v>
      </c>
      <c r="I163" s="25" t="s">
        <v>675</v>
      </c>
      <c r="J163" s="25" t="s">
        <v>676</v>
      </c>
      <c r="K163" s="25" t="s">
        <v>1688</v>
      </c>
      <c r="L163" s="25">
        <v>0</v>
      </c>
      <c r="O163" s="25">
        <v>1</v>
      </c>
      <c r="Q163" s="1" t="s">
        <v>681</v>
      </c>
      <c r="R163" s="1"/>
      <c r="S163" s="25">
        <v>5</v>
      </c>
      <c r="W163" s="1">
        <v>5</v>
      </c>
      <c r="X163" s="1">
        <v>24</v>
      </c>
      <c r="Y163" s="1" t="s">
        <v>2172</v>
      </c>
      <c r="Z163" s="25">
        <v>5</v>
      </c>
      <c r="AA163" s="13" t="b">
        <v>1</v>
      </c>
      <c r="AB163" s="1"/>
      <c r="AC163" s="57" t="s">
        <v>1797</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40" customFormat="1" x14ac:dyDescent="0.25">
      <c r="A164" s="40" t="s">
        <v>677</v>
      </c>
      <c r="B164" s="44" t="s">
        <v>678</v>
      </c>
      <c r="C164" s="13" t="s">
        <v>1648</v>
      </c>
      <c r="D164" s="40">
        <v>0</v>
      </c>
      <c r="H164" s="40" t="s">
        <v>679</v>
      </c>
      <c r="I164" s="40" t="s">
        <v>680</v>
      </c>
      <c r="J164" s="40" t="s">
        <v>458</v>
      </c>
      <c r="K164" s="40" t="s">
        <v>1689</v>
      </c>
      <c r="L164" s="40">
        <v>0</v>
      </c>
      <c r="O164" s="40">
        <v>1</v>
      </c>
      <c r="P164" s="40" t="s">
        <v>681</v>
      </c>
      <c r="Q164" s="1" t="s">
        <v>1553</v>
      </c>
      <c r="R164" s="1"/>
      <c r="T164" s="40">
        <v>16</v>
      </c>
      <c r="V164" s="40">
        <v>17</v>
      </c>
      <c r="W164" s="1">
        <v>16</v>
      </c>
      <c r="X164" s="1">
        <v>18</v>
      </c>
      <c r="Y164" s="1" t="s">
        <v>2173</v>
      </c>
      <c r="Z164" s="40">
        <v>8</v>
      </c>
      <c r="AA164" s="13" t="b">
        <v>1</v>
      </c>
      <c r="AB164" s="1"/>
      <c r="AC164" s="57" t="s">
        <v>1420</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25" customFormat="1" x14ac:dyDescent="0.25">
      <c r="A165" s="25" t="s">
        <v>682</v>
      </c>
      <c r="B165" s="29" t="s">
        <v>683</v>
      </c>
      <c r="C165" s="13" t="s">
        <v>1648</v>
      </c>
      <c r="D165" s="25">
        <v>0</v>
      </c>
      <c r="H165" s="25" t="s">
        <v>684</v>
      </c>
      <c r="I165" s="25" t="s">
        <v>685</v>
      </c>
      <c r="J165" s="25" t="s">
        <v>684</v>
      </c>
      <c r="K165" s="25" t="s">
        <v>685</v>
      </c>
      <c r="L165" s="25">
        <v>0</v>
      </c>
      <c r="O165" s="25">
        <v>0</v>
      </c>
      <c r="Q165" s="1" t="s">
        <v>1554</v>
      </c>
      <c r="R165" s="1"/>
      <c r="T165" s="25">
        <v>6</v>
      </c>
      <c r="V165" s="25">
        <v>6</v>
      </c>
      <c r="W165" s="1">
        <v>6</v>
      </c>
      <c r="X165" s="1">
        <v>11</v>
      </c>
      <c r="Y165" s="1" t="s">
        <v>2174</v>
      </c>
      <c r="Z165" s="25">
        <v>5</v>
      </c>
      <c r="AA165" s="13" t="b">
        <v>1</v>
      </c>
      <c r="AB165" s="1" t="s">
        <v>1892</v>
      </c>
      <c r="AC165" s="57" t="s">
        <v>1356</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40" customFormat="1" x14ac:dyDescent="0.25">
      <c r="A166" s="40" t="s">
        <v>686</v>
      </c>
      <c r="B166" s="44" t="s">
        <v>687</v>
      </c>
      <c r="C166" s="13" t="s">
        <v>1648</v>
      </c>
      <c r="D166" s="40">
        <v>0</v>
      </c>
      <c r="H166" s="40" t="s">
        <v>688</v>
      </c>
      <c r="I166" s="40" t="s">
        <v>689</v>
      </c>
      <c r="J166" s="40" t="s">
        <v>690</v>
      </c>
      <c r="K166" s="40" t="s">
        <v>689</v>
      </c>
      <c r="L166" s="40">
        <v>0</v>
      </c>
      <c r="O166" s="40">
        <v>1</v>
      </c>
      <c r="P166" s="40" t="s">
        <v>140</v>
      </c>
      <c r="Q166" s="1" t="s">
        <v>1555</v>
      </c>
      <c r="R166" s="1"/>
      <c r="T166" s="40">
        <v>12</v>
      </c>
      <c r="W166" s="1">
        <v>12</v>
      </c>
      <c r="X166" s="1">
        <v>16</v>
      </c>
      <c r="Y166" s="1" t="s">
        <v>2175</v>
      </c>
      <c r="Z166" s="40">
        <v>8</v>
      </c>
      <c r="AA166" s="13" t="b">
        <v>1</v>
      </c>
      <c r="AB166" s="1"/>
      <c r="AC166" s="57" t="s">
        <v>1796</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25" customFormat="1" x14ac:dyDescent="0.25">
      <c r="A167" s="25" t="s">
        <v>691</v>
      </c>
      <c r="B167" s="29">
        <v>2607532</v>
      </c>
      <c r="C167" s="13" t="s">
        <v>1648</v>
      </c>
      <c r="D167" s="25">
        <v>0</v>
      </c>
      <c r="H167" s="25" t="s">
        <v>692</v>
      </c>
      <c r="I167" s="25" t="s">
        <v>693</v>
      </c>
      <c r="J167" s="25" t="s">
        <v>692</v>
      </c>
      <c r="K167" s="25" t="s">
        <v>1690</v>
      </c>
      <c r="L167" s="25">
        <v>0</v>
      </c>
      <c r="O167" s="25">
        <v>1</v>
      </c>
      <c r="Q167" s="1" t="s">
        <v>1555</v>
      </c>
      <c r="R167" s="1"/>
      <c r="T167" s="25">
        <v>20</v>
      </c>
      <c r="V167" s="25">
        <v>20</v>
      </c>
      <c r="W167" s="1">
        <v>20</v>
      </c>
      <c r="X167" s="1">
        <v>18</v>
      </c>
      <c r="Y167" s="1" t="s">
        <v>2176</v>
      </c>
      <c r="Z167" s="25">
        <v>5</v>
      </c>
      <c r="AA167" s="13" t="b">
        <v>1</v>
      </c>
      <c r="AB167" s="1"/>
      <c r="AC167" s="57" t="s">
        <v>1913</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45" customFormat="1" x14ac:dyDescent="0.25">
      <c r="A168" s="45" t="s">
        <v>694</v>
      </c>
      <c r="B168" s="45" t="s">
        <v>1360</v>
      </c>
      <c r="C168" s="1" t="s">
        <v>1648</v>
      </c>
      <c r="D168" s="45">
        <v>0</v>
      </c>
      <c r="H168" s="45" t="s">
        <v>692</v>
      </c>
      <c r="I168" s="45" t="s">
        <v>454</v>
      </c>
      <c r="J168" s="45" t="s">
        <v>692</v>
      </c>
      <c r="K168" s="45" t="s">
        <v>1554</v>
      </c>
      <c r="L168" s="45">
        <v>0</v>
      </c>
      <c r="O168" s="45">
        <v>0</v>
      </c>
      <c r="Q168" s="1" t="s">
        <v>1556</v>
      </c>
      <c r="R168" s="1"/>
      <c r="S168" s="45">
        <v>5</v>
      </c>
      <c r="W168" s="1"/>
      <c r="X168" s="1"/>
      <c r="Y168" s="1"/>
      <c r="Z168" s="45">
        <v>-1</v>
      </c>
      <c r="AA168" s="13" t="b">
        <v>0</v>
      </c>
      <c r="AB168" s="1"/>
      <c r="AC168" s="57" t="s">
        <v>1361</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25" customFormat="1" x14ac:dyDescent="0.25">
      <c r="A169" s="25" t="s">
        <v>695</v>
      </c>
      <c r="B169" s="29" t="s">
        <v>673</v>
      </c>
      <c r="C169" s="13" t="s">
        <v>1648</v>
      </c>
      <c r="D169" s="25">
        <v>0</v>
      </c>
      <c r="H169" s="25" t="s">
        <v>696</v>
      </c>
      <c r="I169" s="25" t="s">
        <v>697</v>
      </c>
      <c r="J169" s="25" t="s">
        <v>696</v>
      </c>
      <c r="K169" s="25" t="s">
        <v>697</v>
      </c>
      <c r="L169" s="25">
        <v>0</v>
      </c>
      <c r="O169" s="25">
        <v>1</v>
      </c>
      <c r="Q169" s="1" t="s">
        <v>1326</v>
      </c>
      <c r="R169" s="1"/>
      <c r="S169" s="25">
        <v>8</v>
      </c>
      <c r="U169" s="25">
        <v>5</v>
      </c>
      <c r="W169" s="1">
        <v>8</v>
      </c>
      <c r="X169" s="1">
        <v>24</v>
      </c>
      <c r="Y169" s="1" t="s">
        <v>2172</v>
      </c>
      <c r="Z169" s="25">
        <v>-1</v>
      </c>
      <c r="AA169" s="13" t="b">
        <v>1</v>
      </c>
      <c r="AB169" s="1"/>
      <c r="AC169" s="57" t="s">
        <v>1362</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40" customFormat="1" x14ac:dyDescent="0.25">
      <c r="A170" s="40" t="s">
        <v>698</v>
      </c>
      <c r="B170" s="44">
        <v>2854623</v>
      </c>
      <c r="C170" s="13" t="s">
        <v>1648</v>
      </c>
      <c r="D170" s="40">
        <v>0</v>
      </c>
      <c r="H170" s="40" t="s">
        <v>699</v>
      </c>
      <c r="I170" s="40" t="s">
        <v>700</v>
      </c>
      <c r="J170" s="40" t="s">
        <v>699</v>
      </c>
      <c r="K170" s="40" t="s">
        <v>700</v>
      </c>
      <c r="L170" s="40">
        <v>0</v>
      </c>
      <c r="O170" s="40">
        <v>1</v>
      </c>
      <c r="P170" s="40" t="s">
        <v>701</v>
      </c>
      <c r="Q170" s="1" t="s">
        <v>1557</v>
      </c>
      <c r="R170" s="1"/>
      <c r="S170" s="40">
        <v>16</v>
      </c>
      <c r="U170" s="40">
        <v>14</v>
      </c>
      <c r="W170" s="1">
        <v>16</v>
      </c>
      <c r="X170" s="1">
        <v>15</v>
      </c>
      <c r="Y170" s="1" t="s">
        <v>2177</v>
      </c>
      <c r="Z170" s="40">
        <v>8</v>
      </c>
      <c r="AA170" s="13" t="b">
        <v>1</v>
      </c>
      <c r="AB170" s="1"/>
      <c r="AC170" s="57" t="s">
        <v>1421</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25" customFormat="1" x14ac:dyDescent="0.25">
      <c r="A171" s="25" t="s">
        <v>702</v>
      </c>
      <c r="B171" s="29" t="s">
        <v>1363</v>
      </c>
      <c r="C171" s="13" t="s">
        <v>1648</v>
      </c>
      <c r="D171" s="25">
        <v>0</v>
      </c>
      <c r="H171" s="25" t="s">
        <v>703</v>
      </c>
      <c r="I171" s="25" t="s">
        <v>704</v>
      </c>
      <c r="J171" s="25" t="s">
        <v>703</v>
      </c>
      <c r="K171" s="25" t="s">
        <v>697</v>
      </c>
      <c r="L171" s="25">
        <v>0</v>
      </c>
      <c r="O171" s="25">
        <v>0</v>
      </c>
      <c r="Q171" s="1" t="s">
        <v>1558</v>
      </c>
      <c r="R171" s="1"/>
      <c r="T171" s="25">
        <v>10</v>
      </c>
      <c r="V171" s="25">
        <v>9</v>
      </c>
      <c r="W171" s="1">
        <v>10</v>
      </c>
      <c r="X171" s="1">
        <v>12</v>
      </c>
      <c r="Y171" s="1" t="s">
        <v>2178</v>
      </c>
      <c r="Z171" s="25">
        <v>5</v>
      </c>
      <c r="AA171" s="13" t="b">
        <v>1</v>
      </c>
      <c r="AB171" s="1"/>
      <c r="AC171" s="57" t="s">
        <v>1364</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705</v>
      </c>
      <c r="B172" s="29">
        <v>2062611</v>
      </c>
      <c r="C172" s="13" t="s">
        <v>1648</v>
      </c>
      <c r="D172" s="25">
        <v>0</v>
      </c>
      <c r="H172" s="25" t="s">
        <v>697</v>
      </c>
      <c r="I172" s="25" t="s">
        <v>697</v>
      </c>
      <c r="J172" s="25" t="s">
        <v>697</v>
      </c>
      <c r="K172" s="25" t="s">
        <v>697</v>
      </c>
      <c r="L172" s="25">
        <v>0</v>
      </c>
      <c r="O172" s="25">
        <v>0</v>
      </c>
      <c r="Q172" s="1" t="s">
        <v>1559</v>
      </c>
      <c r="R172" s="1"/>
      <c r="S172" s="25">
        <v>3</v>
      </c>
      <c r="W172" s="1">
        <v>3</v>
      </c>
      <c r="X172" s="1">
        <v>12</v>
      </c>
      <c r="Y172" s="1" t="s">
        <v>2179</v>
      </c>
      <c r="Z172" s="25">
        <v>5</v>
      </c>
      <c r="AA172" s="13" t="s">
        <v>2309</v>
      </c>
      <c r="AB172" s="17" t="s">
        <v>1889</v>
      </c>
      <c r="AC172" s="57" t="s">
        <v>1926</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706</v>
      </c>
      <c r="B173" s="29">
        <v>2765503</v>
      </c>
      <c r="C173" s="13" t="s">
        <v>1648</v>
      </c>
      <c r="D173" s="25">
        <v>0</v>
      </c>
      <c r="H173" s="25" t="s">
        <v>697</v>
      </c>
      <c r="I173" s="25" t="s">
        <v>707</v>
      </c>
      <c r="J173" s="25" t="s">
        <v>697</v>
      </c>
      <c r="K173" s="25" t="s">
        <v>1691</v>
      </c>
      <c r="L173" s="25">
        <v>0</v>
      </c>
      <c r="O173" s="25">
        <v>0</v>
      </c>
      <c r="Q173" s="1" t="s">
        <v>699</v>
      </c>
      <c r="R173" s="1"/>
      <c r="S173" s="25">
        <v>9</v>
      </c>
      <c r="W173" s="1">
        <v>9</v>
      </c>
      <c r="X173" s="1">
        <v>16</v>
      </c>
      <c r="Y173" s="1" t="s">
        <v>2175</v>
      </c>
      <c r="Z173" s="25">
        <v>5</v>
      </c>
      <c r="AA173" s="13" t="b">
        <v>1</v>
      </c>
      <c r="AB173" s="1"/>
      <c r="AC173" s="57" t="s">
        <v>1231</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30" customFormat="1" x14ac:dyDescent="0.25">
      <c r="A174" s="30" t="s">
        <v>708</v>
      </c>
      <c r="B174" s="34">
        <v>2223317</v>
      </c>
      <c r="C174" s="13" t="s">
        <v>1648</v>
      </c>
      <c r="D174" s="30">
        <v>1</v>
      </c>
      <c r="E174" s="30" t="s">
        <v>704</v>
      </c>
      <c r="H174" s="30" t="s">
        <v>707</v>
      </c>
      <c r="I174" s="30" t="s">
        <v>709</v>
      </c>
      <c r="J174" s="30" t="s">
        <v>707</v>
      </c>
      <c r="K174" s="30" t="s">
        <v>711</v>
      </c>
      <c r="L174" s="30">
        <v>0</v>
      </c>
      <c r="O174" s="30">
        <v>0</v>
      </c>
      <c r="Q174" s="1" t="s">
        <v>1560</v>
      </c>
      <c r="R174" s="1"/>
      <c r="T174" s="30">
        <v>8</v>
      </c>
      <c r="V174" s="30">
        <v>8</v>
      </c>
      <c r="W174" s="1">
        <v>8</v>
      </c>
      <c r="X174" s="1">
        <v>15</v>
      </c>
      <c r="Y174" s="1" t="s">
        <v>2180</v>
      </c>
      <c r="Z174" s="30">
        <v>6</v>
      </c>
      <c r="AA174" s="13" t="b">
        <v>1</v>
      </c>
      <c r="AB174" s="1"/>
      <c r="AC174" s="57" t="s">
        <v>1294</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25" customFormat="1" x14ac:dyDescent="0.25">
      <c r="A175" s="25" t="s">
        <v>710</v>
      </c>
      <c r="B175" s="29">
        <v>2313159</v>
      </c>
      <c r="C175" s="13" t="s">
        <v>1648</v>
      </c>
      <c r="D175" s="25">
        <v>0</v>
      </c>
      <c r="H175" s="25" t="s">
        <v>711</v>
      </c>
      <c r="I175" s="25" t="s">
        <v>712</v>
      </c>
      <c r="J175" s="25" t="s">
        <v>711</v>
      </c>
      <c r="K175" s="25" t="s">
        <v>712</v>
      </c>
      <c r="L175" s="25">
        <v>0</v>
      </c>
      <c r="O175" s="25">
        <v>0</v>
      </c>
      <c r="Q175" s="1" t="s">
        <v>726</v>
      </c>
      <c r="R175" s="1"/>
      <c r="S175" s="25">
        <v>3</v>
      </c>
      <c r="U175" s="25">
        <v>4</v>
      </c>
      <c r="W175" s="1">
        <v>3</v>
      </c>
      <c r="X175" s="1">
        <v>13</v>
      </c>
      <c r="Y175" s="1" t="s">
        <v>2181</v>
      </c>
      <c r="Z175" s="25">
        <v>5</v>
      </c>
      <c r="AA175" s="13" t="b">
        <v>1</v>
      </c>
      <c r="AB175" s="1"/>
      <c r="AC175" s="57" t="s">
        <v>1297</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 customFormat="1" x14ac:dyDescent="0.25">
      <c r="A176" s="2" t="s">
        <v>713</v>
      </c>
      <c r="B176" s="6">
        <v>2079248</v>
      </c>
      <c r="C176" s="13" t="s">
        <v>1648</v>
      </c>
      <c r="D176" s="2">
        <v>0</v>
      </c>
      <c r="H176" s="2" t="s">
        <v>712</v>
      </c>
      <c r="I176" s="2" t="s">
        <v>714</v>
      </c>
      <c r="J176" s="2" t="s">
        <v>712</v>
      </c>
      <c r="K176" s="2" t="s">
        <v>712</v>
      </c>
      <c r="L176" s="2">
        <v>1</v>
      </c>
      <c r="M176" s="2" t="s">
        <v>712</v>
      </c>
      <c r="O176" s="2">
        <v>1</v>
      </c>
      <c r="Q176" s="1" t="s">
        <v>1561</v>
      </c>
      <c r="R176" s="1"/>
      <c r="T176" s="2">
        <v>12</v>
      </c>
      <c r="V176" s="2">
        <v>14</v>
      </c>
      <c r="W176" s="1">
        <v>12</v>
      </c>
      <c r="X176" s="1">
        <v>14</v>
      </c>
      <c r="Y176" s="1" t="s">
        <v>2182</v>
      </c>
      <c r="Z176" s="2">
        <v>2</v>
      </c>
      <c r="AA176" s="13" t="b">
        <v>1</v>
      </c>
      <c r="AB176" s="1"/>
      <c r="AC176" s="57" t="s">
        <v>1382</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40" customFormat="1" x14ac:dyDescent="0.25">
      <c r="A177" s="40" t="s">
        <v>715</v>
      </c>
      <c r="B177" s="44">
        <v>2065522</v>
      </c>
      <c r="C177" s="13" t="s">
        <v>1648</v>
      </c>
      <c r="D177" s="40">
        <v>0</v>
      </c>
      <c r="H177" s="40" t="s">
        <v>716</v>
      </c>
      <c r="I177" s="40" t="s">
        <v>717</v>
      </c>
      <c r="J177" s="40" t="s">
        <v>716</v>
      </c>
      <c r="K177" s="40" t="s">
        <v>717</v>
      </c>
      <c r="L177" s="40">
        <v>0</v>
      </c>
      <c r="O177" s="40">
        <v>1</v>
      </c>
      <c r="P177" s="40" t="s">
        <v>718</v>
      </c>
      <c r="Q177" s="1" t="s">
        <v>1562</v>
      </c>
      <c r="R177" s="1"/>
      <c r="S177" s="40">
        <v>13</v>
      </c>
      <c r="W177" s="1">
        <v>13</v>
      </c>
      <c r="X177" s="1">
        <v>18</v>
      </c>
      <c r="Y177" s="1" t="s">
        <v>2183</v>
      </c>
      <c r="Z177" s="40">
        <v>8</v>
      </c>
      <c r="AA177" s="13" t="b">
        <v>1</v>
      </c>
      <c r="AB177" s="1"/>
      <c r="AC177" s="57" t="s">
        <v>1422</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30" customFormat="1" x14ac:dyDescent="0.25">
      <c r="A178" s="30" t="s">
        <v>719</v>
      </c>
      <c r="B178" s="34">
        <v>2431691</v>
      </c>
      <c r="C178" s="13" t="s">
        <v>1648</v>
      </c>
      <c r="D178" s="30">
        <v>1</v>
      </c>
      <c r="E178" s="30" t="s">
        <v>720</v>
      </c>
      <c r="H178" s="30" t="s">
        <v>721</v>
      </c>
      <c r="I178" s="30" t="s">
        <v>722</v>
      </c>
      <c r="J178" s="30" t="s">
        <v>721</v>
      </c>
      <c r="K178" s="30" t="s">
        <v>722</v>
      </c>
      <c r="L178" s="30">
        <v>0</v>
      </c>
      <c r="O178" s="30">
        <v>0</v>
      </c>
      <c r="Q178" s="1" t="s">
        <v>1323</v>
      </c>
      <c r="R178" s="1"/>
      <c r="S178" s="30">
        <v>8</v>
      </c>
      <c r="W178" s="1">
        <v>8</v>
      </c>
      <c r="X178" s="1">
        <v>13</v>
      </c>
      <c r="Y178" s="1" t="s">
        <v>2184</v>
      </c>
      <c r="Z178" s="30">
        <v>6</v>
      </c>
      <c r="AA178" s="13" t="b">
        <v>1</v>
      </c>
      <c r="AB178" s="1"/>
      <c r="AC178" s="57" t="s">
        <v>1386</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723</v>
      </c>
      <c r="B179" s="34">
        <v>2232469</v>
      </c>
      <c r="C179" s="13" t="s">
        <v>1648</v>
      </c>
      <c r="D179" s="30">
        <v>1</v>
      </c>
      <c r="E179" s="30" t="s">
        <v>699</v>
      </c>
      <c r="H179" s="30" t="s">
        <v>724</v>
      </c>
      <c r="I179" s="30" t="s">
        <v>699</v>
      </c>
      <c r="J179" s="30" t="s">
        <v>724</v>
      </c>
      <c r="K179" s="30" t="s">
        <v>1561</v>
      </c>
      <c r="L179" s="30">
        <v>0</v>
      </c>
      <c r="O179" s="30">
        <v>0</v>
      </c>
      <c r="Q179" s="1" t="s">
        <v>1563</v>
      </c>
      <c r="R179" s="1"/>
      <c r="S179" s="30">
        <v>5.2</v>
      </c>
      <c r="U179" s="30">
        <v>7</v>
      </c>
      <c r="W179" s="1">
        <v>5</v>
      </c>
      <c r="X179" s="1">
        <v>11</v>
      </c>
      <c r="Y179" s="1" t="s">
        <v>2185</v>
      </c>
      <c r="Z179" s="30">
        <v>6</v>
      </c>
      <c r="AA179" s="13" t="b">
        <v>1</v>
      </c>
      <c r="AB179" s="1"/>
      <c r="AC179" s="57" t="s">
        <v>1914</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45" customFormat="1" x14ac:dyDescent="0.25">
      <c r="A180" s="45" t="s">
        <v>725</v>
      </c>
      <c r="B180" s="45">
        <v>2330532</v>
      </c>
      <c r="C180" s="1" t="s">
        <v>1648</v>
      </c>
      <c r="D180" s="45">
        <v>0</v>
      </c>
      <c r="H180" s="45" t="s">
        <v>726</v>
      </c>
      <c r="I180" s="45" t="s">
        <v>727</v>
      </c>
      <c r="J180" s="45" t="s">
        <v>726</v>
      </c>
      <c r="K180" s="45" t="s">
        <v>1692</v>
      </c>
      <c r="L180" s="45">
        <v>0</v>
      </c>
      <c r="O180" s="45">
        <v>1</v>
      </c>
      <c r="Q180" s="1" t="s">
        <v>1564</v>
      </c>
      <c r="R180" s="1"/>
      <c r="S180" s="45">
        <v>27</v>
      </c>
      <c r="W180" s="1">
        <v>27</v>
      </c>
      <c r="X180" s="1"/>
      <c r="Y180" s="1"/>
      <c r="Z180" s="45">
        <v>-1</v>
      </c>
      <c r="AA180" s="13" t="b">
        <v>0</v>
      </c>
      <c r="AB180" s="1"/>
      <c r="AC180" s="57" t="s">
        <v>1238</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30" customFormat="1" x14ac:dyDescent="0.25">
      <c r="A181" s="30" t="s">
        <v>1961</v>
      </c>
      <c r="B181" s="30">
        <v>2403137</v>
      </c>
      <c r="C181" s="1" t="s">
        <v>1648</v>
      </c>
      <c r="D181" s="30">
        <v>1</v>
      </c>
      <c r="E181" s="30" t="s">
        <v>1509</v>
      </c>
      <c r="H181" s="30" t="s">
        <v>1508</v>
      </c>
      <c r="I181" s="30" t="s">
        <v>1962</v>
      </c>
      <c r="J181" s="30" t="s">
        <v>1756</v>
      </c>
      <c r="K181" s="30" t="s">
        <v>1962</v>
      </c>
      <c r="L181" s="30">
        <v>0</v>
      </c>
      <c r="O181" s="30">
        <v>0</v>
      </c>
      <c r="Q181" s="1" t="s">
        <v>1774</v>
      </c>
      <c r="R181" s="1"/>
      <c r="S181" s="30">
        <v>8</v>
      </c>
      <c r="W181" s="1">
        <v>8</v>
      </c>
      <c r="X181" s="1">
        <v>9</v>
      </c>
      <c r="Y181" s="1" t="s">
        <v>2186</v>
      </c>
      <c r="Z181" s="30">
        <v>6</v>
      </c>
      <c r="AA181" s="1" t="b">
        <v>1</v>
      </c>
      <c r="AB181" s="1"/>
      <c r="AC181" s="1" t="s">
        <v>2002</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row>
    <row r="182" spans="1:331" s="40" customFormat="1" x14ac:dyDescent="0.25">
      <c r="A182" s="40" t="s">
        <v>1963</v>
      </c>
      <c r="B182" s="40">
        <v>2644334</v>
      </c>
      <c r="C182" s="1" t="s">
        <v>1648</v>
      </c>
      <c r="D182" s="40">
        <v>0</v>
      </c>
      <c r="H182" s="40" t="s">
        <v>1759</v>
      </c>
      <c r="I182" s="40" t="s">
        <v>1756</v>
      </c>
      <c r="J182" s="40" t="s">
        <v>1759</v>
      </c>
      <c r="K182" s="40" t="s">
        <v>1756</v>
      </c>
      <c r="L182" s="40">
        <v>0</v>
      </c>
      <c r="O182" s="40">
        <v>1</v>
      </c>
      <c r="P182" s="40" t="s">
        <v>1773</v>
      </c>
      <c r="Q182" s="1" t="s">
        <v>1964</v>
      </c>
      <c r="R182" s="1"/>
      <c r="S182" s="40">
        <v>10</v>
      </c>
      <c r="W182" s="1">
        <v>10</v>
      </c>
      <c r="X182" s="1">
        <v>10</v>
      </c>
      <c r="Y182" s="1" t="s">
        <v>2187</v>
      </c>
      <c r="Z182" s="40">
        <v>8</v>
      </c>
      <c r="AA182" s="1" t="b">
        <v>1</v>
      </c>
      <c r="AB182" s="1"/>
      <c r="AC182" s="1" t="s">
        <v>2003</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9" customFormat="1" x14ac:dyDescent="0.25">
      <c r="A183" s="49" t="s">
        <v>1965</v>
      </c>
      <c r="B183" s="49">
        <v>2001777</v>
      </c>
      <c r="C183" s="1" t="s">
        <v>1648</v>
      </c>
      <c r="D183" s="49">
        <v>0</v>
      </c>
      <c r="H183" s="49" t="s">
        <v>1802</v>
      </c>
      <c r="I183" s="49" t="s">
        <v>1767</v>
      </c>
      <c r="J183" s="49" t="s">
        <v>1802</v>
      </c>
      <c r="K183" s="49" t="s">
        <v>1767</v>
      </c>
      <c r="L183" s="49">
        <v>0</v>
      </c>
      <c r="O183" s="49">
        <v>1</v>
      </c>
      <c r="Q183" s="1"/>
      <c r="R183" s="1" t="s">
        <v>1966</v>
      </c>
      <c r="T183" s="49">
        <v>10</v>
      </c>
      <c r="W183" s="1">
        <v>10</v>
      </c>
      <c r="X183" s="1">
        <v>10</v>
      </c>
      <c r="Y183" s="1" t="s">
        <v>2188</v>
      </c>
      <c r="Z183" s="49">
        <v>9</v>
      </c>
      <c r="AA183" s="1" t="b">
        <v>1</v>
      </c>
      <c r="AB183" s="1"/>
      <c r="AC183" s="1" t="s">
        <v>2004</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3" customFormat="1" x14ac:dyDescent="0.25">
      <c r="A184" s="3" t="s">
        <v>1967</v>
      </c>
      <c r="B184" s="3">
        <v>2269616</v>
      </c>
      <c r="C184" s="1" t="s">
        <v>1648</v>
      </c>
      <c r="D184" s="3">
        <v>0</v>
      </c>
      <c r="H184" s="3" t="s">
        <v>1968</v>
      </c>
      <c r="I184" s="3" t="s">
        <v>1966</v>
      </c>
      <c r="J184" s="3" t="s">
        <v>1969</v>
      </c>
      <c r="K184" s="3" t="s">
        <v>1966</v>
      </c>
      <c r="L184" s="3">
        <v>1</v>
      </c>
      <c r="M184" s="3" t="s">
        <v>1734</v>
      </c>
      <c r="O184" s="3">
        <v>0</v>
      </c>
      <c r="Q184" s="1" t="s">
        <v>1827</v>
      </c>
      <c r="R184" s="1"/>
      <c r="T184" s="3">
        <v>10</v>
      </c>
      <c r="V184" s="3">
        <v>11</v>
      </c>
      <c r="W184" s="1">
        <v>10</v>
      </c>
      <c r="X184" s="1">
        <v>15</v>
      </c>
      <c r="Y184" s="1" t="s">
        <v>2189</v>
      </c>
      <c r="Z184" s="3">
        <v>1</v>
      </c>
      <c r="AA184" s="1" t="b">
        <v>1</v>
      </c>
      <c r="AB184" s="1"/>
      <c r="AC184" s="1" t="s">
        <v>2005</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25" customFormat="1" x14ac:dyDescent="0.25">
      <c r="A185" s="25" t="s">
        <v>1970</v>
      </c>
      <c r="B185" s="25">
        <v>2122392</v>
      </c>
      <c r="C185" s="1" t="s">
        <v>1648</v>
      </c>
      <c r="D185" s="25">
        <v>0</v>
      </c>
      <c r="H185" s="25" t="s">
        <v>1781</v>
      </c>
      <c r="I185" s="25" t="s">
        <v>1968</v>
      </c>
      <c r="J185" s="25" t="s">
        <v>2006</v>
      </c>
      <c r="K185" s="25" t="s">
        <v>1968</v>
      </c>
      <c r="L185" s="25">
        <v>0</v>
      </c>
      <c r="O185" s="25">
        <v>0</v>
      </c>
      <c r="Q185" s="1" t="s">
        <v>1821</v>
      </c>
      <c r="R185" s="1"/>
      <c r="T185" s="25">
        <v>10</v>
      </c>
      <c r="W185" s="1">
        <v>10</v>
      </c>
      <c r="X185" s="1">
        <v>15</v>
      </c>
      <c r="Y185" s="1" t="s">
        <v>2190</v>
      </c>
      <c r="Z185" s="25">
        <v>5</v>
      </c>
      <c r="AA185" s="1" t="b">
        <v>1</v>
      </c>
      <c r="AB185" s="1" t="s">
        <v>1893</v>
      </c>
      <c r="AC185" s="1" t="s">
        <v>2007</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1971</v>
      </c>
      <c r="B186" s="25">
        <v>2358928</v>
      </c>
      <c r="C186" s="1" t="s">
        <v>1648</v>
      </c>
      <c r="D186" s="25">
        <v>0</v>
      </c>
      <c r="H186" s="25" t="s">
        <v>1468</v>
      </c>
      <c r="I186" s="25" t="s">
        <v>1468</v>
      </c>
      <c r="J186" s="25" t="s">
        <v>1760</v>
      </c>
      <c r="K186" s="25" t="s">
        <v>1468</v>
      </c>
      <c r="L186" s="25">
        <v>0</v>
      </c>
      <c r="O186" s="25">
        <v>0</v>
      </c>
      <c r="Q186" s="1" t="s">
        <v>1972</v>
      </c>
      <c r="R186" s="1"/>
      <c r="S186" s="25">
        <v>7</v>
      </c>
      <c r="W186" s="1">
        <v>7</v>
      </c>
      <c r="X186" s="1">
        <v>9</v>
      </c>
      <c r="Y186" s="1" t="s">
        <v>2191</v>
      </c>
      <c r="Z186" s="25">
        <v>5</v>
      </c>
      <c r="AA186" s="1" t="b">
        <v>1</v>
      </c>
      <c r="AB186" s="1"/>
      <c r="AC186" s="1" t="s">
        <v>2008</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40" customFormat="1" x14ac:dyDescent="0.25">
      <c r="A187" s="40" t="s">
        <v>1973</v>
      </c>
      <c r="B187" s="40">
        <v>2617461</v>
      </c>
      <c r="C187" s="1" t="s">
        <v>1648</v>
      </c>
      <c r="D187" s="40">
        <v>0</v>
      </c>
      <c r="H187" s="40" t="s">
        <v>1674</v>
      </c>
      <c r="I187" s="40" t="s">
        <v>1974</v>
      </c>
      <c r="J187" s="40" t="s">
        <v>1674</v>
      </c>
      <c r="K187" s="40" t="s">
        <v>1974</v>
      </c>
      <c r="L187" s="40">
        <v>0</v>
      </c>
      <c r="O187" s="40">
        <v>1</v>
      </c>
      <c r="P187" s="40" t="s">
        <v>1822</v>
      </c>
      <c r="Q187" s="1" t="s">
        <v>1975</v>
      </c>
      <c r="R187" s="1"/>
      <c r="T187" s="40">
        <v>15</v>
      </c>
      <c r="W187" s="1">
        <v>15</v>
      </c>
      <c r="X187" s="1">
        <v>19</v>
      </c>
      <c r="Y187" s="1" t="s">
        <v>2192</v>
      </c>
      <c r="Z187" s="40">
        <v>8</v>
      </c>
      <c r="AA187" s="1" t="b">
        <v>1</v>
      </c>
      <c r="AB187" s="1"/>
      <c r="AC187" s="1" t="s">
        <v>2009</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331" x14ac:dyDescent="0.25">
      <c r="A188" s="35" t="s">
        <v>1976</v>
      </c>
      <c r="B188" s="35">
        <v>2596955</v>
      </c>
      <c r="C188" s="1" t="s">
        <v>1648</v>
      </c>
      <c r="D188" s="35">
        <v>0</v>
      </c>
      <c r="E188" s="35"/>
      <c r="F188" s="35"/>
      <c r="G188" s="35"/>
      <c r="H188" s="35" t="s">
        <v>1957</v>
      </c>
      <c r="I188" s="35" t="s">
        <v>1811</v>
      </c>
      <c r="J188" s="35" t="s">
        <v>1818</v>
      </c>
      <c r="K188" s="35" t="s">
        <v>1811</v>
      </c>
      <c r="L188" s="35">
        <v>0</v>
      </c>
      <c r="M188" s="35"/>
      <c r="N188" s="35"/>
      <c r="O188" s="35">
        <v>1</v>
      </c>
      <c r="P188" s="35"/>
      <c r="R188" s="1" t="s">
        <v>1930</v>
      </c>
      <c r="S188" s="35"/>
      <c r="T188" s="35"/>
      <c r="U188" s="35">
        <v>6</v>
      </c>
      <c r="V188" s="35"/>
      <c r="W188" s="1">
        <v>6</v>
      </c>
      <c r="X188" s="1">
        <v>22</v>
      </c>
      <c r="Y188" s="1" t="s">
        <v>2193</v>
      </c>
      <c r="Z188" s="35">
        <v>9</v>
      </c>
      <c r="AA188" s="13" t="b">
        <v>1</v>
      </c>
      <c r="AB188" s="17" t="s">
        <v>1990</v>
      </c>
      <c r="AC188" s="1" t="s">
        <v>2010</v>
      </c>
      <c r="AD188" s="1"/>
    </row>
    <row r="189" spans="1:331" x14ac:dyDescent="0.25">
      <c r="A189" s="25" t="s">
        <v>1977</v>
      </c>
      <c r="B189" s="25">
        <v>2119459</v>
      </c>
      <c r="C189" s="1" t="s">
        <v>1648</v>
      </c>
      <c r="D189" s="25">
        <v>0</v>
      </c>
      <c r="E189" s="25"/>
      <c r="F189" s="25"/>
      <c r="G189" s="25"/>
      <c r="H189" s="25" t="s">
        <v>1978</v>
      </c>
      <c r="I189" s="25" t="s">
        <v>1735</v>
      </c>
      <c r="J189" s="25" t="s">
        <v>1855</v>
      </c>
      <c r="K189" s="25" t="s">
        <v>1735</v>
      </c>
      <c r="L189" s="25">
        <v>0</v>
      </c>
      <c r="M189" s="25"/>
      <c r="N189" s="25"/>
      <c r="O189" s="25">
        <v>1</v>
      </c>
      <c r="P189" s="25"/>
      <c r="Q189" s="1" t="s">
        <v>1979</v>
      </c>
      <c r="S189" s="25"/>
      <c r="T189" s="25">
        <v>6</v>
      </c>
      <c r="U189" s="25"/>
      <c r="V189" s="25"/>
      <c r="W189" s="1">
        <v>6</v>
      </c>
      <c r="X189" s="1">
        <v>13</v>
      </c>
      <c r="Y189" s="1" t="s">
        <v>2194</v>
      </c>
      <c r="Z189" s="25">
        <v>5</v>
      </c>
      <c r="AA189" s="13" t="b">
        <v>1</v>
      </c>
      <c r="AC189" s="1" t="s">
        <v>2011</v>
      </c>
      <c r="AD189" s="1"/>
    </row>
    <row r="190" spans="1:331" s="3" customFormat="1" x14ac:dyDescent="0.25">
      <c r="A190" s="3" t="s">
        <v>1980</v>
      </c>
      <c r="B190" s="3">
        <v>2183532</v>
      </c>
      <c r="C190" s="1" t="s">
        <v>1648</v>
      </c>
      <c r="D190" s="3">
        <v>0</v>
      </c>
      <c r="H190" s="3" t="s">
        <v>1978</v>
      </c>
      <c r="I190" s="3" t="s">
        <v>1981</v>
      </c>
      <c r="J190" s="3" t="s">
        <v>1978</v>
      </c>
      <c r="K190" s="3" t="s">
        <v>1981</v>
      </c>
      <c r="L190" s="3">
        <v>1</v>
      </c>
      <c r="M190" s="3" t="s">
        <v>1982</v>
      </c>
      <c r="O190" s="3">
        <v>0</v>
      </c>
      <c r="Q190" s="1" t="s">
        <v>1983</v>
      </c>
      <c r="R190" s="1"/>
      <c r="S190" s="3">
        <v>6</v>
      </c>
      <c r="T190" s="3">
        <v>13</v>
      </c>
      <c r="V190" s="3">
        <v>15</v>
      </c>
      <c r="W190" s="1">
        <v>13</v>
      </c>
      <c r="X190" s="1">
        <v>14</v>
      </c>
      <c r="Y190" s="1" t="s">
        <v>2195</v>
      </c>
      <c r="Z190" s="3">
        <v>1</v>
      </c>
      <c r="AA190" s="1" t="b">
        <v>1</v>
      </c>
      <c r="AB190" s="1"/>
      <c r="AC190" s="1" t="s">
        <v>2012</v>
      </c>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331" x14ac:dyDescent="0.25">
      <c r="A191" s="25" t="s">
        <v>1984</v>
      </c>
      <c r="B191" s="25">
        <v>2322665</v>
      </c>
      <c r="C191" s="1" t="s">
        <v>1648</v>
      </c>
      <c r="D191" s="25">
        <v>0</v>
      </c>
      <c r="E191" s="25"/>
      <c r="F191" s="25"/>
      <c r="G191" s="25"/>
      <c r="H191" s="25" t="s">
        <v>1812</v>
      </c>
      <c r="I191" s="25" t="s">
        <v>1827</v>
      </c>
      <c r="J191" s="25" t="s">
        <v>1812</v>
      </c>
      <c r="K191" s="25" t="s">
        <v>1827</v>
      </c>
      <c r="L191" s="25">
        <v>0</v>
      </c>
      <c r="M191" s="25"/>
      <c r="N191" s="25"/>
      <c r="O191" s="25">
        <v>0</v>
      </c>
      <c r="P191" s="25"/>
      <c r="Q191" s="1" t="s">
        <v>1983</v>
      </c>
      <c r="S191" s="25"/>
      <c r="T191" s="25">
        <v>2</v>
      </c>
      <c r="U191" s="25"/>
      <c r="V191" s="25"/>
      <c r="W191" s="1">
        <v>2</v>
      </c>
      <c r="X191" s="1">
        <v>16</v>
      </c>
      <c r="Y191" s="1" t="s">
        <v>2196</v>
      </c>
      <c r="Z191" s="25">
        <v>5</v>
      </c>
      <c r="AA191" s="13" t="b">
        <v>1</v>
      </c>
      <c r="AC191" s="1" t="s">
        <v>2013</v>
      </c>
      <c r="AD191" s="1"/>
    </row>
    <row r="192" spans="1:331" x14ac:dyDescent="0.25">
      <c r="A192" s="25" t="s">
        <v>1985</v>
      </c>
      <c r="B192" s="25">
        <v>2239374</v>
      </c>
      <c r="C192" s="1" t="s">
        <v>1648</v>
      </c>
      <c r="D192" s="25">
        <v>0</v>
      </c>
      <c r="E192" s="25"/>
      <c r="F192" s="25"/>
      <c r="G192" s="25"/>
      <c r="H192" s="25" t="s">
        <v>1855</v>
      </c>
      <c r="I192" s="25" t="s">
        <v>1931</v>
      </c>
      <c r="J192" s="25" t="s">
        <v>1986</v>
      </c>
      <c r="K192" s="25" t="s">
        <v>1931</v>
      </c>
      <c r="L192" s="25">
        <v>0</v>
      </c>
      <c r="M192" s="25"/>
      <c r="N192" s="25"/>
      <c r="O192" s="25">
        <v>0</v>
      </c>
      <c r="P192" s="25"/>
      <c r="Q192" s="1" t="s">
        <v>1833</v>
      </c>
      <c r="S192" s="25">
        <v>7</v>
      </c>
      <c r="T192" s="25"/>
      <c r="U192" s="25"/>
      <c r="V192" s="25"/>
      <c r="W192" s="1">
        <v>7</v>
      </c>
      <c r="X192" s="1">
        <v>13</v>
      </c>
      <c r="Y192" s="1" t="s">
        <v>2197</v>
      </c>
      <c r="Z192" s="25">
        <v>5</v>
      </c>
      <c r="AA192" s="13" t="b">
        <v>1</v>
      </c>
      <c r="AC192" s="1" t="s">
        <v>2014</v>
      </c>
      <c r="AD192" s="1"/>
    </row>
    <row r="193" spans="1:331" x14ac:dyDescent="0.25">
      <c r="A193" s="25" t="s">
        <v>1987</v>
      </c>
      <c r="B193" s="25">
        <v>2139928</v>
      </c>
      <c r="C193" s="1" t="s">
        <v>1648</v>
      </c>
      <c r="D193" s="25">
        <v>0</v>
      </c>
      <c r="E193" s="25"/>
      <c r="F193" s="25"/>
      <c r="G193" s="25"/>
      <c r="H193" s="25" t="s">
        <v>1739</v>
      </c>
      <c r="I193" s="25" t="s">
        <v>1988</v>
      </c>
      <c r="J193" s="25" t="s">
        <v>1739</v>
      </c>
      <c r="K193" s="25" t="s">
        <v>1988</v>
      </c>
      <c r="L193" s="25">
        <v>0</v>
      </c>
      <c r="M193" s="25"/>
      <c r="N193" s="25"/>
      <c r="O193" s="25">
        <v>0</v>
      </c>
      <c r="P193" s="25"/>
      <c r="Q193" s="1" t="s">
        <v>1989</v>
      </c>
      <c r="S193" s="25"/>
      <c r="T193" s="25">
        <v>7</v>
      </c>
      <c r="U193" s="25"/>
      <c r="V193" s="25"/>
      <c r="W193" s="1">
        <v>7</v>
      </c>
      <c r="X193" s="1">
        <v>10</v>
      </c>
      <c r="Y193" s="1" t="s">
        <v>2198</v>
      </c>
      <c r="Z193" s="25">
        <v>5</v>
      </c>
      <c r="AA193" s="13" t="b">
        <v>1</v>
      </c>
      <c r="AC193" s="1" t="s">
        <v>2015</v>
      </c>
      <c r="AD193" s="1"/>
    </row>
    <row r="194" spans="1:331" x14ac:dyDescent="0.25">
      <c r="A194" s="35" t="s">
        <v>1991</v>
      </c>
      <c r="B194" s="35">
        <v>2507989</v>
      </c>
      <c r="C194" s="1" t="s">
        <v>1648</v>
      </c>
      <c r="D194" s="35">
        <v>0</v>
      </c>
      <c r="E194" s="35"/>
      <c r="F194" s="35"/>
      <c r="G194" s="35"/>
      <c r="H194" s="35" t="s">
        <v>1738</v>
      </c>
      <c r="I194" s="35" t="s">
        <v>1992</v>
      </c>
      <c r="J194" s="35" t="s">
        <v>1738</v>
      </c>
      <c r="K194" s="35" t="s">
        <v>1992</v>
      </c>
      <c r="L194" s="35">
        <v>0</v>
      </c>
      <c r="M194" s="35"/>
      <c r="N194" s="35"/>
      <c r="O194" s="35">
        <v>0</v>
      </c>
      <c r="P194" s="35"/>
      <c r="R194" s="1" t="s">
        <v>1993</v>
      </c>
      <c r="S194" s="35">
        <v>10</v>
      </c>
      <c r="T194" s="35"/>
      <c r="U194" s="35"/>
      <c r="V194" s="35"/>
      <c r="W194" s="1">
        <v>10</v>
      </c>
      <c r="X194" s="1">
        <v>13</v>
      </c>
      <c r="Y194" s="1" t="s">
        <v>2199</v>
      </c>
      <c r="Z194" s="35">
        <v>9</v>
      </c>
      <c r="AA194" s="1" t="b">
        <v>1</v>
      </c>
      <c r="AC194" s="1" t="s">
        <v>1333</v>
      </c>
      <c r="AD194" s="1"/>
      <c r="AE194" s="1"/>
    </row>
    <row r="195" spans="1:331" s="45" customFormat="1" x14ac:dyDescent="0.25">
      <c r="A195" s="45" t="s">
        <v>728</v>
      </c>
      <c r="C195" s="1" t="s">
        <v>1649</v>
      </c>
      <c r="Q195" s="1"/>
      <c r="R195" s="1"/>
      <c r="W195" s="1"/>
      <c r="X195" s="1"/>
      <c r="Y195" s="1"/>
      <c r="Z195" s="45">
        <v>-1</v>
      </c>
      <c r="AA195" s="13" t="b">
        <v>0</v>
      </c>
      <c r="AB195" s="1"/>
      <c r="AC195" s="57" t="s">
        <v>1293</v>
      </c>
      <c r="AD195" s="1"/>
      <c r="AE195" s="57"/>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row>
    <row r="196" spans="1:331" s="45" customFormat="1" x14ac:dyDescent="0.25">
      <c r="A196" s="45" t="s">
        <v>729</v>
      </c>
      <c r="C196" s="1" t="s">
        <v>1649</v>
      </c>
      <c r="D196" s="45">
        <v>2</v>
      </c>
      <c r="E196" s="45" t="s">
        <v>730</v>
      </c>
      <c r="F196" s="45" t="s">
        <v>730</v>
      </c>
      <c r="H196" s="45" t="s">
        <v>730</v>
      </c>
      <c r="I196" s="45" t="s">
        <v>730</v>
      </c>
      <c r="J196" s="45" t="s">
        <v>730</v>
      </c>
      <c r="K196" s="45" t="s">
        <v>264</v>
      </c>
      <c r="L196" s="45">
        <v>0</v>
      </c>
      <c r="O196" s="45">
        <v>1</v>
      </c>
      <c r="P196" s="45" t="s">
        <v>730</v>
      </c>
      <c r="Q196" s="1" t="s">
        <v>1565</v>
      </c>
      <c r="R196" s="1"/>
      <c r="S196" s="45">
        <v>15</v>
      </c>
      <c r="W196" s="1"/>
      <c r="X196" s="1"/>
      <c r="Y196" s="1"/>
      <c r="Z196" s="45">
        <v>-1</v>
      </c>
      <c r="AA196" s="13" t="b">
        <v>0</v>
      </c>
      <c r="AB196" s="1"/>
      <c r="AC196" s="57" t="s">
        <v>1274</v>
      </c>
      <c r="AD196" s="1"/>
      <c r="AE196" t="s">
        <v>1864</v>
      </c>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0" customFormat="1" x14ac:dyDescent="0.25">
      <c r="A197" s="40" t="s">
        <v>731</v>
      </c>
      <c r="B197" s="44" t="s">
        <v>732</v>
      </c>
      <c r="C197" s="13" t="s">
        <v>1649</v>
      </c>
      <c r="D197" s="40">
        <v>0</v>
      </c>
      <c r="H197" s="40" t="s">
        <v>733</v>
      </c>
      <c r="I197" s="40" t="s">
        <v>733</v>
      </c>
      <c r="J197" s="40" t="s">
        <v>734</v>
      </c>
      <c r="K197" s="40" t="s">
        <v>733</v>
      </c>
      <c r="L197" s="40">
        <v>0</v>
      </c>
      <c r="O197" s="40">
        <v>1</v>
      </c>
      <c r="P197" s="40" t="s">
        <v>734</v>
      </c>
      <c r="Q197" s="1" t="s">
        <v>1566</v>
      </c>
      <c r="R197" s="1"/>
      <c r="S197" s="40">
        <v>23</v>
      </c>
      <c r="T197" s="40">
        <v>10.5</v>
      </c>
      <c r="U197" s="40">
        <v>18</v>
      </c>
      <c r="V197" s="40">
        <v>11</v>
      </c>
      <c r="W197" s="1">
        <v>23</v>
      </c>
      <c r="X197" s="1">
        <v>20</v>
      </c>
      <c r="Y197" s="1" t="s">
        <v>2200</v>
      </c>
      <c r="Z197" s="40">
        <v>8</v>
      </c>
      <c r="AA197" s="13" t="b">
        <v>1</v>
      </c>
      <c r="AB197" s="1"/>
      <c r="AC197" s="57" t="s">
        <v>1397</v>
      </c>
      <c r="AD197" s="1"/>
      <c r="AE197" s="57"/>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735</v>
      </c>
      <c r="B198" s="44" t="s">
        <v>736</v>
      </c>
      <c r="C198" s="13" t="s">
        <v>1649</v>
      </c>
      <c r="D198" s="40">
        <v>0</v>
      </c>
      <c r="H198" s="40" t="s">
        <v>737</v>
      </c>
      <c r="I198" s="40" t="s">
        <v>738</v>
      </c>
      <c r="J198" s="40" t="s">
        <v>737</v>
      </c>
      <c r="K198" s="40" t="s">
        <v>1693</v>
      </c>
      <c r="L198" s="40">
        <v>0</v>
      </c>
      <c r="O198" s="40">
        <v>1</v>
      </c>
      <c r="P198" s="77">
        <v>45030</v>
      </c>
      <c r="Q198" s="1" t="s">
        <v>603</v>
      </c>
      <c r="R198" s="1"/>
      <c r="S198" s="40">
        <v>10</v>
      </c>
      <c r="T198" s="40">
        <v>19</v>
      </c>
      <c r="U198" s="40">
        <v>11</v>
      </c>
      <c r="V198" s="40">
        <v>12</v>
      </c>
      <c r="W198" s="1">
        <v>19</v>
      </c>
      <c r="X198" s="1">
        <v>20</v>
      </c>
      <c r="Y198" s="1" t="s">
        <v>2201</v>
      </c>
      <c r="Z198" s="40">
        <v>8</v>
      </c>
      <c r="AA198" s="13" t="b">
        <v>1</v>
      </c>
      <c r="AB198" s="1"/>
      <c r="AC198" s="57" t="s">
        <v>1639</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25" customFormat="1" x14ac:dyDescent="0.25">
      <c r="A199" s="25" t="s">
        <v>739</v>
      </c>
      <c r="B199" s="29" t="s">
        <v>740</v>
      </c>
      <c r="C199" s="13" t="s">
        <v>1649</v>
      </c>
      <c r="D199" s="25">
        <v>0</v>
      </c>
      <c r="H199" s="25" t="s">
        <v>341</v>
      </c>
      <c r="I199" s="25" t="s">
        <v>341</v>
      </c>
      <c r="J199" s="25" t="s">
        <v>741</v>
      </c>
      <c r="K199" s="25" t="s">
        <v>1694</v>
      </c>
      <c r="L199" s="25">
        <v>0</v>
      </c>
      <c r="O199" s="25">
        <v>0</v>
      </c>
      <c r="Q199" s="1" t="s">
        <v>1567</v>
      </c>
      <c r="R199" s="1"/>
      <c r="S199" s="25">
        <v>7</v>
      </c>
      <c r="U199" s="25">
        <v>8</v>
      </c>
      <c r="W199" s="1">
        <v>7</v>
      </c>
      <c r="X199" s="1">
        <v>7</v>
      </c>
      <c r="Y199" s="1" t="s">
        <v>2202</v>
      </c>
      <c r="Z199" s="25">
        <v>5</v>
      </c>
      <c r="AA199" s="13" t="b">
        <v>1</v>
      </c>
      <c r="AB199" s="1"/>
      <c r="AC199" s="57" t="s">
        <v>1354</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45" customFormat="1" x14ac:dyDescent="0.25">
      <c r="A200" s="45" t="s">
        <v>742</v>
      </c>
      <c r="C200" s="1" t="s">
        <v>1649</v>
      </c>
      <c r="D200" s="45">
        <v>0</v>
      </c>
      <c r="H200" s="45" t="s">
        <v>152</v>
      </c>
      <c r="I200" s="45" t="s">
        <v>743</v>
      </c>
      <c r="J200" s="45" t="s">
        <v>151</v>
      </c>
      <c r="K200" s="45" t="s">
        <v>743</v>
      </c>
      <c r="L200" s="45">
        <v>0</v>
      </c>
      <c r="O200" s="45">
        <v>1</v>
      </c>
      <c r="P200" s="45" t="s">
        <v>151</v>
      </c>
      <c r="Q200" s="1" t="s">
        <v>1568</v>
      </c>
      <c r="R200" s="1"/>
      <c r="W200" s="1"/>
      <c r="X200" s="1"/>
      <c r="Y200" s="1"/>
      <c r="Z200" s="45">
        <v>-1</v>
      </c>
      <c r="AA200" s="13" t="b">
        <v>0</v>
      </c>
      <c r="AB200" s="1"/>
      <c r="AC200" s="57"/>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68" customFormat="1" x14ac:dyDescent="0.25">
      <c r="A201" s="68" t="s">
        <v>744</v>
      </c>
      <c r="B201" s="70" t="s">
        <v>745</v>
      </c>
      <c r="C201" s="13" t="s">
        <v>1649</v>
      </c>
      <c r="D201" s="68">
        <v>1</v>
      </c>
      <c r="E201" s="68" t="s">
        <v>746</v>
      </c>
      <c r="H201" s="68" t="s">
        <v>747</v>
      </c>
      <c r="I201" s="68" t="s">
        <v>748</v>
      </c>
      <c r="J201" s="68" t="s">
        <v>747</v>
      </c>
      <c r="K201" s="68" t="s">
        <v>747</v>
      </c>
      <c r="L201" s="68">
        <v>0</v>
      </c>
      <c r="O201" s="68">
        <v>1</v>
      </c>
      <c r="P201" s="68" t="s">
        <v>747</v>
      </c>
      <c r="Q201" s="1"/>
      <c r="R201" s="1" t="s">
        <v>749</v>
      </c>
      <c r="S201" s="68">
        <v>24.9</v>
      </c>
      <c r="U201" s="68">
        <v>22</v>
      </c>
      <c r="W201" s="1">
        <v>22</v>
      </c>
      <c r="X201" s="1">
        <v>23</v>
      </c>
      <c r="Y201" s="1" t="s">
        <v>2203</v>
      </c>
      <c r="Z201" s="68">
        <v>13</v>
      </c>
      <c r="AA201" s="13" t="b">
        <v>1</v>
      </c>
      <c r="AB201" s="1"/>
      <c r="AC201" s="57" t="s">
        <v>1295</v>
      </c>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331" s="3" customFormat="1" x14ac:dyDescent="0.25">
      <c r="A202" s="3" t="s">
        <v>750</v>
      </c>
      <c r="B202" s="5" t="s">
        <v>751</v>
      </c>
      <c r="C202" s="13" t="s">
        <v>1649</v>
      </c>
      <c r="D202" s="3">
        <v>0</v>
      </c>
      <c r="H202" s="3" t="s">
        <v>752</v>
      </c>
      <c r="I202" s="3" t="s">
        <v>753</v>
      </c>
      <c r="J202" s="3" t="s">
        <v>754</v>
      </c>
      <c r="K202" s="3" t="s">
        <v>753</v>
      </c>
      <c r="L202" s="3">
        <v>1</v>
      </c>
      <c r="M202" s="3" t="s">
        <v>755</v>
      </c>
      <c r="O202" s="3">
        <v>1</v>
      </c>
      <c r="P202" s="3" t="s">
        <v>756</v>
      </c>
      <c r="Q202" s="1" t="s">
        <v>1569</v>
      </c>
      <c r="R202" s="1"/>
      <c r="S202" s="3">
        <v>13</v>
      </c>
      <c r="W202" s="1">
        <v>13</v>
      </c>
      <c r="X202" s="1">
        <v>16</v>
      </c>
      <c r="Y202" s="1" t="s">
        <v>2204</v>
      </c>
      <c r="Z202" s="3">
        <v>1</v>
      </c>
      <c r="AA202" s="13" t="b">
        <v>1</v>
      </c>
      <c r="AB202" s="1"/>
      <c r="AC202" s="57" t="s">
        <v>1370</v>
      </c>
      <c r="AD202" s="1"/>
      <c r="AE202" t="s">
        <v>1865</v>
      </c>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row>
    <row r="203" spans="1:331" s="35" customFormat="1" x14ac:dyDescent="0.25">
      <c r="A203" s="35" t="s">
        <v>757</v>
      </c>
      <c r="B203" s="39" t="s">
        <v>758</v>
      </c>
      <c r="C203" s="13" t="s">
        <v>1649</v>
      </c>
      <c r="D203" s="35">
        <v>0</v>
      </c>
      <c r="H203" s="35" t="s">
        <v>759</v>
      </c>
      <c r="I203" s="35" t="s">
        <v>760</v>
      </c>
      <c r="J203" s="35" t="s">
        <v>761</v>
      </c>
      <c r="K203" s="35" t="s">
        <v>1695</v>
      </c>
      <c r="L203" s="35">
        <v>0</v>
      </c>
      <c r="O203" s="35">
        <v>1</v>
      </c>
      <c r="P203" s="35" t="s">
        <v>762</v>
      </c>
      <c r="Q203" s="1" t="s">
        <v>1570</v>
      </c>
      <c r="R203" s="1"/>
      <c r="S203" s="35">
        <v>16</v>
      </c>
      <c r="U203" s="35">
        <v>15</v>
      </c>
      <c r="W203" s="1">
        <v>15</v>
      </c>
      <c r="X203" s="1">
        <v>14</v>
      </c>
      <c r="Y203" s="1" t="s">
        <v>2205</v>
      </c>
      <c r="Z203" s="35">
        <v>7</v>
      </c>
      <c r="AA203" s="13" t="b">
        <v>1</v>
      </c>
      <c r="AB203" s="1"/>
      <c r="AC203" s="57" t="s">
        <v>1296</v>
      </c>
      <c r="AD203" s="1"/>
      <c r="AE203" s="57"/>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49" customFormat="1" x14ac:dyDescent="0.25">
      <c r="A204" s="49" t="s">
        <v>763</v>
      </c>
      <c r="B204" s="51" t="s">
        <v>764</v>
      </c>
      <c r="C204" s="13" t="s">
        <v>1649</v>
      </c>
      <c r="D204" s="49">
        <v>0</v>
      </c>
      <c r="H204" s="49" t="s">
        <v>765</v>
      </c>
      <c r="I204" s="49" t="s">
        <v>766</v>
      </c>
      <c r="J204" s="49" t="s">
        <v>767</v>
      </c>
      <c r="K204" s="49" t="s">
        <v>99</v>
      </c>
      <c r="L204" s="49">
        <v>0</v>
      </c>
      <c r="O204" s="49">
        <v>1</v>
      </c>
      <c r="Q204" s="1"/>
      <c r="R204" s="1" t="s">
        <v>90</v>
      </c>
      <c r="S204" s="49">
        <v>7</v>
      </c>
      <c r="W204" s="1">
        <v>7</v>
      </c>
      <c r="X204" s="1">
        <v>10</v>
      </c>
      <c r="Y204" s="1" t="s">
        <v>2206</v>
      </c>
      <c r="Z204" s="49">
        <v>9</v>
      </c>
      <c r="AA204" s="13" t="b">
        <v>1</v>
      </c>
      <c r="AB204" s="1"/>
      <c r="AC204" s="57" t="s">
        <v>1297</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0" customFormat="1" x14ac:dyDescent="0.25">
      <c r="A205" s="40" t="s">
        <v>768</v>
      </c>
      <c r="B205" s="44" t="s">
        <v>769</v>
      </c>
      <c r="C205" s="13" t="s">
        <v>1649</v>
      </c>
      <c r="D205" s="40">
        <v>0</v>
      </c>
      <c r="H205" s="40" t="s">
        <v>770</v>
      </c>
      <c r="I205" s="40" t="s">
        <v>770</v>
      </c>
      <c r="J205" s="40" t="s">
        <v>771</v>
      </c>
      <c r="K205" s="40" t="s">
        <v>1696</v>
      </c>
      <c r="L205" s="40">
        <v>0</v>
      </c>
      <c r="O205" s="40">
        <v>1</v>
      </c>
      <c r="P205" s="40" t="s">
        <v>772</v>
      </c>
      <c r="Q205" s="1" t="s">
        <v>346</v>
      </c>
      <c r="R205" s="1"/>
      <c r="S205" s="40">
        <v>4.3</v>
      </c>
      <c r="T205" s="40">
        <v>20.9</v>
      </c>
      <c r="U205" s="40">
        <v>8</v>
      </c>
      <c r="W205" s="1">
        <v>21</v>
      </c>
      <c r="X205" s="1">
        <v>12</v>
      </c>
      <c r="Y205" s="1" t="s">
        <v>2207</v>
      </c>
      <c r="Z205" s="40">
        <v>8</v>
      </c>
      <c r="AA205" s="13" t="b">
        <v>1</v>
      </c>
      <c r="AB205" s="1"/>
      <c r="AC205" s="57" t="s">
        <v>1915</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x14ac:dyDescent="0.25">
      <c r="A206" s="1" t="s">
        <v>773</v>
      </c>
      <c r="B206" s="13" t="s">
        <v>774</v>
      </c>
      <c r="C206" s="13" t="s">
        <v>1649</v>
      </c>
      <c r="D206" s="1">
        <v>0</v>
      </c>
      <c r="H206" s="1" t="s">
        <v>775</v>
      </c>
      <c r="I206" s="1" t="s">
        <v>246</v>
      </c>
      <c r="J206" s="1" t="s">
        <v>776</v>
      </c>
      <c r="K206" s="1" t="s">
        <v>347</v>
      </c>
      <c r="L206" s="1">
        <v>0</v>
      </c>
      <c r="O206" s="1">
        <v>1</v>
      </c>
      <c r="R206" s="1" t="s">
        <v>777</v>
      </c>
      <c r="AA206" s="13" t="b">
        <v>0</v>
      </c>
      <c r="AC206" s="57" t="s">
        <v>1632</v>
      </c>
    </row>
    <row r="207" spans="1:331" s="35" customFormat="1" x14ac:dyDescent="0.25">
      <c r="A207" s="35" t="s">
        <v>778</v>
      </c>
      <c r="B207" s="39" t="s">
        <v>779</v>
      </c>
      <c r="C207" s="13" t="s">
        <v>1649</v>
      </c>
      <c r="D207" s="35">
        <v>1</v>
      </c>
      <c r="E207" s="35" t="s">
        <v>772</v>
      </c>
      <c r="H207" s="35" t="s">
        <v>780</v>
      </c>
      <c r="I207" s="35" t="s">
        <v>772</v>
      </c>
      <c r="J207" s="35" t="s">
        <v>118</v>
      </c>
      <c r="K207" s="35" t="s">
        <v>526</v>
      </c>
      <c r="L207" s="35">
        <v>0</v>
      </c>
      <c r="O207" s="35">
        <v>1</v>
      </c>
      <c r="P207" s="35" t="s">
        <v>247</v>
      </c>
      <c r="Q207" s="1" t="s">
        <v>1506</v>
      </c>
      <c r="R207" s="1"/>
      <c r="S207" s="35">
        <v>16</v>
      </c>
      <c r="U207" s="35">
        <v>16</v>
      </c>
      <c r="W207" s="1">
        <v>16</v>
      </c>
      <c r="X207" s="1">
        <v>22</v>
      </c>
      <c r="Y207" s="1" t="s">
        <v>2208</v>
      </c>
      <c r="Z207" s="35">
        <v>7</v>
      </c>
      <c r="AA207" s="13" t="b">
        <v>1</v>
      </c>
      <c r="AB207" s="1"/>
      <c r="AC207" s="57" t="s">
        <v>1464</v>
      </c>
      <c r="AD207" s="1"/>
      <c r="AE207" s="57"/>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row>
    <row r="208" spans="1:331" s="25" customFormat="1" x14ac:dyDescent="0.25">
      <c r="A208" s="25" t="s">
        <v>781</v>
      </c>
      <c r="B208" s="29" t="s">
        <v>782</v>
      </c>
      <c r="C208" s="13" t="s">
        <v>1649</v>
      </c>
      <c r="D208" s="25">
        <v>0</v>
      </c>
      <c r="H208" s="25" t="s">
        <v>783</v>
      </c>
      <c r="I208" s="25" t="s">
        <v>784</v>
      </c>
      <c r="J208" s="25" t="s">
        <v>783</v>
      </c>
      <c r="K208" s="25" t="s">
        <v>1697</v>
      </c>
      <c r="L208" s="25">
        <v>0</v>
      </c>
      <c r="O208" s="25">
        <v>0</v>
      </c>
      <c r="Q208" s="13" t="s">
        <v>1941</v>
      </c>
      <c r="R208" s="1"/>
      <c r="S208" s="25">
        <v>15</v>
      </c>
      <c r="U208" s="25">
        <v>9</v>
      </c>
      <c r="W208" s="1">
        <v>15</v>
      </c>
      <c r="X208" s="1">
        <v>28</v>
      </c>
      <c r="Y208" s="1" t="s">
        <v>2209</v>
      </c>
      <c r="Z208" s="25">
        <v>5</v>
      </c>
      <c r="AA208" s="13" t="b">
        <v>1</v>
      </c>
      <c r="AB208" s="1" t="s">
        <v>1892</v>
      </c>
      <c r="AC208" s="57" t="s">
        <v>1940</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64" customFormat="1" x14ac:dyDescent="0.25">
      <c r="A209" s="64" t="s">
        <v>785</v>
      </c>
      <c r="B209" s="66" t="s">
        <v>786</v>
      </c>
      <c r="C209" s="13" t="s">
        <v>1649</v>
      </c>
      <c r="D209" s="64">
        <v>1</v>
      </c>
      <c r="E209" s="64" t="s">
        <v>109</v>
      </c>
      <c r="H209" s="64" t="s">
        <v>787</v>
      </c>
      <c r="I209" s="64" t="s">
        <v>788</v>
      </c>
      <c r="J209" s="64" t="s">
        <v>579</v>
      </c>
      <c r="K209" s="64" t="s">
        <v>1698</v>
      </c>
      <c r="L209" s="64">
        <v>0</v>
      </c>
      <c r="O209" s="64">
        <v>0</v>
      </c>
      <c r="Q209" s="1"/>
      <c r="R209" s="1" t="s">
        <v>789</v>
      </c>
      <c r="S209" s="64">
        <v>9</v>
      </c>
      <c r="U209" s="64">
        <v>6</v>
      </c>
      <c r="W209" s="1">
        <v>9</v>
      </c>
      <c r="X209" s="1">
        <v>13</v>
      </c>
      <c r="Y209" s="1" t="s">
        <v>2210</v>
      </c>
      <c r="Z209" s="64">
        <v>12</v>
      </c>
      <c r="AA209" s="13" t="b">
        <v>1</v>
      </c>
      <c r="AB209" s="1"/>
      <c r="AC209" s="57" t="s">
        <v>1465</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row>
    <row r="210" spans="1:331" s="25" customFormat="1" x14ac:dyDescent="0.25">
      <c r="A210" s="25" t="s">
        <v>790</v>
      </c>
      <c r="B210" s="29" t="s">
        <v>791</v>
      </c>
      <c r="C210" s="13" t="s">
        <v>1649</v>
      </c>
      <c r="D210" s="25">
        <v>0</v>
      </c>
      <c r="H210" s="25" t="s">
        <v>792</v>
      </c>
      <c r="I210" s="25" t="s">
        <v>793</v>
      </c>
      <c r="J210" s="25" t="s">
        <v>794</v>
      </c>
      <c r="K210" s="25" t="s">
        <v>260</v>
      </c>
      <c r="L210" s="25">
        <v>0</v>
      </c>
      <c r="O210" s="25">
        <v>1</v>
      </c>
      <c r="Q210" s="1" t="s">
        <v>1571</v>
      </c>
      <c r="R210" s="1"/>
      <c r="S210" s="25">
        <v>6</v>
      </c>
      <c r="U210" s="25">
        <v>6</v>
      </c>
      <c r="W210" s="1">
        <v>6</v>
      </c>
      <c r="X210" s="1">
        <v>8</v>
      </c>
      <c r="Y210" s="1" t="s">
        <v>2211</v>
      </c>
      <c r="Z210" s="25">
        <v>5</v>
      </c>
      <c r="AA210" s="13" t="b">
        <v>1</v>
      </c>
      <c r="AB210" s="1"/>
      <c r="AC210" s="57" t="s">
        <v>1466</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row>
    <row r="211" spans="1:331" s="4" customFormat="1" x14ac:dyDescent="0.25">
      <c r="A211" s="4" t="s">
        <v>795</v>
      </c>
      <c r="B211" s="7" t="s">
        <v>796</v>
      </c>
      <c r="C211" s="13" t="s">
        <v>1649</v>
      </c>
      <c r="D211" s="4">
        <v>0</v>
      </c>
      <c r="H211" s="4" t="s">
        <v>797</v>
      </c>
      <c r="I211" s="4" t="s">
        <v>797</v>
      </c>
      <c r="J211" s="4" t="s">
        <v>90</v>
      </c>
      <c r="K211" s="4" t="s">
        <v>90</v>
      </c>
      <c r="L211" s="4">
        <v>1</v>
      </c>
      <c r="M211" s="4" t="s">
        <v>798</v>
      </c>
      <c r="O211" s="4">
        <v>1</v>
      </c>
      <c r="P211" s="4" t="s">
        <v>799</v>
      </c>
      <c r="Q211" s="1"/>
      <c r="R211" s="1" t="s">
        <v>798</v>
      </c>
      <c r="S211" s="4">
        <v>11</v>
      </c>
      <c r="U211" s="4">
        <v>8</v>
      </c>
      <c r="W211" s="1">
        <v>11</v>
      </c>
      <c r="X211" s="1">
        <v>14</v>
      </c>
      <c r="Y211" s="1" t="s">
        <v>2212</v>
      </c>
      <c r="Z211" s="4">
        <v>4</v>
      </c>
      <c r="AA211" s="13" t="b">
        <v>1</v>
      </c>
      <c r="AB211" s="1" t="s">
        <v>1893</v>
      </c>
      <c r="AC211" s="57" t="s">
        <v>1463</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x14ac:dyDescent="0.25">
      <c r="A212" s="1" t="s">
        <v>1727</v>
      </c>
      <c r="B212" s="1"/>
      <c r="C212" s="1" t="s">
        <v>1649</v>
      </c>
      <c r="D212" s="1">
        <v>0</v>
      </c>
      <c r="H212" s="1" t="s">
        <v>665</v>
      </c>
      <c r="I212" s="1" t="s">
        <v>1737</v>
      </c>
      <c r="K212" s="1" t="s">
        <v>668</v>
      </c>
      <c r="L212" s="1">
        <v>1</v>
      </c>
      <c r="M212" s="1" t="s">
        <v>1656</v>
      </c>
      <c r="O212" s="1">
        <v>0</v>
      </c>
      <c r="Q212" s="1" t="s">
        <v>222</v>
      </c>
      <c r="T212" s="1">
        <v>7</v>
      </c>
      <c r="AA212" s="13" t="b">
        <v>0</v>
      </c>
    </row>
    <row r="213" spans="1:331" x14ac:dyDescent="0.25">
      <c r="A213" s="1" t="s">
        <v>1733</v>
      </c>
      <c r="B213" s="1"/>
      <c r="C213" s="1" t="s">
        <v>1649</v>
      </c>
      <c r="D213" s="1">
        <v>0</v>
      </c>
      <c r="H213" s="1" t="s">
        <v>1192</v>
      </c>
      <c r="I213" s="1" t="s">
        <v>1192</v>
      </c>
      <c r="K213" s="1" t="s">
        <v>1191</v>
      </c>
      <c r="L213" s="1">
        <v>0</v>
      </c>
      <c r="O213" s="1">
        <v>0</v>
      </c>
      <c r="Q213" s="1" t="s">
        <v>46</v>
      </c>
      <c r="S213" s="1">
        <v>15</v>
      </c>
      <c r="AA213" s="13" t="b">
        <v>0</v>
      </c>
    </row>
    <row r="214" spans="1:331" x14ac:dyDescent="0.25">
      <c r="A214" s="1" t="s">
        <v>1732</v>
      </c>
      <c r="B214" s="1"/>
      <c r="C214" s="1" t="s">
        <v>1649</v>
      </c>
      <c r="D214" s="1">
        <v>0</v>
      </c>
      <c r="H214" s="1" t="s">
        <v>1738</v>
      </c>
      <c r="I214" s="1" t="s">
        <v>1739</v>
      </c>
      <c r="K214" s="1" t="s">
        <v>221</v>
      </c>
      <c r="L214" s="1">
        <v>0</v>
      </c>
      <c r="O214" s="1">
        <v>0</v>
      </c>
      <c r="Q214" s="1" t="s">
        <v>1243</v>
      </c>
      <c r="AA214" s="13" t="b">
        <v>0</v>
      </c>
    </row>
    <row r="215" spans="1:331" x14ac:dyDescent="0.25">
      <c r="A215" s="1" t="s">
        <v>1731</v>
      </c>
      <c r="B215" s="1"/>
      <c r="C215" s="1" t="s">
        <v>1649</v>
      </c>
      <c r="D215" s="1">
        <v>0</v>
      </c>
      <c r="H215" s="1" t="s">
        <v>1740</v>
      </c>
      <c r="I215" s="1" t="s">
        <v>1740</v>
      </c>
      <c r="K215" s="1" t="s">
        <v>1740</v>
      </c>
      <c r="L215" s="1">
        <v>0</v>
      </c>
      <c r="O215" s="1">
        <v>1</v>
      </c>
      <c r="P215" s="1" t="s">
        <v>49</v>
      </c>
      <c r="Q215" s="1" t="s">
        <v>1673</v>
      </c>
      <c r="S215" s="1">
        <v>7</v>
      </c>
      <c r="AA215" s="13" t="b">
        <v>0</v>
      </c>
    </row>
    <row r="216" spans="1:331" x14ac:dyDescent="0.25">
      <c r="A216" s="1" t="s">
        <v>1730</v>
      </c>
      <c r="B216" s="1"/>
      <c r="C216" s="1" t="s">
        <v>1649</v>
      </c>
      <c r="D216" s="1">
        <v>0</v>
      </c>
      <c r="H216" s="1" t="s">
        <v>140</v>
      </c>
      <c r="I216" s="1" t="s">
        <v>455</v>
      </c>
      <c r="K216" s="1" t="s">
        <v>1741</v>
      </c>
      <c r="L216" s="1">
        <v>2</v>
      </c>
      <c r="M216" s="1" t="s">
        <v>1619</v>
      </c>
      <c r="N216" s="1" t="s">
        <v>1555</v>
      </c>
      <c r="O216" s="1">
        <v>0</v>
      </c>
      <c r="R216" s="1" t="s">
        <v>1742</v>
      </c>
      <c r="S216" s="1">
        <v>21</v>
      </c>
      <c r="T216" s="1">
        <v>7</v>
      </c>
      <c r="AA216" s="13" t="b">
        <v>0</v>
      </c>
    </row>
    <row r="217" spans="1:331" x14ac:dyDescent="0.25">
      <c r="A217" s="1" t="s">
        <v>1729</v>
      </c>
      <c r="B217" s="1"/>
      <c r="C217" s="1" t="s">
        <v>1649</v>
      </c>
      <c r="D217" s="1">
        <v>0</v>
      </c>
      <c r="H217" s="1" t="s">
        <v>1743</v>
      </c>
      <c r="I217" s="1" t="s">
        <v>1744</v>
      </c>
      <c r="K217" s="1" t="s">
        <v>1745</v>
      </c>
      <c r="L217" s="1">
        <v>1</v>
      </c>
      <c r="M217" s="1" t="s">
        <v>1746</v>
      </c>
      <c r="O217" s="1">
        <v>1</v>
      </c>
      <c r="P217" s="1" t="s">
        <v>1747</v>
      </c>
      <c r="Q217" s="1" t="s">
        <v>1193</v>
      </c>
      <c r="S217" s="1">
        <v>6</v>
      </c>
      <c r="AA217" s="13" t="b">
        <v>0</v>
      </c>
    </row>
    <row r="218" spans="1:331" x14ac:dyDescent="0.25">
      <c r="A218" s="1" t="s">
        <v>1728</v>
      </c>
      <c r="B218" s="1"/>
      <c r="C218" s="1" t="s">
        <v>1649</v>
      </c>
      <c r="I218" s="1" t="s">
        <v>711</v>
      </c>
      <c r="AA218" s="13" t="b">
        <v>0</v>
      </c>
    </row>
    <row r="219" spans="1:331" s="35" customFormat="1" x14ac:dyDescent="0.25">
      <c r="A219" s="35" t="s">
        <v>800</v>
      </c>
      <c r="B219" s="39" t="s">
        <v>801</v>
      </c>
      <c r="C219" s="13" t="s">
        <v>1650</v>
      </c>
      <c r="D219" s="35">
        <v>3</v>
      </c>
      <c r="E219" s="35" t="s">
        <v>802</v>
      </c>
      <c r="F219" s="35" t="s">
        <v>803</v>
      </c>
      <c r="G219" s="35" t="s">
        <v>803</v>
      </c>
      <c r="H219" s="35" t="s">
        <v>802</v>
      </c>
      <c r="I219" s="35" t="s">
        <v>802</v>
      </c>
      <c r="J219" s="35" t="s">
        <v>803</v>
      </c>
      <c r="K219" s="35" t="s">
        <v>803</v>
      </c>
      <c r="L219" s="35">
        <v>0</v>
      </c>
      <c r="O219" s="35">
        <v>1</v>
      </c>
      <c r="P219" s="35" t="s">
        <v>804</v>
      </c>
      <c r="Q219" s="1" t="s">
        <v>1572</v>
      </c>
      <c r="R219" s="1"/>
      <c r="S219" s="35">
        <v>28</v>
      </c>
      <c r="U219" s="35">
        <v>29</v>
      </c>
      <c r="W219" s="1">
        <v>28</v>
      </c>
      <c r="X219" s="1">
        <v>19</v>
      </c>
      <c r="Y219" s="1" t="s">
        <v>2213</v>
      </c>
      <c r="Z219" s="35">
        <v>7</v>
      </c>
      <c r="AA219" s="13" t="b">
        <v>1</v>
      </c>
      <c r="AB219" s="1"/>
      <c r="AC219" s="57" t="s">
        <v>1719</v>
      </c>
      <c r="AD219" s="1"/>
      <c r="AE219" s="57"/>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row>
    <row r="220" spans="1:331" s="25" customFormat="1" x14ac:dyDescent="0.25">
      <c r="A220" s="25" t="s">
        <v>805</v>
      </c>
      <c r="B220" s="29" t="s">
        <v>806</v>
      </c>
      <c r="C220" s="13" t="s">
        <v>1650</v>
      </c>
      <c r="D220" s="25">
        <v>0</v>
      </c>
      <c r="H220" s="25" t="s">
        <v>807</v>
      </c>
      <c r="I220" s="25" t="s">
        <v>807</v>
      </c>
      <c r="J220" s="25" t="s">
        <v>807</v>
      </c>
      <c r="K220" s="25" t="s">
        <v>1699</v>
      </c>
      <c r="L220" s="25">
        <v>0</v>
      </c>
      <c r="O220" s="25">
        <v>1</v>
      </c>
      <c r="Q220" s="1" t="s">
        <v>813</v>
      </c>
      <c r="R220" s="1"/>
      <c r="T220" s="25">
        <v>6.6</v>
      </c>
      <c r="V220" s="25">
        <v>9</v>
      </c>
      <c r="W220" s="1">
        <v>7</v>
      </c>
      <c r="X220" s="1">
        <v>12</v>
      </c>
      <c r="Y220" s="1" t="s">
        <v>2214</v>
      </c>
      <c r="Z220" s="25">
        <v>5</v>
      </c>
      <c r="AA220" s="13" t="b">
        <v>1</v>
      </c>
      <c r="AB220" s="1" t="s">
        <v>1893</v>
      </c>
      <c r="AC220" s="57" t="s">
        <v>1339</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49" customFormat="1" x14ac:dyDescent="0.25">
      <c r="A221" s="49" t="s">
        <v>808</v>
      </c>
      <c r="B221" s="51" t="s">
        <v>809</v>
      </c>
      <c r="C221" s="13" t="s">
        <v>1650</v>
      </c>
      <c r="D221" s="49">
        <v>0</v>
      </c>
      <c r="H221" s="49" t="s">
        <v>810</v>
      </c>
      <c r="I221" s="49" t="s">
        <v>811</v>
      </c>
      <c r="J221" s="49" t="s">
        <v>812</v>
      </c>
      <c r="K221" s="49" t="s">
        <v>811</v>
      </c>
      <c r="L221" s="49">
        <v>0</v>
      </c>
      <c r="O221" s="49">
        <v>1</v>
      </c>
      <c r="Q221" s="1"/>
      <c r="R221" s="1" t="s">
        <v>813</v>
      </c>
      <c r="T221" s="49">
        <v>20</v>
      </c>
      <c r="V221" s="49">
        <v>22</v>
      </c>
      <c r="W221" s="1">
        <v>20</v>
      </c>
      <c r="X221" s="1">
        <v>21</v>
      </c>
      <c r="Y221" s="1" t="s">
        <v>2215</v>
      </c>
      <c r="Z221" s="49">
        <v>9</v>
      </c>
      <c r="AA221" s="13" t="b">
        <v>1</v>
      </c>
      <c r="AB221" s="1"/>
      <c r="AC221" s="57" t="s">
        <v>1423</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64" customFormat="1" x14ac:dyDescent="0.25">
      <c r="A222" s="64" t="s">
        <v>814</v>
      </c>
      <c r="B222" s="66" t="s">
        <v>815</v>
      </c>
      <c r="C222" s="13" t="s">
        <v>1650</v>
      </c>
      <c r="D222" s="64">
        <v>1</v>
      </c>
      <c r="E222" s="64" t="s">
        <v>816</v>
      </c>
      <c r="H222" s="64" t="s">
        <v>817</v>
      </c>
      <c r="I222" s="64" t="s">
        <v>818</v>
      </c>
      <c r="J222" s="67">
        <v>43749</v>
      </c>
      <c r="K222" s="67" t="s">
        <v>1700</v>
      </c>
      <c r="L222" s="64">
        <v>0</v>
      </c>
      <c r="O222" s="64">
        <v>1</v>
      </c>
      <c r="Q222" s="1"/>
      <c r="R222" s="1" t="s">
        <v>819</v>
      </c>
      <c r="T222" s="64">
        <v>22</v>
      </c>
      <c r="V222" s="64">
        <v>24</v>
      </c>
      <c r="W222" s="1">
        <v>22</v>
      </c>
      <c r="X222" s="1">
        <v>22</v>
      </c>
      <c r="Y222" s="1" t="s">
        <v>2216</v>
      </c>
      <c r="Z222" s="64">
        <v>12</v>
      </c>
      <c r="AA222" s="13" t="b">
        <v>1</v>
      </c>
      <c r="AB222" s="1"/>
      <c r="AC222" s="57" t="s">
        <v>1428</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row>
    <row r="223" spans="1:331" s="17" customFormat="1" x14ac:dyDescent="0.25">
      <c r="A223" s="17" t="s">
        <v>820</v>
      </c>
      <c r="B223" s="21" t="s">
        <v>821</v>
      </c>
      <c r="C223" s="13" t="s">
        <v>1650</v>
      </c>
      <c r="D223" s="17">
        <v>1</v>
      </c>
      <c r="E223" s="17" t="s">
        <v>822</v>
      </c>
      <c r="J223" s="17" t="s">
        <v>823</v>
      </c>
      <c r="K223" s="17" t="s">
        <v>822</v>
      </c>
      <c r="L223" s="17">
        <v>1</v>
      </c>
      <c r="M223" s="17" t="s">
        <v>824</v>
      </c>
      <c r="O223" s="17">
        <v>1</v>
      </c>
      <c r="P223" s="17" t="s">
        <v>825</v>
      </c>
      <c r="Q223" s="1" t="s">
        <v>1573</v>
      </c>
      <c r="R223" s="1"/>
      <c r="S223" s="17">
        <v>13</v>
      </c>
      <c r="U223" s="17">
        <v>13</v>
      </c>
      <c r="W223" s="1">
        <v>13</v>
      </c>
      <c r="X223" s="1">
        <v>17</v>
      </c>
      <c r="Y223" s="1" t="s">
        <v>2217</v>
      </c>
      <c r="Z223" s="17">
        <v>3</v>
      </c>
      <c r="AA223" s="13" t="b">
        <v>1</v>
      </c>
      <c r="AB223" s="1"/>
      <c r="AC223" s="57" t="s">
        <v>1379</v>
      </c>
      <c r="AD223" s="1"/>
      <c r="AE223" t="s">
        <v>1866</v>
      </c>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row>
    <row r="224" spans="1:331" s="35" customFormat="1" x14ac:dyDescent="0.25">
      <c r="A224" s="35" t="s">
        <v>826</v>
      </c>
      <c r="B224" s="39" t="s">
        <v>827</v>
      </c>
      <c r="C224" s="13" t="s">
        <v>1650</v>
      </c>
      <c r="D224" s="35">
        <v>1</v>
      </c>
      <c r="E224" s="35" t="s">
        <v>828</v>
      </c>
      <c r="H224" s="35" t="s">
        <v>829</v>
      </c>
      <c r="I224" s="35" t="s">
        <v>828</v>
      </c>
      <c r="J224" s="35" t="s">
        <v>829</v>
      </c>
      <c r="K224" s="35" t="s">
        <v>828</v>
      </c>
      <c r="L224" s="35">
        <v>0</v>
      </c>
      <c r="O224" s="35">
        <v>1</v>
      </c>
      <c r="P224" s="35" t="s">
        <v>830</v>
      </c>
      <c r="Q224" s="1" t="s">
        <v>1574</v>
      </c>
      <c r="R224" s="1"/>
      <c r="S224" s="35">
        <v>20</v>
      </c>
      <c r="V224" s="35">
        <v>20</v>
      </c>
      <c r="W224" s="1">
        <v>20</v>
      </c>
      <c r="X224" s="1">
        <v>18</v>
      </c>
      <c r="Y224" s="1" t="s">
        <v>2218</v>
      </c>
      <c r="Z224" s="35">
        <v>7</v>
      </c>
      <c r="AA224" s="13" t="b">
        <v>1</v>
      </c>
      <c r="AB224" s="1"/>
      <c r="AC224" s="57" t="s">
        <v>1372</v>
      </c>
      <c r="AD224" s="1"/>
      <c r="AE224" s="57"/>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 customFormat="1" x14ac:dyDescent="0.25">
      <c r="A225" s="3" t="s">
        <v>831</v>
      </c>
      <c r="B225" s="5" t="s">
        <v>832</v>
      </c>
      <c r="C225" s="13" t="s">
        <v>1650</v>
      </c>
      <c r="D225" s="3">
        <v>0</v>
      </c>
      <c r="H225" s="3" t="s">
        <v>833</v>
      </c>
      <c r="I225" s="3" t="s">
        <v>834</v>
      </c>
      <c r="J225" s="3" t="s">
        <v>829</v>
      </c>
      <c r="K225" s="3" t="s">
        <v>833</v>
      </c>
      <c r="L225" s="3">
        <v>1</v>
      </c>
      <c r="M225" s="3" t="s">
        <v>835</v>
      </c>
      <c r="O225" s="3">
        <v>1</v>
      </c>
      <c r="P225" s="3" t="s">
        <v>836</v>
      </c>
      <c r="Q225" s="1" t="s">
        <v>1575</v>
      </c>
      <c r="R225" s="1"/>
      <c r="S225" s="3">
        <v>17</v>
      </c>
      <c r="U225" s="3">
        <v>18</v>
      </c>
      <c r="W225" s="1">
        <v>17</v>
      </c>
      <c r="X225" s="1">
        <v>25</v>
      </c>
      <c r="Y225" s="1" t="s">
        <v>2219</v>
      </c>
      <c r="Z225" s="3">
        <v>1</v>
      </c>
      <c r="AA225" s="13" t="b">
        <v>1</v>
      </c>
      <c r="AB225" s="1"/>
      <c r="AC225" s="57" t="s">
        <v>1371</v>
      </c>
      <c r="AD225" s="1"/>
      <c r="AE225" t="s">
        <v>1867</v>
      </c>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25" customFormat="1" x14ac:dyDescent="0.25">
      <c r="A226" s="25" t="s">
        <v>837</v>
      </c>
      <c r="B226" s="29" t="s">
        <v>838</v>
      </c>
      <c r="C226" s="13" t="s">
        <v>1650</v>
      </c>
      <c r="D226" s="25">
        <v>0</v>
      </c>
      <c r="H226" s="25" t="s">
        <v>839</v>
      </c>
      <c r="I226" s="25" t="s">
        <v>840</v>
      </c>
      <c r="J226" s="25" t="s">
        <v>836</v>
      </c>
      <c r="K226" s="25" t="s">
        <v>840</v>
      </c>
      <c r="L226" s="25">
        <v>0</v>
      </c>
      <c r="O226" s="25">
        <v>0</v>
      </c>
      <c r="Q226" s="1" t="s">
        <v>1576</v>
      </c>
      <c r="R226" s="1"/>
      <c r="T226" s="25">
        <v>4</v>
      </c>
      <c r="V226" s="25">
        <v>5</v>
      </c>
      <c r="W226" s="1">
        <v>4</v>
      </c>
      <c r="X226" s="1">
        <v>7</v>
      </c>
      <c r="Y226" s="1" t="s">
        <v>2220</v>
      </c>
      <c r="Z226" s="25">
        <v>5</v>
      </c>
      <c r="AA226" s="13" t="b">
        <v>1</v>
      </c>
      <c r="AB226" s="1"/>
      <c r="AC226" s="57" t="s">
        <v>1298</v>
      </c>
      <c r="AD226" s="1"/>
      <c r="AE226" s="57"/>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40" customFormat="1" x14ac:dyDescent="0.25">
      <c r="A227" s="40" t="s">
        <v>841</v>
      </c>
      <c r="B227" s="44" t="s">
        <v>842</v>
      </c>
      <c r="C227" s="13" t="s">
        <v>1650</v>
      </c>
      <c r="D227" s="40">
        <v>0</v>
      </c>
      <c r="H227" s="40" t="s">
        <v>843</v>
      </c>
      <c r="I227" s="40" t="s">
        <v>593</v>
      </c>
      <c r="J227" s="40" t="s">
        <v>843</v>
      </c>
      <c r="K227" s="40" t="s">
        <v>1701</v>
      </c>
      <c r="L227" s="40">
        <v>0</v>
      </c>
      <c r="O227" s="40">
        <v>1</v>
      </c>
      <c r="P227" s="40" t="s">
        <v>844</v>
      </c>
      <c r="Q227" s="1" t="s">
        <v>1577</v>
      </c>
      <c r="R227" s="1"/>
      <c r="T227" s="40">
        <v>22</v>
      </c>
      <c r="V227" s="40">
        <v>20</v>
      </c>
      <c r="W227" s="1">
        <v>22</v>
      </c>
      <c r="X227" s="1">
        <v>22</v>
      </c>
      <c r="Y227" s="1" t="s">
        <v>2221</v>
      </c>
      <c r="Z227" s="40">
        <v>8</v>
      </c>
      <c r="AA227" s="13" t="b">
        <v>1</v>
      </c>
      <c r="AB227" s="1"/>
      <c r="AC227" s="57" t="s">
        <v>1429</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845</v>
      </c>
      <c r="B228" s="44" t="s">
        <v>846</v>
      </c>
      <c r="C228" s="13" t="s">
        <v>1650</v>
      </c>
      <c r="D228" s="40">
        <v>0</v>
      </c>
      <c r="H228" s="40" t="s">
        <v>847</v>
      </c>
      <c r="I228" s="44" t="s">
        <v>848</v>
      </c>
      <c r="J228" s="40" t="s">
        <v>847</v>
      </c>
      <c r="K228" s="40" t="s">
        <v>847</v>
      </c>
      <c r="L228" s="40">
        <v>0</v>
      </c>
      <c r="O228" s="40">
        <v>1</v>
      </c>
      <c r="P228" s="40" t="s">
        <v>849</v>
      </c>
      <c r="Q228" s="13" t="s">
        <v>1544</v>
      </c>
      <c r="R228" s="1"/>
      <c r="T228" s="40">
        <v>9</v>
      </c>
      <c r="V228" s="40">
        <v>10</v>
      </c>
      <c r="W228" s="1">
        <v>9</v>
      </c>
      <c r="X228" s="1">
        <v>19</v>
      </c>
      <c r="Y228" s="1" t="s">
        <v>2222</v>
      </c>
      <c r="Z228" s="40">
        <v>8</v>
      </c>
      <c r="AA228" s="13" t="b">
        <v>1</v>
      </c>
      <c r="AB228" s="1"/>
      <c r="AC228" s="57" t="s">
        <v>1994</v>
      </c>
      <c r="AD228" s="1"/>
      <c r="AE228" t="s">
        <v>1868</v>
      </c>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25" customFormat="1" x14ac:dyDescent="0.25">
      <c r="A229" s="25" t="s">
        <v>850</v>
      </c>
      <c r="B229" s="29" t="s">
        <v>851</v>
      </c>
      <c r="C229" s="13" t="s">
        <v>1650</v>
      </c>
      <c r="D229" s="25">
        <v>0</v>
      </c>
      <c r="H229" s="25" t="s">
        <v>852</v>
      </c>
      <c r="I229" s="25" t="s">
        <v>853</v>
      </c>
      <c r="J229" s="25" t="s">
        <v>852</v>
      </c>
      <c r="K229" s="25" t="s">
        <v>853</v>
      </c>
      <c r="L229" s="25">
        <v>0</v>
      </c>
      <c r="O229" s="25">
        <v>0</v>
      </c>
      <c r="Q229" s="1" t="s">
        <v>1134</v>
      </c>
      <c r="R229" s="1"/>
      <c r="S229" s="25">
        <v>12</v>
      </c>
      <c r="U229" s="25">
        <v>9</v>
      </c>
      <c r="W229" s="1">
        <v>12</v>
      </c>
      <c r="X229" s="1">
        <v>10</v>
      </c>
      <c r="Y229" s="1" t="s">
        <v>2223</v>
      </c>
      <c r="Z229" s="25">
        <v>5</v>
      </c>
      <c r="AA229" s="13" t="b">
        <v>1</v>
      </c>
      <c r="AB229" s="1" t="s">
        <v>1898</v>
      </c>
      <c r="AC229" s="57" t="s">
        <v>1299</v>
      </c>
      <c r="AD229" s="1"/>
      <c r="AE229" t="s">
        <v>1869</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854</v>
      </c>
      <c r="B230" s="29" t="s">
        <v>855</v>
      </c>
      <c r="C230" s="13" t="s">
        <v>1650</v>
      </c>
      <c r="D230" s="25">
        <v>0</v>
      </c>
      <c r="H230" s="25" t="s">
        <v>856</v>
      </c>
      <c r="I230" s="25" t="s">
        <v>80</v>
      </c>
      <c r="J230" s="25" t="s">
        <v>856</v>
      </c>
      <c r="K230" s="25" t="s">
        <v>80</v>
      </c>
      <c r="L230" s="25">
        <v>0</v>
      </c>
      <c r="O230" s="25">
        <v>0</v>
      </c>
      <c r="Q230" s="1" t="s">
        <v>1578</v>
      </c>
      <c r="R230" s="1"/>
      <c r="S230" s="25">
        <v>9</v>
      </c>
      <c r="U230" s="25">
        <v>10</v>
      </c>
      <c r="W230" s="1">
        <v>9</v>
      </c>
      <c r="X230" s="1">
        <v>11</v>
      </c>
      <c r="Y230" s="1" t="s">
        <v>2224</v>
      </c>
      <c r="Z230" s="25">
        <v>5</v>
      </c>
      <c r="AA230" s="13" t="b">
        <v>1</v>
      </c>
      <c r="AB230" s="1"/>
      <c r="AC230" s="57" t="s">
        <v>1297</v>
      </c>
      <c r="AD230" s="1"/>
      <c r="AE230" t="s">
        <v>1870</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857</v>
      </c>
      <c r="B231" s="29" t="s">
        <v>858</v>
      </c>
      <c r="C231" s="13" t="s">
        <v>1650</v>
      </c>
      <c r="D231" s="25">
        <v>0</v>
      </c>
      <c r="H231" s="25" t="s">
        <v>859</v>
      </c>
      <c r="I231" s="25" t="s">
        <v>859</v>
      </c>
      <c r="J231" s="25" t="s">
        <v>859</v>
      </c>
      <c r="K231" s="25" t="s">
        <v>859</v>
      </c>
      <c r="L231" s="25">
        <v>0</v>
      </c>
      <c r="O231" s="25">
        <v>0</v>
      </c>
      <c r="Q231" s="1" t="s">
        <v>81</v>
      </c>
      <c r="R231" s="1"/>
      <c r="T231" s="25">
        <v>9</v>
      </c>
      <c r="V231" s="25">
        <v>11</v>
      </c>
      <c r="W231" s="1">
        <v>9</v>
      </c>
      <c r="X231" s="1">
        <v>11</v>
      </c>
      <c r="Y231" s="1" t="s">
        <v>2225</v>
      </c>
      <c r="Z231" s="25">
        <v>5</v>
      </c>
      <c r="AA231" s="13" t="b">
        <v>1</v>
      </c>
      <c r="AB231" s="1"/>
      <c r="AC231" s="57" t="s">
        <v>1340</v>
      </c>
      <c r="AD231" s="1"/>
      <c r="AE231" t="s">
        <v>1871</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30" customFormat="1" x14ac:dyDescent="0.25">
      <c r="A232" s="30" t="s">
        <v>860</v>
      </c>
      <c r="B232" s="34" t="s">
        <v>861</v>
      </c>
      <c r="C232" s="13" t="s">
        <v>1650</v>
      </c>
      <c r="D232" s="30">
        <v>1</v>
      </c>
      <c r="E232" s="30" t="s">
        <v>81</v>
      </c>
      <c r="H232" s="30" t="s">
        <v>862</v>
      </c>
      <c r="I232" s="30" t="s">
        <v>81</v>
      </c>
      <c r="J232" s="30" t="s">
        <v>862</v>
      </c>
      <c r="K232" s="30" t="s">
        <v>1702</v>
      </c>
      <c r="L232" s="30">
        <v>0</v>
      </c>
      <c r="O232" s="30">
        <v>0</v>
      </c>
      <c r="Q232" s="1" t="s">
        <v>1579</v>
      </c>
      <c r="R232" s="1"/>
      <c r="S232" s="30">
        <v>7</v>
      </c>
      <c r="U232" s="30">
        <v>8</v>
      </c>
      <c r="W232" s="1">
        <v>7</v>
      </c>
      <c r="X232" s="1">
        <v>9</v>
      </c>
      <c r="Y232" s="1" t="s">
        <v>2226</v>
      </c>
      <c r="Z232" s="30">
        <v>6</v>
      </c>
      <c r="AA232" s="13" t="b">
        <v>1</v>
      </c>
      <c r="AB232" s="1"/>
      <c r="AC232" s="57" t="s">
        <v>1387</v>
      </c>
      <c r="AD232" s="1"/>
      <c r="AE232" t="s">
        <v>1872</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 customFormat="1" x14ac:dyDescent="0.25">
      <c r="A233" s="3" t="s">
        <v>863</v>
      </c>
      <c r="B233" s="5" t="s">
        <v>864</v>
      </c>
      <c r="C233" s="13" t="s">
        <v>1650</v>
      </c>
      <c r="D233" s="3">
        <v>0</v>
      </c>
      <c r="H233" s="3" t="s">
        <v>839</v>
      </c>
      <c r="I233" s="3" t="s">
        <v>865</v>
      </c>
      <c r="J233" s="78">
        <v>43892</v>
      </c>
      <c r="K233" s="78" t="s">
        <v>840</v>
      </c>
      <c r="L233" s="3">
        <v>1</v>
      </c>
      <c r="M233" s="78">
        <v>43907</v>
      </c>
      <c r="O233" s="3">
        <v>1</v>
      </c>
      <c r="P233" s="3" t="s">
        <v>592</v>
      </c>
      <c r="Q233" s="1" t="s">
        <v>1580</v>
      </c>
      <c r="R233" s="1"/>
      <c r="T233" s="3">
        <v>16</v>
      </c>
      <c r="V233" s="3">
        <v>14</v>
      </c>
      <c r="W233" s="1">
        <v>16</v>
      </c>
      <c r="X233" s="1">
        <v>17</v>
      </c>
      <c r="Y233" s="1" t="s">
        <v>2227</v>
      </c>
      <c r="Z233" s="3">
        <v>1</v>
      </c>
      <c r="AA233" s="13" t="b">
        <v>1</v>
      </c>
      <c r="AB233" s="1"/>
      <c r="AC233" s="57" t="s">
        <v>1627</v>
      </c>
      <c r="AD233" s="1"/>
      <c r="AE233" t="s">
        <v>1873</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17" customFormat="1" x14ac:dyDescent="0.25">
      <c r="A234" s="17" t="s">
        <v>867</v>
      </c>
      <c r="B234" s="21" t="s">
        <v>868</v>
      </c>
      <c r="C234" s="13" t="s">
        <v>1650</v>
      </c>
      <c r="D234" s="17">
        <v>1</v>
      </c>
      <c r="E234" s="17" t="s">
        <v>869</v>
      </c>
      <c r="H234" s="17" t="s">
        <v>869</v>
      </c>
      <c r="I234" s="17" t="s">
        <v>869</v>
      </c>
      <c r="J234" s="17" t="s">
        <v>869</v>
      </c>
      <c r="K234" s="17" t="s">
        <v>869</v>
      </c>
      <c r="L234" s="17">
        <v>1</v>
      </c>
      <c r="M234" s="17" t="s">
        <v>870</v>
      </c>
      <c r="O234" s="17">
        <v>1</v>
      </c>
      <c r="P234" s="17" t="s">
        <v>871</v>
      </c>
      <c r="Q234" s="1" t="s">
        <v>866</v>
      </c>
      <c r="R234" s="1"/>
      <c r="S234" s="17">
        <v>8</v>
      </c>
      <c r="W234" s="1">
        <v>8</v>
      </c>
      <c r="X234" s="1">
        <v>8</v>
      </c>
      <c r="Y234" s="1" t="s">
        <v>2228</v>
      </c>
      <c r="Z234" s="17">
        <v>3</v>
      </c>
      <c r="AA234" s="13" t="b">
        <v>1</v>
      </c>
      <c r="AB234" s="1" t="s">
        <v>1893</v>
      </c>
      <c r="AC234" s="57" t="s">
        <v>1720</v>
      </c>
      <c r="AD234" s="1"/>
      <c r="AE234" t="s">
        <v>1874</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49" customFormat="1" x14ac:dyDescent="0.25">
      <c r="A235" s="49" t="s">
        <v>872</v>
      </c>
      <c r="B235" s="51" t="s">
        <v>873</v>
      </c>
      <c r="C235" s="13" t="s">
        <v>1650</v>
      </c>
      <c r="D235" s="49">
        <v>0</v>
      </c>
      <c r="H235" s="49" t="s">
        <v>91</v>
      </c>
      <c r="I235" s="49" t="s">
        <v>90</v>
      </c>
      <c r="J235" s="49" t="s">
        <v>91</v>
      </c>
      <c r="K235" s="49" t="s">
        <v>90</v>
      </c>
      <c r="L235" s="49">
        <v>0</v>
      </c>
      <c r="O235" s="49">
        <v>1</v>
      </c>
      <c r="Q235" s="1"/>
      <c r="R235" s="1" t="s">
        <v>874</v>
      </c>
      <c r="T235" s="49">
        <v>13</v>
      </c>
      <c r="V235" s="49">
        <v>12</v>
      </c>
      <c r="W235" s="1">
        <v>13</v>
      </c>
      <c r="X235" s="1">
        <v>18</v>
      </c>
      <c r="Y235" s="1" t="s">
        <v>2229</v>
      </c>
      <c r="Z235" s="49">
        <v>9</v>
      </c>
      <c r="AA235" s="13" t="b">
        <v>1</v>
      </c>
      <c r="AB235" s="1"/>
      <c r="AC235" s="57" t="s">
        <v>1426</v>
      </c>
      <c r="AD235" s="1"/>
      <c r="AE235" t="s">
        <v>1872</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0" customFormat="1" x14ac:dyDescent="0.25">
      <c r="A236" s="40" t="s">
        <v>875</v>
      </c>
      <c r="B236" s="44" t="s">
        <v>876</v>
      </c>
      <c r="C236" s="13" t="s">
        <v>1650</v>
      </c>
      <c r="D236" s="40">
        <v>0</v>
      </c>
      <c r="H236" s="40" t="s">
        <v>94</v>
      </c>
      <c r="I236" s="40" t="s">
        <v>93</v>
      </c>
      <c r="J236" s="40" t="s">
        <v>94</v>
      </c>
      <c r="K236" s="40" t="s">
        <v>94</v>
      </c>
      <c r="L236" s="40">
        <v>0</v>
      </c>
      <c r="O236" s="40">
        <v>1</v>
      </c>
      <c r="P236" s="40" t="s">
        <v>147</v>
      </c>
      <c r="Q236" s="1" t="s">
        <v>1485</v>
      </c>
      <c r="R236" s="1"/>
      <c r="S236" s="40">
        <v>33</v>
      </c>
      <c r="U236" s="40">
        <v>34</v>
      </c>
      <c r="W236" s="1">
        <v>33</v>
      </c>
      <c r="X236" s="1">
        <v>19</v>
      </c>
      <c r="Y236" s="1" t="s">
        <v>2230</v>
      </c>
      <c r="Z236" s="40">
        <v>8</v>
      </c>
      <c r="AA236" s="13" t="b">
        <v>1</v>
      </c>
      <c r="AB236" s="1"/>
      <c r="AC236" s="57" t="s">
        <v>1427</v>
      </c>
      <c r="AD236" s="1"/>
      <c r="AE236" t="s">
        <v>1875</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25" customFormat="1" x14ac:dyDescent="0.25">
      <c r="A237" s="25" t="s">
        <v>877</v>
      </c>
      <c r="B237" s="29" t="s">
        <v>878</v>
      </c>
      <c r="C237" s="13" t="s">
        <v>1650</v>
      </c>
      <c r="D237" s="25">
        <v>0</v>
      </c>
      <c r="H237" s="25" t="s">
        <v>87</v>
      </c>
      <c r="I237" s="25" t="s">
        <v>93</v>
      </c>
      <c r="J237" s="25" t="s">
        <v>87</v>
      </c>
      <c r="K237" s="25" t="s">
        <v>1703</v>
      </c>
      <c r="L237" s="25">
        <v>0</v>
      </c>
      <c r="O237" s="25">
        <v>0</v>
      </c>
      <c r="Q237" s="1" t="s">
        <v>1581</v>
      </c>
      <c r="R237" s="1"/>
      <c r="S237" s="25">
        <v>9</v>
      </c>
      <c r="U237" s="25">
        <v>9</v>
      </c>
      <c r="W237" s="1">
        <v>9</v>
      </c>
      <c r="X237" s="1">
        <v>13</v>
      </c>
      <c r="Y237" s="1" t="s">
        <v>2231</v>
      </c>
      <c r="Z237" s="25">
        <v>5</v>
      </c>
      <c r="AA237" s="13" t="b">
        <v>1</v>
      </c>
      <c r="AB237" s="1"/>
      <c r="AC237" s="57" t="s">
        <v>1297</v>
      </c>
      <c r="AD237" s="1"/>
      <c r="AE237" t="s">
        <v>1872</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879</v>
      </c>
      <c r="B238" s="29" t="s">
        <v>880</v>
      </c>
      <c r="C238" s="13" t="s">
        <v>1650</v>
      </c>
      <c r="D238" s="25">
        <v>0</v>
      </c>
      <c r="H238" s="25" t="s">
        <v>881</v>
      </c>
      <c r="I238" s="25" t="s">
        <v>881</v>
      </c>
      <c r="J238" s="25" t="s">
        <v>882</v>
      </c>
      <c r="K238" s="25" t="s">
        <v>881</v>
      </c>
      <c r="L238" s="25">
        <v>0</v>
      </c>
      <c r="O238" s="25">
        <v>0</v>
      </c>
      <c r="Q238" s="1" t="s">
        <v>890</v>
      </c>
      <c r="R238" s="1"/>
      <c r="T238" s="25">
        <v>6</v>
      </c>
      <c r="W238" s="1">
        <v>6</v>
      </c>
      <c r="X238" s="1">
        <v>17</v>
      </c>
      <c r="Y238" s="1" t="s">
        <v>2232</v>
      </c>
      <c r="Z238" s="25">
        <v>5</v>
      </c>
      <c r="AA238" s="13" t="b">
        <v>1</v>
      </c>
      <c r="AB238" s="1"/>
      <c r="AC238" s="57" t="s">
        <v>1861</v>
      </c>
      <c r="AD238" s="1"/>
      <c r="AE238" t="s">
        <v>1872</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883</v>
      </c>
      <c r="B239" s="29" t="s">
        <v>884</v>
      </c>
      <c r="C239" s="13" t="s">
        <v>1650</v>
      </c>
      <c r="D239" s="25">
        <v>0</v>
      </c>
      <c r="H239" s="25" t="s">
        <v>885</v>
      </c>
      <c r="I239" s="25" t="s">
        <v>886</v>
      </c>
      <c r="J239" s="25" t="s">
        <v>885</v>
      </c>
      <c r="K239" s="25" t="s">
        <v>886</v>
      </c>
      <c r="L239" s="25">
        <v>0</v>
      </c>
      <c r="O239" s="25">
        <v>0</v>
      </c>
      <c r="Q239" s="1" t="s">
        <v>889</v>
      </c>
      <c r="R239" s="1"/>
      <c r="S239" s="25">
        <v>14</v>
      </c>
      <c r="U239" s="25">
        <v>11</v>
      </c>
      <c r="W239" s="1">
        <v>14</v>
      </c>
      <c r="X239" s="1">
        <v>10</v>
      </c>
      <c r="Y239" s="1" t="s">
        <v>2233</v>
      </c>
      <c r="Z239" s="25">
        <v>5</v>
      </c>
      <c r="AA239" s="13" t="b">
        <v>1</v>
      </c>
      <c r="AB239" s="1" t="s">
        <v>1898</v>
      </c>
      <c r="AC239" s="57" t="s">
        <v>1902</v>
      </c>
      <c r="AD239" s="1"/>
      <c r="AE239" t="s">
        <v>1872</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3" customFormat="1" x14ac:dyDescent="0.25">
      <c r="A240" s="3" t="s">
        <v>887</v>
      </c>
      <c r="B240" s="5" t="s">
        <v>888</v>
      </c>
      <c r="C240" s="13" t="s">
        <v>1650</v>
      </c>
      <c r="D240" s="3">
        <v>0</v>
      </c>
      <c r="H240" s="3" t="s">
        <v>874</v>
      </c>
      <c r="I240" s="3" t="s">
        <v>889</v>
      </c>
      <c r="J240" s="3" t="s">
        <v>874</v>
      </c>
      <c r="K240" s="3" t="s">
        <v>889</v>
      </c>
      <c r="L240" s="3">
        <v>1</v>
      </c>
      <c r="M240" s="3" t="s">
        <v>890</v>
      </c>
      <c r="O240" s="3">
        <v>1</v>
      </c>
      <c r="P240" s="3" t="s">
        <v>891</v>
      </c>
      <c r="Q240" s="1" t="s">
        <v>1582</v>
      </c>
      <c r="R240" s="1"/>
      <c r="S240" s="3">
        <v>15.5</v>
      </c>
      <c r="U240" s="3">
        <v>16</v>
      </c>
      <c r="W240" s="1">
        <v>16</v>
      </c>
      <c r="X240" s="1">
        <v>13</v>
      </c>
      <c r="Y240" s="1" t="s">
        <v>2234</v>
      </c>
      <c r="Z240" s="3">
        <v>1</v>
      </c>
      <c r="AA240" s="13" t="b">
        <v>1</v>
      </c>
      <c r="AB240" s="1"/>
      <c r="AC240" s="57" t="s">
        <v>1372</v>
      </c>
      <c r="AD240" s="1"/>
      <c r="AE240" t="s">
        <v>1876</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40" customFormat="1" x14ac:dyDescent="0.25">
      <c r="A241" s="40" t="s">
        <v>892</v>
      </c>
      <c r="B241" s="44" t="s">
        <v>893</v>
      </c>
      <c r="C241" s="13" t="s">
        <v>1650</v>
      </c>
      <c r="D241" s="40">
        <v>0</v>
      </c>
      <c r="H241" s="40" t="s">
        <v>894</v>
      </c>
      <c r="I241" s="40" t="s">
        <v>889</v>
      </c>
      <c r="J241" s="44" t="s">
        <v>894</v>
      </c>
      <c r="K241" s="77" t="s">
        <v>889</v>
      </c>
      <c r="L241" s="40">
        <v>0</v>
      </c>
      <c r="O241" s="40">
        <v>1</v>
      </c>
      <c r="P241" s="40" t="s">
        <v>891</v>
      </c>
      <c r="Q241" s="13" t="s">
        <v>1995</v>
      </c>
      <c r="R241" s="1"/>
      <c r="S241" s="40">
        <v>5</v>
      </c>
      <c r="U241" s="40">
        <v>7</v>
      </c>
      <c r="W241" s="1">
        <v>5</v>
      </c>
      <c r="X241" s="1">
        <v>11</v>
      </c>
      <c r="Y241" s="1" t="s">
        <v>2235</v>
      </c>
      <c r="Z241" s="40">
        <v>8</v>
      </c>
      <c r="AA241" s="13" t="b">
        <v>1</v>
      </c>
      <c r="AB241" s="1" t="s">
        <v>1893</v>
      </c>
      <c r="AC241" s="57" t="s">
        <v>1996</v>
      </c>
      <c r="AD241" s="1"/>
      <c r="AE241" t="s">
        <v>1877</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72" customFormat="1" x14ac:dyDescent="0.25">
      <c r="A242" s="72" t="s">
        <v>895</v>
      </c>
      <c r="B242" s="75" t="s">
        <v>896</v>
      </c>
      <c r="C242" s="13" t="s">
        <v>1650</v>
      </c>
      <c r="D242" s="72">
        <v>0</v>
      </c>
      <c r="H242" s="72" t="s">
        <v>897</v>
      </c>
      <c r="I242" s="72" t="s">
        <v>898</v>
      </c>
      <c r="J242" s="72" t="s">
        <v>897</v>
      </c>
      <c r="K242" s="72" t="s">
        <v>898</v>
      </c>
      <c r="L242" s="72">
        <v>0</v>
      </c>
      <c r="O242" s="72">
        <v>1</v>
      </c>
      <c r="P242" s="72" t="s">
        <v>543</v>
      </c>
      <c r="Q242" s="1"/>
      <c r="R242" s="1" t="s">
        <v>899</v>
      </c>
      <c r="S242" s="72">
        <v>7.7</v>
      </c>
      <c r="T242" s="72">
        <v>7</v>
      </c>
      <c r="V242" s="72">
        <v>8</v>
      </c>
      <c r="W242" s="1">
        <v>8</v>
      </c>
      <c r="X242" s="1">
        <v>15</v>
      </c>
      <c r="Y242" s="1" t="s">
        <v>2236</v>
      </c>
      <c r="Z242" s="72">
        <v>14</v>
      </c>
      <c r="AA242" s="13" t="b">
        <v>1</v>
      </c>
      <c r="AB242" s="1"/>
      <c r="AC242" s="57" t="s">
        <v>1431</v>
      </c>
      <c r="AD242" s="1"/>
      <c r="AE242" t="s">
        <v>1878</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row>
    <row r="243" spans="1:331" s="3" customFormat="1" x14ac:dyDescent="0.25">
      <c r="A243" s="3" t="s">
        <v>900</v>
      </c>
      <c r="B243" s="5" t="s">
        <v>901</v>
      </c>
      <c r="C243" s="13" t="s">
        <v>1650</v>
      </c>
      <c r="D243" s="3">
        <v>0</v>
      </c>
      <c r="H243" s="3" t="s">
        <v>902</v>
      </c>
      <c r="I243" s="3" t="s">
        <v>252</v>
      </c>
      <c r="J243" s="3" t="s">
        <v>902</v>
      </c>
      <c r="K243" s="3" t="s">
        <v>252</v>
      </c>
      <c r="L243" s="3">
        <v>1</v>
      </c>
      <c r="M243" s="3" t="s">
        <v>206</v>
      </c>
      <c r="O243" s="3">
        <v>1</v>
      </c>
      <c r="P243" s="3" t="s">
        <v>903</v>
      </c>
      <c r="Q243" s="1" t="s">
        <v>772</v>
      </c>
      <c r="R243" s="1"/>
      <c r="S243" s="3">
        <v>13</v>
      </c>
      <c r="W243" s="1">
        <v>13</v>
      </c>
      <c r="X243" s="1">
        <v>10</v>
      </c>
      <c r="Y243" s="1" t="s">
        <v>2237</v>
      </c>
      <c r="Z243" s="3">
        <v>1</v>
      </c>
      <c r="AA243" s="13" t="b">
        <v>1</v>
      </c>
      <c r="AB243" s="1"/>
      <c r="AC243" s="57" t="s">
        <v>1373</v>
      </c>
      <c r="AD243" s="1"/>
      <c r="AE243" t="s">
        <v>1879</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row>
    <row r="244" spans="1:331" s="45" customFormat="1" x14ac:dyDescent="0.25">
      <c r="A244" s="45" t="s">
        <v>904</v>
      </c>
      <c r="B244" s="45" t="s">
        <v>905</v>
      </c>
      <c r="C244" s="1" t="s">
        <v>1650</v>
      </c>
      <c r="D244" s="45">
        <v>0</v>
      </c>
      <c r="H244" s="45" t="s">
        <v>906</v>
      </c>
      <c r="I244" s="45" t="s">
        <v>206</v>
      </c>
      <c r="J244" s="45" t="s">
        <v>906</v>
      </c>
      <c r="K244" s="45" t="s">
        <v>906</v>
      </c>
      <c r="L244" s="45">
        <v>0</v>
      </c>
      <c r="O244" s="45">
        <v>0</v>
      </c>
      <c r="Q244" s="1" t="s">
        <v>770</v>
      </c>
      <c r="R244" s="1"/>
      <c r="T244" s="45">
        <v>15</v>
      </c>
      <c r="V244" s="45">
        <v>15</v>
      </c>
      <c r="W244" s="1"/>
      <c r="X244" s="1"/>
      <c r="Y244" s="1"/>
      <c r="Z244" s="45">
        <v>-1</v>
      </c>
      <c r="AA244" s="13" t="b">
        <v>0</v>
      </c>
      <c r="AB244" s="1" t="s">
        <v>1892</v>
      </c>
      <c r="AC244" s="57" t="s">
        <v>1939</v>
      </c>
      <c r="AD244" s="1"/>
      <c r="AE244" t="s">
        <v>1880</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25" customFormat="1" x14ac:dyDescent="0.25">
      <c r="A245" s="25" t="s">
        <v>907</v>
      </c>
      <c r="B245" s="29" t="s">
        <v>908</v>
      </c>
      <c r="C245" s="13" t="s">
        <v>1650</v>
      </c>
      <c r="D245" s="25">
        <v>0</v>
      </c>
      <c r="H245" s="25" t="s">
        <v>903</v>
      </c>
      <c r="I245" s="25" t="s">
        <v>354</v>
      </c>
      <c r="J245" s="25" t="s">
        <v>903</v>
      </c>
      <c r="K245" s="25" t="s">
        <v>1519</v>
      </c>
      <c r="L245" s="25">
        <v>0</v>
      </c>
      <c r="O245" s="25">
        <v>0</v>
      </c>
      <c r="Q245" s="1" t="s">
        <v>1583</v>
      </c>
      <c r="R245" s="1"/>
      <c r="T245" s="25">
        <v>6</v>
      </c>
      <c r="V245" s="25">
        <v>7</v>
      </c>
      <c r="W245" s="1">
        <v>6</v>
      </c>
      <c r="X245" s="1">
        <v>12</v>
      </c>
      <c r="Y245" s="1" t="s">
        <v>2238</v>
      </c>
      <c r="Z245" s="25">
        <v>5</v>
      </c>
      <c r="AA245" s="13" t="b">
        <v>1</v>
      </c>
      <c r="AB245" s="1"/>
      <c r="AC245" s="57" t="s">
        <v>1298</v>
      </c>
      <c r="AD245" s="1"/>
      <c r="AE245" t="s">
        <v>1881</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72" customFormat="1" x14ac:dyDescent="0.25">
      <c r="A246" s="72" t="s">
        <v>909</v>
      </c>
      <c r="B246" s="75" t="s">
        <v>910</v>
      </c>
      <c r="C246" s="13" t="s">
        <v>1650</v>
      </c>
      <c r="D246" s="72">
        <v>0</v>
      </c>
      <c r="H246" s="72" t="s">
        <v>903</v>
      </c>
      <c r="I246" s="72" t="s">
        <v>206</v>
      </c>
      <c r="J246" s="72" t="s">
        <v>903</v>
      </c>
      <c r="K246" s="72" t="s">
        <v>206</v>
      </c>
      <c r="L246" s="72">
        <v>0</v>
      </c>
      <c r="O246" s="72">
        <v>1</v>
      </c>
      <c r="P246" s="72" t="s">
        <v>911</v>
      </c>
      <c r="Q246" s="1"/>
      <c r="R246" s="1" t="s">
        <v>912</v>
      </c>
      <c r="T246" s="72">
        <v>17</v>
      </c>
      <c r="V246" s="72">
        <v>18</v>
      </c>
      <c r="W246" s="1">
        <v>17</v>
      </c>
      <c r="X246" s="1">
        <v>17</v>
      </c>
      <c r="Y246" s="1" t="s">
        <v>2239</v>
      </c>
      <c r="Z246" s="72">
        <v>14</v>
      </c>
      <c r="AA246" s="13" t="b">
        <v>1</v>
      </c>
      <c r="AB246" s="1"/>
      <c r="AC246" s="57" t="s">
        <v>1857</v>
      </c>
      <c r="AD246" s="1"/>
      <c r="AE246" t="s">
        <v>1882</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row>
    <row r="247" spans="1:331" s="40" customFormat="1" x14ac:dyDescent="0.25">
      <c r="A247" s="40" t="s">
        <v>913</v>
      </c>
      <c r="B247" s="44" t="s">
        <v>914</v>
      </c>
      <c r="C247" s="13" t="s">
        <v>1650</v>
      </c>
      <c r="D247" s="40">
        <v>0</v>
      </c>
      <c r="H247" s="40" t="s">
        <v>915</v>
      </c>
      <c r="I247" s="40" t="s">
        <v>345</v>
      </c>
      <c r="J247" s="40" t="s">
        <v>530</v>
      </c>
      <c r="K247" s="40" t="s">
        <v>903</v>
      </c>
      <c r="L247" s="40">
        <v>0</v>
      </c>
      <c r="O247" s="40">
        <v>1</v>
      </c>
      <c r="P247" s="40" t="s">
        <v>526</v>
      </c>
      <c r="Q247" s="1" t="s">
        <v>119</v>
      </c>
      <c r="R247" s="1"/>
      <c r="S247" s="40">
        <v>22</v>
      </c>
      <c r="V247" s="40">
        <v>20</v>
      </c>
      <c r="W247" s="1">
        <v>22</v>
      </c>
      <c r="X247" s="1">
        <v>20</v>
      </c>
      <c r="Y247" s="1" t="s">
        <v>2240</v>
      </c>
      <c r="Z247" s="40">
        <v>8</v>
      </c>
      <c r="AA247" s="13" t="b">
        <v>1</v>
      </c>
      <c r="AB247" s="1"/>
      <c r="AC247" s="57" t="s">
        <v>1394</v>
      </c>
      <c r="AD247" s="1"/>
      <c r="AE247" t="s">
        <v>1883</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row>
    <row r="248" spans="1:331" s="40" customFormat="1" x14ac:dyDescent="0.25">
      <c r="A248" s="40" t="s">
        <v>916</v>
      </c>
      <c r="B248" s="44" t="s">
        <v>917</v>
      </c>
      <c r="C248" s="13" t="s">
        <v>1650</v>
      </c>
      <c r="D248" s="40">
        <v>0</v>
      </c>
      <c r="H248" s="40" t="s">
        <v>247</v>
      </c>
      <c r="I248" s="40" t="s">
        <v>255</v>
      </c>
      <c r="J248" s="40" t="s">
        <v>247</v>
      </c>
      <c r="K248" s="40" t="s">
        <v>255</v>
      </c>
      <c r="L248" s="40">
        <v>0</v>
      </c>
      <c r="O248" s="40">
        <v>1</v>
      </c>
      <c r="P248" s="40" t="s">
        <v>918</v>
      </c>
      <c r="Q248" s="1" t="s">
        <v>1584</v>
      </c>
      <c r="R248" s="1"/>
      <c r="T248" s="40">
        <v>15</v>
      </c>
      <c r="V248" s="40">
        <v>15</v>
      </c>
      <c r="W248" s="1">
        <v>15</v>
      </c>
      <c r="X248" s="1">
        <v>14</v>
      </c>
      <c r="Y248" s="1" t="s">
        <v>2241</v>
      </c>
      <c r="Z248" s="40">
        <v>8</v>
      </c>
      <c r="AA248" s="13" t="b">
        <v>1</v>
      </c>
      <c r="AB248" s="1"/>
      <c r="AC248" s="57" t="s">
        <v>1425</v>
      </c>
      <c r="AD248" s="1"/>
      <c r="AE248" t="s">
        <v>1884</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25" customFormat="1" x14ac:dyDescent="0.25">
      <c r="A249" s="25" t="s">
        <v>919</v>
      </c>
      <c r="B249" s="29" t="s">
        <v>920</v>
      </c>
      <c r="C249" s="13" t="s">
        <v>1650</v>
      </c>
      <c r="D249" s="25">
        <v>0</v>
      </c>
      <c r="H249" s="25" t="s">
        <v>776</v>
      </c>
      <c r="I249" s="25" t="s">
        <v>918</v>
      </c>
      <c r="J249" s="25" t="s">
        <v>776</v>
      </c>
      <c r="K249" s="25" t="s">
        <v>245</v>
      </c>
      <c r="L249" s="25">
        <v>0</v>
      </c>
      <c r="O249" s="25">
        <v>1</v>
      </c>
      <c r="Q249" s="13" t="s">
        <v>1584</v>
      </c>
      <c r="R249" s="1"/>
      <c r="T249" s="25">
        <v>20</v>
      </c>
      <c r="V249" s="25">
        <v>11</v>
      </c>
      <c r="W249" s="1">
        <v>20</v>
      </c>
      <c r="X249" s="1">
        <v>10</v>
      </c>
      <c r="Y249" s="1" t="s">
        <v>2242</v>
      </c>
      <c r="Z249" s="25">
        <v>5</v>
      </c>
      <c r="AA249" s="13" t="b">
        <v>1</v>
      </c>
      <c r="AB249" s="1" t="s">
        <v>1897</v>
      </c>
      <c r="AC249" s="57" t="s">
        <v>1997</v>
      </c>
      <c r="AD249" s="1"/>
      <c r="AE249" t="s">
        <v>1885</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72" customFormat="1" x14ac:dyDescent="0.25">
      <c r="A250" s="72" t="s">
        <v>921</v>
      </c>
      <c r="B250" s="75" t="s">
        <v>922</v>
      </c>
      <c r="C250" s="13" t="s">
        <v>1650</v>
      </c>
      <c r="D250" s="72">
        <v>0</v>
      </c>
      <c r="H250" s="72" t="s">
        <v>923</v>
      </c>
      <c r="I250" s="72" t="s">
        <v>924</v>
      </c>
      <c r="J250" s="72" t="s">
        <v>923</v>
      </c>
      <c r="K250" s="75" t="s">
        <v>924</v>
      </c>
      <c r="L250" s="72">
        <v>0</v>
      </c>
      <c r="O250" s="72">
        <v>1</v>
      </c>
      <c r="P250" s="76">
        <v>44585</v>
      </c>
      <c r="Q250" s="1"/>
      <c r="R250" s="13" t="s">
        <v>235</v>
      </c>
      <c r="T250" s="72">
        <v>27</v>
      </c>
      <c r="V250" s="72">
        <v>23</v>
      </c>
      <c r="W250" s="1">
        <v>27</v>
      </c>
      <c r="X250" s="1">
        <v>17</v>
      </c>
      <c r="Y250" s="1" t="s">
        <v>2243</v>
      </c>
      <c r="Z250" s="72">
        <v>14</v>
      </c>
      <c r="AA250" s="13" t="b">
        <v>1</v>
      </c>
      <c r="AB250" s="1"/>
      <c r="AC250" s="57" t="s">
        <v>1625</v>
      </c>
      <c r="AD250" s="1"/>
      <c r="AE250" t="s">
        <v>1885</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row>
    <row r="251" spans="1:331" s="25" customFormat="1" x14ac:dyDescent="0.25">
      <c r="A251" s="25" t="s">
        <v>925</v>
      </c>
      <c r="B251" s="29" t="s">
        <v>926</v>
      </c>
      <c r="C251" s="13" t="s">
        <v>1650</v>
      </c>
      <c r="D251" s="25">
        <v>0</v>
      </c>
      <c r="H251" s="25" t="s">
        <v>927</v>
      </c>
      <c r="I251" s="25" t="s">
        <v>928</v>
      </c>
      <c r="J251" s="25" t="s">
        <v>927</v>
      </c>
      <c r="K251" s="25" t="s">
        <v>928</v>
      </c>
      <c r="L251" s="25">
        <v>0</v>
      </c>
      <c r="O251" s="25">
        <v>0</v>
      </c>
      <c r="Q251" s="1" t="s">
        <v>336</v>
      </c>
      <c r="R251" s="1"/>
      <c r="T251" s="25">
        <v>9</v>
      </c>
      <c r="V251" s="25">
        <v>8</v>
      </c>
      <c r="W251" s="1">
        <v>9</v>
      </c>
      <c r="X251" s="1">
        <v>11</v>
      </c>
      <c r="Y251" s="1" t="s">
        <v>2244</v>
      </c>
      <c r="Z251" s="25">
        <v>5</v>
      </c>
      <c r="AA251" s="13" t="b">
        <v>1</v>
      </c>
      <c r="AB251" s="1"/>
      <c r="AC251" s="57" t="s">
        <v>1352</v>
      </c>
      <c r="AD251" s="1"/>
      <c r="AE251" t="s">
        <v>1885</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row>
    <row r="252" spans="1:331" s="30" customFormat="1" x14ac:dyDescent="0.25">
      <c r="A252" s="30" t="s">
        <v>929</v>
      </c>
      <c r="B252" s="34" t="s">
        <v>930</v>
      </c>
      <c r="C252" s="13" t="s">
        <v>1650</v>
      </c>
      <c r="D252" s="30">
        <v>1</v>
      </c>
      <c r="E252" s="30" t="s">
        <v>931</v>
      </c>
      <c r="H252" s="30" t="s">
        <v>335</v>
      </c>
      <c r="I252" s="30" t="s">
        <v>932</v>
      </c>
      <c r="J252" s="30" t="s">
        <v>335</v>
      </c>
      <c r="K252" s="30" t="s">
        <v>931</v>
      </c>
      <c r="L252" s="30">
        <v>0</v>
      </c>
      <c r="O252" s="30">
        <v>0</v>
      </c>
      <c r="Q252" s="1" t="s">
        <v>1585</v>
      </c>
      <c r="R252" s="1"/>
      <c r="S252" s="30">
        <v>8</v>
      </c>
      <c r="T252" s="30">
        <v>7</v>
      </c>
      <c r="U252" s="30">
        <v>9</v>
      </c>
      <c r="V252" s="30">
        <v>9</v>
      </c>
      <c r="W252" s="1">
        <v>8</v>
      </c>
      <c r="X252" s="1">
        <v>13</v>
      </c>
      <c r="Y252" s="1" t="s">
        <v>2245</v>
      </c>
      <c r="Z252" s="30">
        <v>6</v>
      </c>
      <c r="AA252" s="13" t="b">
        <v>1</v>
      </c>
      <c r="AB252" s="1"/>
      <c r="AC252" s="57" t="s">
        <v>1388</v>
      </c>
      <c r="AD252" s="1"/>
      <c r="AE252" t="s">
        <v>1886</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25" customFormat="1" x14ac:dyDescent="0.25">
      <c r="A253" s="25" t="s">
        <v>933</v>
      </c>
      <c r="B253" s="29" t="s">
        <v>934</v>
      </c>
      <c r="C253" s="13" t="s">
        <v>1650</v>
      </c>
      <c r="D253" s="25">
        <v>0</v>
      </c>
      <c r="H253" s="25" t="s">
        <v>935</v>
      </c>
      <c r="I253" s="25" t="s">
        <v>936</v>
      </c>
      <c r="J253" s="25" t="s">
        <v>935</v>
      </c>
      <c r="K253" s="25" t="s">
        <v>109</v>
      </c>
      <c r="L253" s="25">
        <v>0</v>
      </c>
      <c r="O253" s="25">
        <v>0</v>
      </c>
      <c r="Q253" s="1" t="s">
        <v>1586</v>
      </c>
      <c r="R253" s="1"/>
      <c r="T253" s="25">
        <v>10</v>
      </c>
      <c r="V253" s="25">
        <v>10</v>
      </c>
      <c r="W253" s="1">
        <v>10</v>
      </c>
      <c r="X253" s="1">
        <v>18</v>
      </c>
      <c r="Y253" s="1" t="s">
        <v>2246</v>
      </c>
      <c r="Z253" s="25">
        <v>5</v>
      </c>
      <c r="AA253" s="13" t="b">
        <v>1</v>
      </c>
      <c r="AB253" s="1"/>
      <c r="AC253" s="57" t="s">
        <v>1353</v>
      </c>
      <c r="AD253" s="1"/>
      <c r="AE253" s="57"/>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45" customFormat="1" x14ac:dyDescent="0.25">
      <c r="A254" s="45" t="s">
        <v>937</v>
      </c>
      <c r="C254" s="1" t="s">
        <v>1650</v>
      </c>
      <c r="D254" s="45">
        <v>1</v>
      </c>
      <c r="E254" s="45" t="s">
        <v>110</v>
      </c>
      <c r="H254" s="45" t="s">
        <v>938</v>
      </c>
      <c r="I254" s="45" t="s">
        <v>110</v>
      </c>
      <c r="J254" s="45" t="s">
        <v>938</v>
      </c>
      <c r="K254" s="45" t="s">
        <v>938</v>
      </c>
      <c r="L254" s="45">
        <v>1</v>
      </c>
      <c r="M254" s="45" t="s">
        <v>609</v>
      </c>
      <c r="O254" s="45">
        <v>1</v>
      </c>
      <c r="P254" s="45" t="s">
        <v>939</v>
      </c>
      <c r="Q254" s="1"/>
      <c r="R254" s="1" t="s">
        <v>940</v>
      </c>
      <c r="S254" s="45">
        <v>11</v>
      </c>
      <c r="W254" s="1"/>
      <c r="X254" s="1"/>
      <c r="Y254" s="1"/>
      <c r="Z254" s="45">
        <v>-1</v>
      </c>
      <c r="AA254" s="13" t="b">
        <v>0</v>
      </c>
      <c r="AB254" s="1"/>
      <c r="AC254" s="57" t="s">
        <v>1251</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25" customFormat="1" x14ac:dyDescent="0.25">
      <c r="A255" s="25" t="s">
        <v>941</v>
      </c>
      <c r="B255" s="29" t="s">
        <v>942</v>
      </c>
      <c r="C255" s="13" t="s">
        <v>1650</v>
      </c>
      <c r="D255" s="25">
        <v>0</v>
      </c>
      <c r="H255" s="25" t="s">
        <v>943</v>
      </c>
      <c r="I255" s="25" t="s">
        <v>940</v>
      </c>
      <c r="J255" s="25" t="s">
        <v>943</v>
      </c>
      <c r="K255" s="25" t="s">
        <v>1704</v>
      </c>
      <c r="L255" s="25">
        <v>0</v>
      </c>
      <c r="O255" s="25">
        <v>0</v>
      </c>
      <c r="Q255" s="1" t="s">
        <v>1587</v>
      </c>
      <c r="R255" s="1"/>
      <c r="S255" s="25">
        <v>8</v>
      </c>
      <c r="U255" s="25">
        <v>8</v>
      </c>
      <c r="W255" s="1">
        <v>8</v>
      </c>
      <c r="X255" s="1">
        <v>7</v>
      </c>
      <c r="Y255" s="1" t="s">
        <v>2247</v>
      </c>
      <c r="Z255" s="25">
        <v>5</v>
      </c>
      <c r="AA255" s="13" t="b">
        <v>1</v>
      </c>
      <c r="AB255" s="1"/>
      <c r="AC255" s="57" t="s">
        <v>1305</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944</v>
      </c>
      <c r="B256" s="29" t="s">
        <v>945</v>
      </c>
      <c r="C256" s="13" t="s">
        <v>1650</v>
      </c>
      <c r="D256" s="25">
        <v>0</v>
      </c>
      <c r="H256" s="25" t="s">
        <v>946</v>
      </c>
      <c r="I256" s="25" t="s">
        <v>759</v>
      </c>
      <c r="J256" s="25" t="s">
        <v>946</v>
      </c>
      <c r="K256" s="25" t="s">
        <v>1705</v>
      </c>
      <c r="L256" s="25">
        <v>0</v>
      </c>
      <c r="O256" s="25">
        <v>0</v>
      </c>
      <c r="Q256" s="1" t="s">
        <v>1588</v>
      </c>
      <c r="R256" s="1"/>
      <c r="S256" s="25">
        <v>15</v>
      </c>
      <c r="U256" s="25">
        <v>14</v>
      </c>
      <c r="W256" s="1">
        <v>15</v>
      </c>
      <c r="X256" s="1">
        <v>17</v>
      </c>
      <c r="Y256" s="1" t="s">
        <v>2248</v>
      </c>
      <c r="Z256" s="25">
        <v>5</v>
      </c>
      <c r="AA256" s="13" t="b">
        <v>1</v>
      </c>
      <c r="AB256" s="1"/>
      <c r="AC256" s="57" t="s">
        <v>1903</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30" customFormat="1" x14ac:dyDescent="0.25">
      <c r="A257" s="30" t="s">
        <v>947</v>
      </c>
      <c r="B257" s="34" t="s">
        <v>948</v>
      </c>
      <c r="C257" s="13" t="s">
        <v>1650</v>
      </c>
      <c r="D257" s="30">
        <v>1</v>
      </c>
      <c r="E257" s="30" t="s">
        <v>949</v>
      </c>
      <c r="H257" s="30" t="s">
        <v>950</v>
      </c>
      <c r="I257" s="30" t="s">
        <v>949</v>
      </c>
      <c r="J257" s="30" t="s">
        <v>950</v>
      </c>
      <c r="K257" s="30" t="s">
        <v>949</v>
      </c>
      <c r="L257" s="30">
        <v>0</v>
      </c>
      <c r="O257" s="30">
        <v>0</v>
      </c>
      <c r="Q257" s="1" t="s">
        <v>1589</v>
      </c>
      <c r="R257" s="1"/>
      <c r="T257" s="30">
        <v>13</v>
      </c>
      <c r="W257" s="1">
        <v>13</v>
      </c>
      <c r="X257" s="1">
        <v>13</v>
      </c>
      <c r="Y257" s="1" t="s">
        <v>2249</v>
      </c>
      <c r="Z257" s="30">
        <v>6</v>
      </c>
      <c r="AA257" s="13" t="b">
        <v>1</v>
      </c>
      <c r="AB257" s="1"/>
      <c r="AC257" s="57" t="s">
        <v>1285</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40" customFormat="1" x14ac:dyDescent="0.25">
      <c r="A258" s="40" t="s">
        <v>951</v>
      </c>
      <c r="B258" s="44" t="s">
        <v>952</v>
      </c>
      <c r="C258" s="13" t="s">
        <v>1650</v>
      </c>
      <c r="D258" s="40">
        <v>0</v>
      </c>
      <c r="H258" s="40" t="s">
        <v>330</v>
      </c>
      <c r="I258" s="40" t="s">
        <v>330</v>
      </c>
      <c r="J258" s="40" t="s">
        <v>953</v>
      </c>
      <c r="K258" s="40" t="s">
        <v>331</v>
      </c>
      <c r="L258" s="40">
        <v>0</v>
      </c>
      <c r="O258" s="40">
        <v>1</v>
      </c>
      <c r="P258" s="40" t="s">
        <v>372</v>
      </c>
      <c r="Q258" s="1" t="s">
        <v>1590</v>
      </c>
      <c r="R258" s="1"/>
      <c r="S258" s="40">
        <v>8</v>
      </c>
      <c r="U258" s="40">
        <v>7</v>
      </c>
      <c r="W258" s="1">
        <v>8</v>
      </c>
      <c r="X258" s="1">
        <v>14</v>
      </c>
      <c r="Y258" s="1" t="s">
        <v>2250</v>
      </c>
      <c r="Z258" s="40">
        <v>8</v>
      </c>
      <c r="AA258" s="13" t="b">
        <v>1</v>
      </c>
      <c r="AB258" s="1"/>
      <c r="AC258" s="57" t="s">
        <v>1432</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72" customFormat="1" x14ac:dyDescent="0.25">
      <c r="A259" s="72" t="s">
        <v>954</v>
      </c>
      <c r="B259" s="75" t="s">
        <v>955</v>
      </c>
      <c r="C259" s="13" t="s">
        <v>1650</v>
      </c>
      <c r="D259" s="72">
        <v>0</v>
      </c>
      <c r="H259" s="72" t="s">
        <v>332</v>
      </c>
      <c r="I259" s="72" t="s">
        <v>330</v>
      </c>
      <c r="J259" s="72" t="s">
        <v>332</v>
      </c>
      <c r="K259" s="72" t="s">
        <v>332</v>
      </c>
      <c r="L259" s="72">
        <v>0</v>
      </c>
      <c r="O259" s="72">
        <v>1</v>
      </c>
      <c r="P259" s="72" t="s">
        <v>956</v>
      </c>
      <c r="Q259" s="1"/>
      <c r="R259" s="1" t="s">
        <v>316</v>
      </c>
      <c r="S259" s="72">
        <v>10</v>
      </c>
      <c r="U259" s="72">
        <v>10</v>
      </c>
      <c r="W259" s="1">
        <v>10</v>
      </c>
      <c r="X259" s="1">
        <v>19</v>
      </c>
      <c r="Y259" s="1" t="s">
        <v>2251</v>
      </c>
      <c r="Z259" s="72">
        <v>14</v>
      </c>
      <c r="AA259" s="13" t="b">
        <v>1</v>
      </c>
      <c r="AB259" s="1"/>
      <c r="AC259" s="57" t="s">
        <v>1297</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row>
    <row r="260" spans="1:331" s="40" customFormat="1" x14ac:dyDescent="0.25">
      <c r="A260" s="40" t="s">
        <v>957</v>
      </c>
      <c r="B260" s="44" t="s">
        <v>958</v>
      </c>
      <c r="C260" s="13" t="s">
        <v>1650</v>
      </c>
      <c r="D260" s="40">
        <v>0</v>
      </c>
      <c r="H260" s="40" t="s">
        <v>959</v>
      </c>
      <c r="I260" s="40" t="s">
        <v>960</v>
      </c>
      <c r="J260" s="40" t="s">
        <v>961</v>
      </c>
      <c r="K260" s="40" t="s">
        <v>960</v>
      </c>
      <c r="L260" s="40">
        <v>0</v>
      </c>
      <c r="O260" s="40">
        <v>1</v>
      </c>
      <c r="P260" s="40" t="s">
        <v>368</v>
      </c>
      <c r="Q260" s="1" t="s">
        <v>1591</v>
      </c>
      <c r="R260" s="1"/>
      <c r="T260" s="40">
        <v>15</v>
      </c>
      <c r="V260" s="40">
        <v>11</v>
      </c>
      <c r="W260" s="1">
        <v>15</v>
      </c>
      <c r="X260" s="1">
        <v>15</v>
      </c>
      <c r="Y260" s="1" t="s">
        <v>2252</v>
      </c>
      <c r="Z260" s="40">
        <v>8</v>
      </c>
      <c r="AA260" s="13" t="b">
        <v>1</v>
      </c>
      <c r="AB260" s="1" t="b">
        <v>1</v>
      </c>
      <c r="AC260" s="57" t="s">
        <v>1433</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row>
    <row r="261" spans="1:331" s="40" customFormat="1" x14ac:dyDescent="0.25">
      <c r="A261" s="40" t="s">
        <v>962</v>
      </c>
      <c r="B261" s="44" t="s">
        <v>963</v>
      </c>
      <c r="C261" s="13" t="s">
        <v>1650</v>
      </c>
      <c r="D261" s="40">
        <v>0</v>
      </c>
      <c r="H261" s="40" t="s">
        <v>964</v>
      </c>
      <c r="I261" s="40" t="s">
        <v>965</v>
      </c>
      <c r="J261" s="40" t="s">
        <v>966</v>
      </c>
      <c r="K261" s="40" t="s">
        <v>964</v>
      </c>
      <c r="L261" s="40">
        <v>0</v>
      </c>
      <c r="O261" s="40">
        <v>1</v>
      </c>
      <c r="P261" s="40" t="s">
        <v>967</v>
      </c>
      <c r="Q261" s="1" t="s">
        <v>1592</v>
      </c>
      <c r="R261" s="1"/>
      <c r="S261" s="40">
        <v>4</v>
      </c>
      <c r="T261" s="40">
        <v>10</v>
      </c>
      <c r="U261" s="40">
        <v>6</v>
      </c>
      <c r="V261" s="40">
        <v>10</v>
      </c>
      <c r="W261" s="1">
        <v>10</v>
      </c>
      <c r="X261" s="1">
        <v>11</v>
      </c>
      <c r="Y261" s="1" t="s">
        <v>2253</v>
      </c>
      <c r="Z261" s="40">
        <v>8</v>
      </c>
      <c r="AA261" s="13" t="b">
        <v>1</v>
      </c>
      <c r="AB261" s="1"/>
      <c r="AC261" s="57" t="s">
        <v>1434</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52" customFormat="1" x14ac:dyDescent="0.25">
      <c r="A262" s="52" t="s">
        <v>968</v>
      </c>
      <c r="B262" s="56" t="s">
        <v>969</v>
      </c>
      <c r="C262" s="13" t="s">
        <v>1650</v>
      </c>
      <c r="D262" s="52">
        <v>0</v>
      </c>
      <c r="H262" s="52" t="s">
        <v>970</v>
      </c>
      <c r="I262" s="52" t="s">
        <v>970</v>
      </c>
      <c r="J262" s="52" t="s">
        <v>297</v>
      </c>
      <c r="K262" s="52" t="s">
        <v>1667</v>
      </c>
      <c r="L262" s="52">
        <v>3</v>
      </c>
      <c r="M262" s="52" t="s">
        <v>296</v>
      </c>
      <c r="N262" s="52" t="s">
        <v>296</v>
      </c>
      <c r="O262" s="52">
        <v>1</v>
      </c>
      <c r="P262" s="52" t="s">
        <v>971</v>
      </c>
      <c r="Q262" s="1" t="s">
        <v>1593</v>
      </c>
      <c r="R262" s="1"/>
      <c r="S262" s="52">
        <v>11</v>
      </c>
      <c r="W262" s="1">
        <v>11</v>
      </c>
      <c r="X262" s="1">
        <v>15</v>
      </c>
      <c r="Y262" s="1" t="s">
        <v>2254</v>
      </c>
      <c r="Z262" s="52">
        <v>10</v>
      </c>
      <c r="AA262" s="13" t="b">
        <v>1</v>
      </c>
      <c r="AB262" s="1"/>
      <c r="AC262" s="57" t="s">
        <v>1236</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40" customFormat="1" x14ac:dyDescent="0.25">
      <c r="A263" s="40" t="s">
        <v>972</v>
      </c>
      <c r="B263" s="44" t="s">
        <v>973</v>
      </c>
      <c r="C263" s="13" t="s">
        <v>1650</v>
      </c>
      <c r="D263" s="40">
        <v>0</v>
      </c>
      <c r="H263" s="40" t="s">
        <v>302</v>
      </c>
      <c r="I263" s="40" t="s">
        <v>302</v>
      </c>
      <c r="J263" s="40" t="s">
        <v>302</v>
      </c>
      <c r="K263" s="40" t="s">
        <v>302</v>
      </c>
      <c r="L263" s="40">
        <v>0</v>
      </c>
      <c r="O263" s="40">
        <v>1</v>
      </c>
      <c r="P263" s="40" t="s">
        <v>974</v>
      </c>
      <c r="Q263" s="1"/>
      <c r="R263" s="1" t="s">
        <v>975</v>
      </c>
      <c r="S263" s="40">
        <v>0</v>
      </c>
      <c r="T263" s="40">
        <v>7</v>
      </c>
      <c r="V263" s="40">
        <v>6</v>
      </c>
      <c r="W263" s="1">
        <v>7</v>
      </c>
      <c r="X263" s="1">
        <v>15</v>
      </c>
      <c r="Y263" s="1" t="s">
        <v>2255</v>
      </c>
      <c r="Z263" s="40">
        <v>8</v>
      </c>
      <c r="AA263" s="13" t="b">
        <v>1</v>
      </c>
      <c r="AB263" s="1"/>
      <c r="AC263" s="57" t="s">
        <v>1435</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52" customFormat="1" x14ac:dyDescent="0.25">
      <c r="A264" s="52" t="s">
        <v>976</v>
      </c>
      <c r="B264" s="56" t="s">
        <v>977</v>
      </c>
      <c r="C264" s="13" t="s">
        <v>1650</v>
      </c>
      <c r="D264" s="52">
        <v>1</v>
      </c>
      <c r="E264" s="52" t="s">
        <v>349</v>
      </c>
      <c r="H264" s="52" t="s">
        <v>349</v>
      </c>
      <c r="I264" s="52" t="s">
        <v>978</v>
      </c>
      <c r="J264" s="52" t="s">
        <v>979</v>
      </c>
      <c r="K264" s="52" t="s">
        <v>349</v>
      </c>
      <c r="L264" s="52">
        <v>2</v>
      </c>
      <c r="M264" s="52" t="s">
        <v>980</v>
      </c>
      <c r="N264" s="52" t="s">
        <v>980</v>
      </c>
      <c r="O264" s="52">
        <v>1</v>
      </c>
      <c r="P264" s="52" t="s">
        <v>351</v>
      </c>
      <c r="Q264" s="1" t="s">
        <v>537</v>
      </c>
      <c r="R264" s="1"/>
      <c r="T264" s="52">
        <v>26</v>
      </c>
      <c r="W264" s="1">
        <v>26</v>
      </c>
      <c r="X264" s="1">
        <v>18</v>
      </c>
      <c r="Y264" s="1" t="s">
        <v>2256</v>
      </c>
      <c r="Z264" s="52">
        <v>10</v>
      </c>
      <c r="AA264" s="13" t="b">
        <v>1</v>
      </c>
      <c r="AB264" s="1"/>
      <c r="AC264" s="57" t="s">
        <v>1236</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25" customFormat="1" x14ac:dyDescent="0.25">
      <c r="A265" s="25" t="s">
        <v>981</v>
      </c>
      <c r="B265" s="29" t="s">
        <v>982</v>
      </c>
      <c r="C265" s="13" t="s">
        <v>1650</v>
      </c>
      <c r="D265" s="25">
        <v>0</v>
      </c>
      <c r="H265" s="25" t="s">
        <v>175</v>
      </c>
      <c r="I265" s="25" t="s">
        <v>173</v>
      </c>
      <c r="J265" s="25" t="s">
        <v>175</v>
      </c>
      <c r="K265" s="25" t="s">
        <v>173</v>
      </c>
      <c r="L265" s="25">
        <v>0</v>
      </c>
      <c r="O265" s="25">
        <v>0</v>
      </c>
      <c r="Q265" s="1" t="s">
        <v>1594</v>
      </c>
      <c r="R265" s="1"/>
      <c r="T265" s="25">
        <v>12</v>
      </c>
      <c r="V265" s="25">
        <v>12</v>
      </c>
      <c r="W265" s="1">
        <v>12</v>
      </c>
      <c r="X265" s="1">
        <v>12</v>
      </c>
      <c r="Y265" s="1" t="s">
        <v>2257</v>
      </c>
      <c r="Z265" s="25">
        <v>5</v>
      </c>
      <c r="AA265" s="13" t="b">
        <v>1</v>
      </c>
      <c r="AB265" s="1"/>
      <c r="AC265" s="57" t="s">
        <v>1343</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35" customFormat="1" x14ac:dyDescent="0.25">
      <c r="A266" s="35" t="s">
        <v>983</v>
      </c>
      <c r="B266" s="39" t="s">
        <v>984</v>
      </c>
      <c r="C266" s="13" t="s">
        <v>1650</v>
      </c>
      <c r="D266" s="35">
        <v>1</v>
      </c>
      <c r="E266" s="35" t="s">
        <v>167</v>
      </c>
      <c r="I266" s="35" t="s">
        <v>167</v>
      </c>
      <c r="J266" s="35" t="s">
        <v>985</v>
      </c>
      <c r="K266" s="35" t="s">
        <v>173</v>
      </c>
      <c r="L266" s="35">
        <v>0</v>
      </c>
      <c r="O266" s="35">
        <v>1</v>
      </c>
      <c r="P266" s="35" t="s">
        <v>388</v>
      </c>
      <c r="Q266" s="1" t="s">
        <v>1595</v>
      </c>
      <c r="R266" s="1"/>
      <c r="T266" s="35">
        <v>15</v>
      </c>
      <c r="V266" s="35">
        <v>12</v>
      </c>
      <c r="W266" s="1">
        <v>15</v>
      </c>
      <c r="X266" s="1">
        <v>15</v>
      </c>
      <c r="Y266" s="1" t="s">
        <v>2258</v>
      </c>
      <c r="Z266" s="35">
        <v>7</v>
      </c>
      <c r="AA266" s="13" t="b">
        <v>1</v>
      </c>
      <c r="AB266" s="1"/>
      <c r="AC266" s="57" t="s">
        <v>1397</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68" customFormat="1" x14ac:dyDescent="0.25">
      <c r="A267" s="68" t="s">
        <v>986</v>
      </c>
      <c r="B267" s="68" t="s">
        <v>987</v>
      </c>
      <c r="C267" s="1" t="s">
        <v>1650</v>
      </c>
      <c r="D267" s="68">
        <v>0</v>
      </c>
      <c r="H267" s="68" t="s">
        <v>988</v>
      </c>
      <c r="I267" s="68" t="s">
        <v>989</v>
      </c>
      <c r="J267" s="68" t="s">
        <v>988</v>
      </c>
      <c r="K267" s="68" t="s">
        <v>989</v>
      </c>
      <c r="L267" s="68">
        <v>1</v>
      </c>
      <c r="M267" s="68" t="s">
        <v>990</v>
      </c>
      <c r="O267" s="68">
        <v>1</v>
      </c>
      <c r="P267" s="68" t="s">
        <v>991</v>
      </c>
      <c r="Q267" s="1"/>
      <c r="R267" s="1" t="s">
        <v>992</v>
      </c>
      <c r="T267" s="68">
        <v>20</v>
      </c>
      <c r="W267" s="1">
        <v>20</v>
      </c>
      <c r="X267" s="1">
        <v>21</v>
      </c>
      <c r="Y267" s="1" t="s">
        <v>2259</v>
      </c>
      <c r="Z267" s="68">
        <v>13</v>
      </c>
      <c r="AA267" s="13" t="b">
        <v>1</v>
      </c>
      <c r="AB267" s="17" t="s">
        <v>1889</v>
      </c>
      <c r="AC267" s="57" t="s">
        <v>1236</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row>
    <row r="268" spans="1:331" s="3" customFormat="1" x14ac:dyDescent="0.25">
      <c r="A268" s="3" t="s">
        <v>993</v>
      </c>
      <c r="B268" s="5" t="s">
        <v>994</v>
      </c>
      <c r="C268" s="13" t="s">
        <v>1650</v>
      </c>
      <c r="D268" s="3">
        <v>0</v>
      </c>
      <c r="H268" s="3" t="s">
        <v>995</v>
      </c>
      <c r="I268" s="3" t="s">
        <v>995</v>
      </c>
      <c r="J268" s="3" t="s">
        <v>392</v>
      </c>
      <c r="K268" s="3" t="s">
        <v>995</v>
      </c>
      <c r="L268" s="3">
        <v>1</v>
      </c>
      <c r="M268" s="3" t="s">
        <v>996</v>
      </c>
      <c r="O268" s="3">
        <v>1</v>
      </c>
      <c r="Q268" s="1" t="s">
        <v>603</v>
      </c>
      <c r="R268" s="1"/>
      <c r="T268" s="3">
        <v>8</v>
      </c>
      <c r="W268" s="1">
        <v>8</v>
      </c>
      <c r="X268" s="1">
        <v>11</v>
      </c>
      <c r="Y268" s="1" t="s">
        <v>2260</v>
      </c>
      <c r="Z268" s="3">
        <v>1</v>
      </c>
      <c r="AA268" s="13" t="b">
        <v>1</v>
      </c>
      <c r="AB268" s="1"/>
      <c r="AC268" s="57" t="s">
        <v>1237</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row>
    <row r="269" spans="1:331" s="68" customFormat="1" x14ac:dyDescent="0.25">
      <c r="A269" s="68" t="s">
        <v>997</v>
      </c>
      <c r="B269" s="70" t="s">
        <v>998</v>
      </c>
      <c r="C269" s="13" t="s">
        <v>1651</v>
      </c>
      <c r="D269" s="68">
        <v>1</v>
      </c>
      <c r="E269" s="68" t="s">
        <v>999</v>
      </c>
      <c r="H269" s="68" t="s">
        <v>1000</v>
      </c>
      <c r="I269" s="68" t="s">
        <v>1001</v>
      </c>
      <c r="J269" s="71">
        <v>42999</v>
      </c>
      <c r="K269" s="71" t="s">
        <v>1000</v>
      </c>
      <c r="L269" s="68">
        <v>0</v>
      </c>
      <c r="O269" s="68">
        <v>1</v>
      </c>
      <c r="P269" s="68" t="s">
        <v>1002</v>
      </c>
      <c r="Q269" s="1"/>
      <c r="R269" s="1" t="s">
        <v>1003</v>
      </c>
      <c r="T269" s="68">
        <v>12</v>
      </c>
      <c r="V269" s="68">
        <v>19</v>
      </c>
      <c r="W269" s="1">
        <v>12</v>
      </c>
      <c r="X269" s="1">
        <v>22</v>
      </c>
      <c r="Y269" s="1" t="s">
        <v>2261</v>
      </c>
      <c r="Z269" s="68">
        <v>13</v>
      </c>
      <c r="AA269" s="13" t="b">
        <v>1</v>
      </c>
      <c r="AB269" s="1" t="s">
        <v>1897</v>
      </c>
      <c r="AC269" s="57" t="s">
        <v>1436</v>
      </c>
      <c r="AD269" s="1"/>
      <c r="AE269" t="s">
        <v>1887</v>
      </c>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row>
    <row r="270" spans="1:331" s="25" customFormat="1" x14ac:dyDescent="0.25">
      <c r="A270" s="25" t="s">
        <v>1004</v>
      </c>
      <c r="B270" s="29" t="s">
        <v>1005</v>
      </c>
      <c r="C270" s="13" t="s">
        <v>1651</v>
      </c>
      <c r="D270" s="25">
        <v>0</v>
      </c>
      <c r="H270" s="25" t="s">
        <v>1006</v>
      </c>
      <c r="I270" s="25" t="s">
        <v>1007</v>
      </c>
      <c r="J270" s="25" t="s">
        <v>1008</v>
      </c>
      <c r="K270" s="25" t="s">
        <v>1706</v>
      </c>
      <c r="L270" s="25">
        <v>0</v>
      </c>
      <c r="O270" s="25">
        <v>0</v>
      </c>
      <c r="Q270" s="1" t="s">
        <v>1596</v>
      </c>
      <c r="R270" s="1"/>
      <c r="T270" s="25">
        <v>8</v>
      </c>
      <c r="V270" s="25">
        <v>12</v>
      </c>
      <c r="W270" s="1">
        <v>8</v>
      </c>
      <c r="X270" s="1">
        <v>19</v>
      </c>
      <c r="Y270" s="1" t="s">
        <v>2262</v>
      </c>
      <c r="Z270" s="25">
        <v>5</v>
      </c>
      <c r="AA270" s="13" t="b">
        <v>1</v>
      </c>
      <c r="AB270" s="1" t="s">
        <v>1898</v>
      </c>
      <c r="AC270" s="57" t="s">
        <v>1344</v>
      </c>
      <c r="AD270" s="1"/>
      <c r="AE270" s="57"/>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row>
    <row r="271" spans="1:331" s="40" customFormat="1" x14ac:dyDescent="0.25">
      <c r="A271" s="40" t="s">
        <v>1009</v>
      </c>
      <c r="B271" s="44" t="s">
        <v>1010</v>
      </c>
      <c r="C271" s="13" t="s">
        <v>1651</v>
      </c>
      <c r="D271" s="40">
        <v>0</v>
      </c>
      <c r="H271" s="40" t="s">
        <v>1011</v>
      </c>
      <c r="I271" s="40" t="s">
        <v>1012</v>
      </c>
      <c r="J271" s="40" t="s">
        <v>1011</v>
      </c>
      <c r="K271" s="40" t="s">
        <v>1707</v>
      </c>
      <c r="L271" s="40">
        <v>0</v>
      </c>
      <c r="O271" s="40">
        <v>1</v>
      </c>
      <c r="P271" s="77">
        <v>42914</v>
      </c>
      <c r="Q271" s="1" t="s">
        <v>1597</v>
      </c>
      <c r="R271" s="1"/>
      <c r="S271" s="40">
        <v>6</v>
      </c>
      <c r="U271" s="40">
        <v>16</v>
      </c>
      <c r="W271" s="1">
        <v>6</v>
      </c>
      <c r="X271" s="1">
        <v>20</v>
      </c>
      <c r="Y271" s="1" t="s">
        <v>2263</v>
      </c>
      <c r="Z271" s="40">
        <v>8</v>
      </c>
      <c r="AA271" s="13" t="b">
        <v>1</v>
      </c>
      <c r="AB271" s="1" t="s">
        <v>1897</v>
      </c>
      <c r="AC271" s="57" t="s">
        <v>1925</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25" customFormat="1" x14ac:dyDescent="0.25">
      <c r="A272" s="25" t="s">
        <v>1013</v>
      </c>
      <c r="B272" s="29" t="s">
        <v>1014</v>
      </c>
      <c r="C272" s="13" t="s">
        <v>1651</v>
      </c>
      <c r="D272" s="25">
        <v>0</v>
      </c>
      <c r="H272" s="25" t="s">
        <v>1015</v>
      </c>
      <c r="I272" s="25" t="s">
        <v>1016</v>
      </c>
      <c r="J272" s="25" t="s">
        <v>1017</v>
      </c>
      <c r="K272" s="25" t="s">
        <v>1015</v>
      </c>
      <c r="L272" s="25">
        <v>0</v>
      </c>
      <c r="O272" s="25">
        <v>0</v>
      </c>
      <c r="Q272" s="1" t="s">
        <v>1598</v>
      </c>
      <c r="R272" s="1"/>
      <c r="S272" s="25">
        <v>14</v>
      </c>
      <c r="U272" s="25">
        <v>11</v>
      </c>
      <c r="W272" s="1">
        <v>14</v>
      </c>
      <c r="X272" s="1">
        <v>16</v>
      </c>
      <c r="Y272" s="1" t="s">
        <v>2264</v>
      </c>
      <c r="Z272" s="25">
        <v>5</v>
      </c>
      <c r="AA272" s="13" t="b">
        <v>1</v>
      </c>
      <c r="AB272" s="1" t="s">
        <v>1898</v>
      </c>
      <c r="AC272" s="57" t="s">
        <v>1345</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40" customFormat="1" x14ac:dyDescent="0.25">
      <c r="A273" s="40" t="s">
        <v>1018</v>
      </c>
      <c r="B273" s="44" t="s">
        <v>1019</v>
      </c>
      <c r="C273" s="13" t="s">
        <v>1651</v>
      </c>
      <c r="D273" s="40">
        <v>0</v>
      </c>
      <c r="H273" s="40" t="s">
        <v>1020</v>
      </c>
      <c r="I273" s="40" t="s">
        <v>1021</v>
      </c>
      <c r="J273" s="40" t="s">
        <v>1022</v>
      </c>
      <c r="K273" s="40" t="s">
        <v>1708</v>
      </c>
      <c r="L273" s="40">
        <v>0</v>
      </c>
      <c r="O273" s="40">
        <v>1</v>
      </c>
      <c r="P273" s="40" t="s">
        <v>1023</v>
      </c>
      <c r="Q273" s="1" t="s">
        <v>1599</v>
      </c>
      <c r="R273" s="1"/>
      <c r="S273" s="40">
        <v>15</v>
      </c>
      <c r="U273" s="40">
        <v>14</v>
      </c>
      <c r="W273" s="1">
        <v>15</v>
      </c>
      <c r="X273" s="1">
        <v>16</v>
      </c>
      <c r="Y273" s="1" t="s">
        <v>2265</v>
      </c>
      <c r="Z273" s="40">
        <v>8</v>
      </c>
      <c r="AA273" s="13" t="b">
        <v>1</v>
      </c>
      <c r="AB273" s="1"/>
      <c r="AC273" s="57" t="s">
        <v>1437</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1024</v>
      </c>
      <c r="B274" s="44" t="s">
        <v>1025</v>
      </c>
      <c r="C274" s="13" t="s">
        <v>1651</v>
      </c>
      <c r="D274" s="40">
        <v>0</v>
      </c>
      <c r="H274" s="40" t="s">
        <v>1026</v>
      </c>
      <c r="I274" s="40" t="s">
        <v>1027</v>
      </c>
      <c r="J274" s="40" t="s">
        <v>1028</v>
      </c>
      <c r="K274" s="40" t="s">
        <v>1709</v>
      </c>
      <c r="L274" s="40">
        <v>0</v>
      </c>
      <c r="O274" s="40">
        <v>1</v>
      </c>
      <c r="P274" s="40" t="s">
        <v>1029</v>
      </c>
      <c r="Q274" s="1" t="s">
        <v>1184</v>
      </c>
      <c r="R274" s="1"/>
      <c r="S274" s="40">
        <v>12</v>
      </c>
      <c r="U274" s="40">
        <v>17</v>
      </c>
      <c r="W274" s="1">
        <v>12</v>
      </c>
      <c r="X274" s="1">
        <v>20</v>
      </c>
      <c r="Y274" s="1" t="s">
        <v>2266</v>
      </c>
      <c r="Z274" s="40">
        <v>8</v>
      </c>
      <c r="AA274" s="13" t="b">
        <v>1</v>
      </c>
      <c r="AB274" s="1" t="s">
        <v>1897</v>
      </c>
      <c r="AC274" s="57" t="s">
        <v>1382</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68" customFormat="1" x14ac:dyDescent="0.25">
      <c r="A275" s="68" t="s">
        <v>1030</v>
      </c>
      <c r="B275" s="70" t="s">
        <v>1031</v>
      </c>
      <c r="C275" s="13" t="s">
        <v>1651</v>
      </c>
      <c r="D275" s="68">
        <v>1</v>
      </c>
      <c r="E275" s="68" t="s">
        <v>1032</v>
      </c>
      <c r="H275" s="68" t="s">
        <v>1033</v>
      </c>
      <c r="I275" s="68" t="s">
        <v>1032</v>
      </c>
      <c r="J275" s="68" t="s">
        <v>1033</v>
      </c>
      <c r="K275" s="68" t="s">
        <v>1033</v>
      </c>
      <c r="L275" s="68">
        <v>0</v>
      </c>
      <c r="O275" s="68">
        <v>1</v>
      </c>
      <c r="P275" s="68" t="s">
        <v>1034</v>
      </c>
      <c r="Q275" s="1"/>
      <c r="R275" s="1" t="s">
        <v>1035</v>
      </c>
      <c r="T275" s="68">
        <v>15</v>
      </c>
      <c r="V275" s="68">
        <v>15</v>
      </c>
      <c r="W275" s="1">
        <v>15</v>
      </c>
      <c r="X275" s="1">
        <v>16</v>
      </c>
      <c r="Y275" s="1" t="s">
        <v>2267</v>
      </c>
      <c r="Z275" s="68">
        <v>13</v>
      </c>
      <c r="AA275" s="13" t="b">
        <v>1</v>
      </c>
      <c r="AB275" s="1"/>
      <c r="AC275" s="57" t="s">
        <v>1430</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row>
    <row r="276" spans="1:331" s="25" customFormat="1" x14ac:dyDescent="0.25">
      <c r="A276" s="25" t="s">
        <v>1036</v>
      </c>
      <c r="B276" s="29" t="s">
        <v>1037</v>
      </c>
      <c r="C276" s="13" t="s">
        <v>1651</v>
      </c>
      <c r="D276" s="25">
        <v>0</v>
      </c>
      <c r="H276" s="25" t="s">
        <v>1038</v>
      </c>
      <c r="I276" s="25" t="s">
        <v>1039</v>
      </c>
      <c r="J276" s="25" t="s">
        <v>1039</v>
      </c>
      <c r="K276" s="25" t="s">
        <v>1039</v>
      </c>
      <c r="L276" s="25">
        <v>0</v>
      </c>
      <c r="O276" s="25">
        <v>0</v>
      </c>
      <c r="Q276" s="1" t="s">
        <v>1600</v>
      </c>
      <c r="R276" s="1"/>
      <c r="S276" s="25">
        <v>8</v>
      </c>
      <c r="U276" s="25">
        <v>9</v>
      </c>
      <c r="W276" s="1">
        <v>8</v>
      </c>
      <c r="X276" s="1">
        <v>11</v>
      </c>
      <c r="Y276" s="1" t="s">
        <v>2268</v>
      </c>
      <c r="Z276" s="25">
        <v>5</v>
      </c>
      <c r="AA276" s="13" t="b">
        <v>1</v>
      </c>
      <c r="AB276" s="1"/>
      <c r="AC276" s="57" t="s">
        <v>1346</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row>
    <row r="277" spans="1:331" s="25" customFormat="1" x14ac:dyDescent="0.25">
      <c r="A277" s="25" t="s">
        <v>1040</v>
      </c>
      <c r="B277" s="29" t="s">
        <v>1041</v>
      </c>
      <c r="C277" s="13" t="s">
        <v>1651</v>
      </c>
      <c r="D277" s="25">
        <v>0</v>
      </c>
      <c r="H277" s="25" t="s">
        <v>1042</v>
      </c>
      <c r="I277" s="25" t="s">
        <v>1043</v>
      </c>
      <c r="J277" s="25" t="s">
        <v>1044</v>
      </c>
      <c r="K277" s="25" t="s">
        <v>1042</v>
      </c>
      <c r="L277" s="25">
        <v>0</v>
      </c>
      <c r="O277" s="25">
        <v>0</v>
      </c>
      <c r="Q277" s="1" t="s">
        <v>1601</v>
      </c>
      <c r="R277" s="1"/>
      <c r="T277" s="25">
        <v>9</v>
      </c>
      <c r="V277" s="25">
        <v>8</v>
      </c>
      <c r="W277" s="1">
        <v>9</v>
      </c>
      <c r="X277" s="1">
        <v>14</v>
      </c>
      <c r="Y277" s="1" t="s">
        <v>2269</v>
      </c>
      <c r="Z277" s="25">
        <v>5</v>
      </c>
      <c r="AA277" s="13" t="b">
        <v>1</v>
      </c>
      <c r="AB277" s="1"/>
      <c r="AC277" s="57" t="s">
        <v>1347</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30" customFormat="1" x14ac:dyDescent="0.25">
      <c r="A278" s="30" t="s">
        <v>1045</v>
      </c>
      <c r="B278" s="34" t="s">
        <v>1046</v>
      </c>
      <c r="C278" s="13" t="s">
        <v>1651</v>
      </c>
      <c r="D278" s="30">
        <v>1</v>
      </c>
      <c r="E278" s="30" t="s">
        <v>1047</v>
      </c>
      <c r="H278" s="30" t="s">
        <v>1048</v>
      </c>
      <c r="I278" s="30" t="s">
        <v>1049</v>
      </c>
      <c r="J278" s="30" t="s">
        <v>1048</v>
      </c>
      <c r="K278" s="30" t="s">
        <v>1047</v>
      </c>
      <c r="L278" s="30">
        <v>0</v>
      </c>
      <c r="O278" s="30">
        <v>0</v>
      </c>
      <c r="Q278" s="1" t="s">
        <v>1602</v>
      </c>
      <c r="R278" s="1"/>
      <c r="S278" s="30">
        <v>8</v>
      </c>
      <c r="U278" s="30">
        <v>7</v>
      </c>
      <c r="W278" s="1">
        <v>8</v>
      </c>
      <c r="X278" s="1">
        <v>9</v>
      </c>
      <c r="Y278" s="1" t="s">
        <v>2270</v>
      </c>
      <c r="Z278" s="30">
        <v>6</v>
      </c>
      <c r="AA278" s="13" t="b">
        <v>1</v>
      </c>
      <c r="AB278" s="1"/>
      <c r="AC278" s="57" t="s">
        <v>1389</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5" customFormat="1" x14ac:dyDescent="0.25">
      <c r="A279" s="35" t="s">
        <v>1050</v>
      </c>
      <c r="B279" s="39" t="s">
        <v>1051</v>
      </c>
      <c r="C279" s="13" t="s">
        <v>1651</v>
      </c>
      <c r="D279" s="35">
        <v>1</v>
      </c>
      <c r="E279" s="35" t="s">
        <v>1052</v>
      </c>
      <c r="H279" s="35" t="s">
        <v>1053</v>
      </c>
      <c r="I279" s="35" t="s">
        <v>1054</v>
      </c>
      <c r="J279" s="35" t="s">
        <v>1055</v>
      </c>
      <c r="K279" s="35" t="s">
        <v>1052</v>
      </c>
      <c r="L279" s="35">
        <v>0</v>
      </c>
      <c r="O279" s="35">
        <v>1</v>
      </c>
      <c r="P279" s="35" t="s">
        <v>1056</v>
      </c>
      <c r="Q279" s="1" t="s">
        <v>1603</v>
      </c>
      <c r="R279" s="1"/>
      <c r="S279" s="35">
        <v>12</v>
      </c>
      <c r="V279" s="35">
        <v>10</v>
      </c>
      <c r="W279" s="1">
        <v>12</v>
      </c>
      <c r="X279" s="1">
        <v>15</v>
      </c>
      <c r="Y279" s="1" t="s">
        <v>2271</v>
      </c>
      <c r="Z279" s="35">
        <v>7</v>
      </c>
      <c r="AA279" s="13" t="b">
        <v>1</v>
      </c>
      <c r="AB279" s="1" t="s">
        <v>1892</v>
      </c>
      <c r="AC279" s="57" t="s">
        <v>1438</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49" customFormat="1" x14ac:dyDescent="0.25">
      <c r="A280" s="49" t="s">
        <v>1057</v>
      </c>
      <c r="B280" s="51" t="s">
        <v>1058</v>
      </c>
      <c r="C280" s="13" t="s">
        <v>1651</v>
      </c>
      <c r="D280" s="49">
        <v>0</v>
      </c>
      <c r="H280" s="49" t="s">
        <v>1059</v>
      </c>
      <c r="I280" s="49" t="s">
        <v>1060</v>
      </c>
      <c r="J280" s="49" t="s">
        <v>1060</v>
      </c>
      <c r="K280" s="49" t="s">
        <v>1060</v>
      </c>
      <c r="L280" s="49">
        <v>0</v>
      </c>
      <c r="O280" s="49">
        <v>1</v>
      </c>
      <c r="Q280" s="1"/>
      <c r="R280" s="1" t="s">
        <v>1032</v>
      </c>
      <c r="S280" s="49">
        <v>7</v>
      </c>
      <c r="U280" s="49">
        <v>8</v>
      </c>
      <c r="W280" s="1">
        <v>7</v>
      </c>
      <c r="X280" s="1">
        <v>10</v>
      </c>
      <c r="Y280" s="1" t="s">
        <v>2272</v>
      </c>
      <c r="Z280" s="49">
        <v>9</v>
      </c>
      <c r="AA280" s="13" t="b">
        <v>1</v>
      </c>
      <c r="AB280" s="1"/>
      <c r="AC280" s="57" t="s">
        <v>1439</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64" customFormat="1" x14ac:dyDescent="0.25">
      <c r="A281" s="64" t="s">
        <v>1061</v>
      </c>
      <c r="B281" s="66" t="s">
        <v>1062</v>
      </c>
      <c r="C281" s="13" t="s">
        <v>1651</v>
      </c>
      <c r="D281" s="64">
        <v>1</v>
      </c>
      <c r="E281" s="64" t="s">
        <v>1063</v>
      </c>
      <c r="H281" s="64" t="s">
        <v>1064</v>
      </c>
      <c r="I281" s="64" t="s">
        <v>1065</v>
      </c>
      <c r="J281" s="64" t="s">
        <v>1066</v>
      </c>
      <c r="K281" s="64" t="s">
        <v>1710</v>
      </c>
      <c r="L281" s="64">
        <v>0</v>
      </c>
      <c r="O281" s="64">
        <v>1</v>
      </c>
      <c r="Q281" s="1"/>
      <c r="R281" s="1" t="s">
        <v>1067</v>
      </c>
      <c r="S281" s="64">
        <v>10</v>
      </c>
      <c r="T281" s="64">
        <v>10</v>
      </c>
      <c r="V281" s="64">
        <v>15</v>
      </c>
      <c r="W281" s="1">
        <v>10</v>
      </c>
      <c r="X281" s="1">
        <v>20</v>
      </c>
      <c r="Y281" s="1" t="s">
        <v>2273</v>
      </c>
      <c r="Z281" s="64">
        <v>12</v>
      </c>
      <c r="AA281" s="13" t="b">
        <v>1</v>
      </c>
      <c r="AB281" s="1" t="s">
        <v>1897</v>
      </c>
      <c r="AC281" s="57" t="s">
        <v>1396</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row>
    <row r="282" spans="1:331" s="49" customFormat="1" x14ac:dyDescent="0.25">
      <c r="A282" s="49" t="s">
        <v>1068</v>
      </c>
      <c r="B282" s="51" t="s">
        <v>1069</v>
      </c>
      <c r="C282" s="13" t="s">
        <v>1651</v>
      </c>
      <c r="D282" s="49">
        <v>0</v>
      </c>
      <c r="H282" s="49" t="s">
        <v>1047</v>
      </c>
      <c r="I282" s="49" t="s">
        <v>660</v>
      </c>
      <c r="J282" s="49" t="s">
        <v>1070</v>
      </c>
      <c r="K282" s="49" t="s">
        <v>1047</v>
      </c>
      <c r="L282" s="49">
        <v>0</v>
      </c>
      <c r="O282" s="49">
        <v>1</v>
      </c>
      <c r="Q282" s="1"/>
      <c r="R282" s="1" t="s">
        <v>1070</v>
      </c>
      <c r="S282" s="49">
        <v>14</v>
      </c>
      <c r="U282" s="49">
        <v>13</v>
      </c>
      <c r="W282" s="1">
        <v>14</v>
      </c>
      <c r="X282" s="1">
        <v>16</v>
      </c>
      <c r="Y282" s="1" t="s">
        <v>2274</v>
      </c>
      <c r="Z282" s="49">
        <v>9</v>
      </c>
      <c r="AA282" s="13" t="b">
        <v>1</v>
      </c>
      <c r="AB282" s="1"/>
      <c r="AC282" s="57" t="s">
        <v>1440</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row>
    <row r="283" spans="1:331" s="64" customFormat="1" x14ac:dyDescent="0.25">
      <c r="A283" s="64" t="s">
        <v>1071</v>
      </c>
      <c r="B283" s="66" t="s">
        <v>1072</v>
      </c>
      <c r="C283" s="13" t="s">
        <v>1651</v>
      </c>
      <c r="D283" s="64">
        <v>1</v>
      </c>
      <c r="E283" s="64" t="s">
        <v>1073</v>
      </c>
      <c r="H283" s="64" t="s">
        <v>1074</v>
      </c>
      <c r="I283" s="64" t="s">
        <v>1073</v>
      </c>
      <c r="J283" s="64" t="s">
        <v>1074</v>
      </c>
      <c r="K283" s="64" t="s">
        <v>1711</v>
      </c>
      <c r="L283" s="64">
        <v>0</v>
      </c>
      <c r="O283" s="64">
        <v>1</v>
      </c>
      <c r="Q283" s="1"/>
      <c r="R283" s="13" t="s">
        <v>1795</v>
      </c>
      <c r="S283" s="64">
        <v>16</v>
      </c>
      <c r="U283" s="64">
        <v>16</v>
      </c>
      <c r="W283" s="1">
        <v>16</v>
      </c>
      <c r="X283" s="1">
        <v>16</v>
      </c>
      <c r="Y283" s="1" t="s">
        <v>2275</v>
      </c>
      <c r="Z283" s="64">
        <v>12</v>
      </c>
      <c r="AA283" s="13" t="b">
        <v>1</v>
      </c>
      <c r="AB283" s="1"/>
      <c r="AC283" s="57" t="s">
        <v>1638</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row>
    <row r="284" spans="1:331" s="45" customFormat="1" x14ac:dyDescent="0.25">
      <c r="A284" s="45" t="s">
        <v>1075</v>
      </c>
      <c r="C284" s="1" t="s">
        <v>1651</v>
      </c>
      <c r="D284" s="45">
        <v>0</v>
      </c>
      <c r="H284" s="45" t="s">
        <v>1076</v>
      </c>
      <c r="I284" s="45" t="s">
        <v>1076</v>
      </c>
      <c r="J284" s="45" t="s">
        <v>1077</v>
      </c>
      <c r="K284" s="45" t="s">
        <v>1076</v>
      </c>
      <c r="L284" s="45">
        <v>0</v>
      </c>
      <c r="O284" s="45">
        <v>1</v>
      </c>
      <c r="P284" s="45" t="s">
        <v>1078</v>
      </c>
      <c r="Q284" s="1" t="s">
        <v>1604</v>
      </c>
      <c r="R284" s="1"/>
      <c r="S284" s="45">
        <v>7</v>
      </c>
      <c r="W284" s="1"/>
      <c r="X284" s="1"/>
      <c r="Y284" s="1"/>
      <c r="Z284" s="45">
        <v>-1</v>
      </c>
      <c r="AA284" s="13" t="b">
        <v>0</v>
      </c>
      <c r="AB284" s="1"/>
      <c r="AC284" s="57" t="s">
        <v>1300</v>
      </c>
      <c r="AD284" s="1"/>
      <c r="AE284" t="s">
        <v>1888</v>
      </c>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row>
    <row r="285" spans="1:331" s="25" customFormat="1" x14ac:dyDescent="0.25">
      <c r="A285" s="25" t="s">
        <v>1079</v>
      </c>
      <c r="B285" s="29" t="s">
        <v>1080</v>
      </c>
      <c r="C285" s="13" t="s">
        <v>1651</v>
      </c>
      <c r="D285" s="25">
        <v>0</v>
      </c>
      <c r="H285" s="25" t="s">
        <v>1081</v>
      </c>
      <c r="I285" s="25" t="s">
        <v>1082</v>
      </c>
      <c r="J285" s="25" t="s">
        <v>1081</v>
      </c>
      <c r="K285" s="25" t="s">
        <v>1081</v>
      </c>
      <c r="L285" s="25">
        <v>0</v>
      </c>
      <c r="O285" s="25">
        <v>0</v>
      </c>
      <c r="Q285" s="1" t="s">
        <v>1605</v>
      </c>
      <c r="R285" s="1"/>
      <c r="S285" s="25">
        <v>10</v>
      </c>
      <c r="U285" s="25">
        <v>8</v>
      </c>
      <c r="W285" s="1">
        <v>10</v>
      </c>
      <c r="X285" s="1">
        <v>12</v>
      </c>
      <c r="Y285" s="1" t="s">
        <v>2276</v>
      </c>
      <c r="Z285" s="25">
        <v>5</v>
      </c>
      <c r="AA285" s="13" t="b">
        <v>1</v>
      </c>
      <c r="AB285" s="1"/>
      <c r="AC285" s="57" t="s">
        <v>1350</v>
      </c>
      <c r="AD285" s="1"/>
      <c r="AE285" s="57"/>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1083</v>
      </c>
      <c r="B286" s="29" t="s">
        <v>1084</v>
      </c>
      <c r="C286" s="13" t="s">
        <v>1651</v>
      </c>
      <c r="D286" s="25">
        <v>0</v>
      </c>
      <c r="H286" s="25" t="s">
        <v>1085</v>
      </c>
      <c r="I286" s="25" t="s">
        <v>1086</v>
      </c>
      <c r="J286" s="25" t="s">
        <v>1085</v>
      </c>
      <c r="K286" s="25" t="s">
        <v>1085</v>
      </c>
      <c r="L286" s="25">
        <v>0</v>
      </c>
      <c r="O286" s="25">
        <v>0</v>
      </c>
      <c r="Q286" s="1" t="s">
        <v>1606</v>
      </c>
      <c r="R286" s="1"/>
      <c r="T286" s="25">
        <v>7</v>
      </c>
      <c r="V286" s="25">
        <v>6</v>
      </c>
      <c r="W286" s="1">
        <v>7</v>
      </c>
      <c r="X286" s="1">
        <v>13</v>
      </c>
      <c r="Y286" s="1" t="s">
        <v>2277</v>
      </c>
      <c r="Z286" s="25">
        <v>5</v>
      </c>
      <c r="AA286" s="13" t="b">
        <v>1</v>
      </c>
      <c r="AB286" s="1"/>
      <c r="AC286" s="57" t="s">
        <v>1351</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40" customFormat="1" x14ac:dyDescent="0.25">
      <c r="A287" s="40" t="s">
        <v>1087</v>
      </c>
      <c r="B287" s="44" t="s">
        <v>1088</v>
      </c>
      <c r="C287" s="13" t="s">
        <v>1651</v>
      </c>
      <c r="D287" s="40">
        <v>0</v>
      </c>
      <c r="H287" s="40" t="s">
        <v>1089</v>
      </c>
      <c r="I287" s="40" t="s">
        <v>1090</v>
      </c>
      <c r="J287" s="40" t="s">
        <v>1091</v>
      </c>
      <c r="K287" s="40" t="s">
        <v>1089</v>
      </c>
      <c r="L287" s="40">
        <v>0</v>
      </c>
      <c r="O287" s="40">
        <v>1</v>
      </c>
      <c r="P287" s="40" t="s">
        <v>1092</v>
      </c>
      <c r="Q287" s="1" t="s">
        <v>1607</v>
      </c>
      <c r="R287" s="1"/>
      <c r="T287" s="40">
        <v>8</v>
      </c>
      <c r="V287" s="40">
        <v>10</v>
      </c>
      <c r="W287" s="1">
        <v>8</v>
      </c>
      <c r="X287" s="1">
        <v>17</v>
      </c>
      <c r="Y287" s="1" t="s">
        <v>2278</v>
      </c>
      <c r="Z287" s="40">
        <v>8</v>
      </c>
      <c r="AA287" s="13" t="b">
        <v>1</v>
      </c>
      <c r="AB287" s="1"/>
      <c r="AC287" s="57" t="s">
        <v>1441</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1093</v>
      </c>
      <c r="B288" s="44" t="s">
        <v>1094</v>
      </c>
      <c r="C288" s="13" t="s">
        <v>1651</v>
      </c>
      <c r="D288" s="40">
        <v>0</v>
      </c>
      <c r="H288" s="40" t="s">
        <v>552</v>
      </c>
      <c r="I288" s="40" t="s">
        <v>1095</v>
      </c>
      <c r="J288" s="40" t="s">
        <v>1096</v>
      </c>
      <c r="K288" s="40" t="s">
        <v>797</v>
      </c>
      <c r="L288" s="40">
        <v>0</v>
      </c>
      <c r="O288" s="40">
        <v>1</v>
      </c>
      <c r="P288" s="40" t="s">
        <v>147</v>
      </c>
      <c r="Q288" s="1" t="s">
        <v>1608</v>
      </c>
      <c r="R288" s="1"/>
      <c r="T288" s="40">
        <v>10</v>
      </c>
      <c r="V288" s="40">
        <v>10</v>
      </c>
      <c r="W288" s="1">
        <v>10</v>
      </c>
      <c r="X288" s="1">
        <v>19</v>
      </c>
      <c r="Y288" s="1" t="s">
        <v>2279</v>
      </c>
      <c r="Z288" s="40">
        <v>8</v>
      </c>
      <c r="AA288" s="13" t="b">
        <v>1</v>
      </c>
      <c r="AB288" s="1"/>
      <c r="AC288" s="57" t="s">
        <v>1353</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59" customFormat="1" x14ac:dyDescent="0.25">
      <c r="A289" s="59" t="s">
        <v>1097</v>
      </c>
      <c r="B289" s="61" t="s">
        <v>1098</v>
      </c>
      <c r="C289" s="13" t="s">
        <v>1651</v>
      </c>
      <c r="D289" s="59">
        <v>0</v>
      </c>
      <c r="H289" s="59" t="s">
        <v>847</v>
      </c>
      <c r="I289" s="59" t="s">
        <v>598</v>
      </c>
      <c r="J289" s="59" t="s">
        <v>847</v>
      </c>
      <c r="K289" s="59" t="s">
        <v>598</v>
      </c>
      <c r="L289" s="59">
        <v>1</v>
      </c>
      <c r="M289" s="59" t="s">
        <v>1099</v>
      </c>
      <c r="O289" s="59">
        <v>1</v>
      </c>
      <c r="Q289" s="1"/>
      <c r="R289" s="1" t="s">
        <v>1100</v>
      </c>
      <c r="T289" s="59">
        <v>19</v>
      </c>
      <c r="V289" s="59">
        <v>18</v>
      </c>
      <c r="W289" s="1">
        <v>19</v>
      </c>
      <c r="X289" s="1">
        <v>15</v>
      </c>
      <c r="Y289" s="1" t="s">
        <v>2280</v>
      </c>
      <c r="Z289" s="59">
        <v>11</v>
      </c>
      <c r="AA289" s="13" t="b">
        <v>1</v>
      </c>
      <c r="AB289" s="1"/>
      <c r="AC289" s="57" t="s">
        <v>1374</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49" customFormat="1" x14ac:dyDescent="0.25">
      <c r="A290" s="49" t="s">
        <v>1101</v>
      </c>
      <c r="B290" s="51" t="s">
        <v>1102</v>
      </c>
      <c r="C290" s="13" t="s">
        <v>1651</v>
      </c>
      <c r="D290" s="49">
        <v>0</v>
      </c>
      <c r="H290" s="49" t="s">
        <v>1103</v>
      </c>
      <c r="I290" s="49" t="s">
        <v>1104</v>
      </c>
      <c r="J290" s="49" t="s">
        <v>1103</v>
      </c>
      <c r="K290" s="49" t="s">
        <v>1104</v>
      </c>
      <c r="L290" s="49">
        <v>0</v>
      </c>
      <c r="O290" s="49">
        <v>1</v>
      </c>
      <c r="Q290" s="1"/>
      <c r="R290" s="1" t="s">
        <v>1105</v>
      </c>
      <c r="S290" s="49">
        <v>24</v>
      </c>
      <c r="U290" s="49">
        <v>26</v>
      </c>
      <c r="W290" s="1">
        <v>24</v>
      </c>
      <c r="X290" s="1">
        <v>21</v>
      </c>
      <c r="Y290" s="1" t="s">
        <v>2281</v>
      </c>
      <c r="Z290" s="49">
        <v>9</v>
      </c>
      <c r="AA290" s="13" t="b">
        <v>1</v>
      </c>
      <c r="AB290" s="1"/>
      <c r="AC290" s="57" t="s">
        <v>1394</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1106</v>
      </c>
      <c r="B291" s="51" t="s">
        <v>1107</v>
      </c>
      <c r="C291" s="13" t="s">
        <v>1651</v>
      </c>
      <c r="D291" s="49">
        <v>0</v>
      </c>
      <c r="H291" s="49" t="s">
        <v>1108</v>
      </c>
      <c r="I291" s="49" t="s">
        <v>1109</v>
      </c>
      <c r="J291" s="49" t="s">
        <v>1110</v>
      </c>
      <c r="K291" s="49" t="s">
        <v>1108</v>
      </c>
      <c r="L291" s="49">
        <v>0</v>
      </c>
      <c r="O291" s="49">
        <v>0</v>
      </c>
      <c r="Q291" s="1"/>
      <c r="R291" s="1" t="s">
        <v>581</v>
      </c>
      <c r="T291" s="49">
        <v>7</v>
      </c>
      <c r="V291" s="49">
        <v>10</v>
      </c>
      <c r="W291" s="1">
        <v>7</v>
      </c>
      <c r="X291" s="1">
        <v>11</v>
      </c>
      <c r="Y291" s="1" t="s">
        <v>2282</v>
      </c>
      <c r="Z291" s="49">
        <v>9</v>
      </c>
      <c r="AA291" s="13" t="b">
        <v>1</v>
      </c>
      <c r="AB291" s="1"/>
      <c r="AC291" s="57" t="s">
        <v>1413</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5" customFormat="1" x14ac:dyDescent="0.25">
      <c r="A292" s="45" t="s">
        <v>1111</v>
      </c>
      <c r="B292" s="45" t="s">
        <v>1112</v>
      </c>
      <c r="C292" s="1" t="s">
        <v>1651</v>
      </c>
      <c r="D292" s="45">
        <v>0</v>
      </c>
      <c r="H292" s="45" t="s">
        <v>1113</v>
      </c>
      <c r="I292" s="45" t="s">
        <v>1113</v>
      </c>
      <c r="J292" s="45" t="s">
        <v>1113</v>
      </c>
      <c r="K292" s="45" t="s">
        <v>1113</v>
      </c>
      <c r="L292" s="45">
        <v>0</v>
      </c>
      <c r="O292" s="45">
        <v>1</v>
      </c>
      <c r="P292" s="45" t="s">
        <v>844</v>
      </c>
      <c r="Q292" s="1" t="s">
        <v>1609</v>
      </c>
      <c r="R292" s="1"/>
      <c r="S292" s="45">
        <v>12</v>
      </c>
      <c r="W292" s="1"/>
      <c r="X292" s="1"/>
      <c r="Y292" s="1"/>
      <c r="Z292" s="45">
        <v>-1</v>
      </c>
      <c r="AA292" s="13" t="b">
        <v>0</v>
      </c>
      <c r="AB292" s="17" t="s">
        <v>1889</v>
      </c>
      <c r="AC292" s="57" t="s">
        <v>1937</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3" customFormat="1" x14ac:dyDescent="0.25">
      <c r="A293" s="3" t="s">
        <v>1114</v>
      </c>
      <c r="B293" s="5" t="s">
        <v>1115</v>
      </c>
      <c r="C293" s="13" t="s">
        <v>1651</v>
      </c>
      <c r="D293" s="3">
        <v>0</v>
      </c>
      <c r="H293" s="3" t="s">
        <v>1116</v>
      </c>
      <c r="I293" s="3" t="s">
        <v>1116</v>
      </c>
      <c r="J293" s="3" t="s">
        <v>834</v>
      </c>
      <c r="K293" s="3" t="s">
        <v>1116</v>
      </c>
      <c r="L293" s="3">
        <v>1</v>
      </c>
      <c r="M293" s="3" t="s">
        <v>1117</v>
      </c>
      <c r="O293" s="3">
        <v>1</v>
      </c>
      <c r="P293" s="3" t="s">
        <v>835</v>
      </c>
      <c r="Q293" s="1" t="s">
        <v>1610</v>
      </c>
      <c r="R293" s="1"/>
      <c r="T293" s="3">
        <v>22</v>
      </c>
      <c r="V293" s="3">
        <v>6</v>
      </c>
      <c r="W293" s="1">
        <v>22</v>
      </c>
      <c r="X293" s="1">
        <v>14</v>
      </c>
      <c r="Y293" s="1" t="s">
        <v>2283</v>
      </c>
      <c r="Z293" s="3">
        <v>1</v>
      </c>
      <c r="AA293" s="13" t="b">
        <v>1</v>
      </c>
      <c r="AB293" s="17" t="s">
        <v>1889</v>
      </c>
      <c r="AC293" s="57" t="s">
        <v>1375</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1118</v>
      </c>
      <c r="B294" s="5" t="s">
        <v>1119</v>
      </c>
      <c r="C294" s="13" t="s">
        <v>1651</v>
      </c>
      <c r="D294" s="3">
        <v>0</v>
      </c>
      <c r="H294" s="3" t="s">
        <v>1120</v>
      </c>
      <c r="I294" s="3" t="s">
        <v>1120</v>
      </c>
      <c r="J294" s="3" t="s">
        <v>1120</v>
      </c>
      <c r="K294" s="3" t="s">
        <v>1120</v>
      </c>
      <c r="L294" s="3">
        <v>3</v>
      </c>
      <c r="M294" s="3" t="s">
        <v>1121</v>
      </c>
      <c r="N294" s="3" t="s">
        <v>1121</v>
      </c>
      <c r="O294" s="3">
        <v>1</v>
      </c>
      <c r="P294" s="3" t="s">
        <v>1122</v>
      </c>
      <c r="Q294" s="1" t="s">
        <v>1611</v>
      </c>
      <c r="R294" s="1"/>
      <c r="T294" s="3">
        <v>10</v>
      </c>
      <c r="V294" s="3">
        <v>32</v>
      </c>
      <c r="W294" s="1">
        <v>10</v>
      </c>
      <c r="X294" s="1">
        <v>23</v>
      </c>
      <c r="Y294" s="1" t="s">
        <v>2284</v>
      </c>
      <c r="Z294" s="3">
        <v>1</v>
      </c>
      <c r="AA294" s="13" t="b">
        <v>1</v>
      </c>
      <c r="AB294" s="17" t="s">
        <v>1889</v>
      </c>
      <c r="AC294" s="57" t="s">
        <v>1376</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25" customFormat="1" x14ac:dyDescent="0.25">
      <c r="A295" s="25" t="s">
        <v>1123</v>
      </c>
      <c r="B295" s="29" t="s">
        <v>1124</v>
      </c>
      <c r="C295" s="13" t="s">
        <v>1651</v>
      </c>
      <c r="D295" s="25">
        <v>0</v>
      </c>
      <c r="H295" s="25" t="s">
        <v>1125</v>
      </c>
      <c r="I295" s="25" t="s">
        <v>1125</v>
      </c>
      <c r="J295" s="25" t="s">
        <v>1126</v>
      </c>
      <c r="K295" s="25" t="s">
        <v>1125</v>
      </c>
      <c r="L295" s="25">
        <v>0</v>
      </c>
      <c r="O295" s="25">
        <v>0</v>
      </c>
      <c r="Q295" s="1" t="s">
        <v>1612</v>
      </c>
      <c r="R295" s="1"/>
      <c r="T295" s="25">
        <v>6</v>
      </c>
      <c r="W295" s="1">
        <v>6</v>
      </c>
      <c r="X295" s="1">
        <v>9</v>
      </c>
      <c r="Y295" s="1" t="s">
        <v>2285</v>
      </c>
      <c r="Z295" s="25">
        <v>5</v>
      </c>
      <c r="AA295" s="13" t="b">
        <v>1</v>
      </c>
      <c r="AB295" s="1"/>
      <c r="AC295" s="57" t="s">
        <v>1349</v>
      </c>
      <c r="AD295" s="1"/>
      <c r="AE295" t="s">
        <v>1863</v>
      </c>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45" customFormat="1" x14ac:dyDescent="0.25">
      <c r="A296" s="45" t="s">
        <v>1127</v>
      </c>
      <c r="B296" s="45" t="s">
        <v>1128</v>
      </c>
      <c r="C296" s="1" t="s">
        <v>1651</v>
      </c>
      <c r="D296" s="45">
        <v>0</v>
      </c>
      <c r="H296" s="45" t="s">
        <v>1129</v>
      </c>
      <c r="I296" s="45" t="s">
        <v>1129</v>
      </c>
      <c r="J296" s="45" t="s">
        <v>1130</v>
      </c>
      <c r="K296" s="45" t="s">
        <v>1129</v>
      </c>
      <c r="L296" s="45">
        <v>0</v>
      </c>
      <c r="O296" s="45">
        <v>1</v>
      </c>
      <c r="P296" s="45" t="s">
        <v>1131</v>
      </c>
      <c r="Q296" s="1" t="s">
        <v>1613</v>
      </c>
      <c r="R296" s="1"/>
      <c r="S296" s="45">
        <v>8</v>
      </c>
      <c r="W296" s="1"/>
      <c r="X296" s="1"/>
      <c r="Y296" s="1"/>
      <c r="Z296" s="45">
        <v>-1</v>
      </c>
      <c r="AA296" s="13" t="b">
        <v>0</v>
      </c>
      <c r="AB296" s="1"/>
      <c r="AC296" s="57" t="s">
        <v>1424</v>
      </c>
      <c r="AD296" s="1"/>
      <c r="AE296" s="57"/>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68" customFormat="1" x14ac:dyDescent="0.25">
      <c r="A297" s="68" t="s">
        <v>1132</v>
      </c>
      <c r="B297" s="68" t="s">
        <v>1133</v>
      </c>
      <c r="C297" s="1" t="s">
        <v>1651</v>
      </c>
      <c r="D297" s="68">
        <v>0</v>
      </c>
      <c r="H297" s="68" t="s">
        <v>1134</v>
      </c>
      <c r="I297" s="68" t="s">
        <v>1135</v>
      </c>
      <c r="J297" s="68" t="s">
        <v>1798</v>
      </c>
      <c r="K297" s="68" t="s">
        <v>1712</v>
      </c>
      <c r="L297" s="68">
        <v>1</v>
      </c>
      <c r="M297" s="68" t="s">
        <v>1136</v>
      </c>
      <c r="O297" s="68">
        <v>1</v>
      </c>
      <c r="P297" s="68" t="s">
        <v>1137</v>
      </c>
      <c r="Q297" s="1"/>
      <c r="R297" s="1" t="s">
        <v>1578</v>
      </c>
      <c r="S297" s="68">
        <v>10</v>
      </c>
      <c r="V297" s="68">
        <v>10</v>
      </c>
      <c r="W297" s="1">
        <v>10</v>
      </c>
      <c r="X297" s="1">
        <v>10</v>
      </c>
      <c r="Y297" s="1" t="s">
        <v>2286</v>
      </c>
      <c r="Z297" s="68">
        <v>13</v>
      </c>
      <c r="AA297" s="13" t="b">
        <v>1</v>
      </c>
      <c r="AB297" s="1" t="s">
        <v>1889</v>
      </c>
      <c r="AC297" s="57" t="s">
        <v>1799</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row>
    <row r="298" spans="1:331" s="45" customFormat="1" x14ac:dyDescent="0.25">
      <c r="A298" s="45" t="s">
        <v>1138</v>
      </c>
      <c r="C298" s="1" t="s">
        <v>1651</v>
      </c>
      <c r="D298" s="45">
        <v>0</v>
      </c>
      <c r="H298" s="45" t="s">
        <v>1140</v>
      </c>
      <c r="I298" s="45" t="s">
        <v>1141</v>
      </c>
      <c r="J298" s="45" t="s">
        <v>1142</v>
      </c>
      <c r="K298" s="45" t="s">
        <v>1713</v>
      </c>
      <c r="L298" s="45">
        <v>0</v>
      </c>
      <c r="O298" s="45">
        <v>1</v>
      </c>
      <c r="Q298" s="1"/>
      <c r="R298" s="1" t="s">
        <v>1143</v>
      </c>
      <c r="S298" s="45">
        <v>32</v>
      </c>
      <c r="W298" s="1"/>
      <c r="X298" s="1"/>
      <c r="Y298" s="1"/>
      <c r="Z298" s="45">
        <v>-1</v>
      </c>
      <c r="AA298" s="13" t="b">
        <v>0</v>
      </c>
      <c r="AB298" s="1" t="s">
        <v>1889</v>
      </c>
      <c r="AC298" s="57" t="s">
        <v>1938</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row>
    <row r="299" spans="1:331" s="25" customFormat="1" x14ac:dyDescent="0.25">
      <c r="A299" s="25" t="s">
        <v>1144</v>
      </c>
      <c r="B299" s="29" t="s">
        <v>1145</v>
      </c>
      <c r="C299" s="13" t="s">
        <v>1651</v>
      </c>
      <c r="D299" s="25">
        <v>0</v>
      </c>
      <c r="H299" s="25" t="s">
        <v>1146</v>
      </c>
      <c r="I299" s="25" t="s">
        <v>1146</v>
      </c>
      <c r="J299" s="48">
        <v>43780</v>
      </c>
      <c r="K299" s="48" t="s">
        <v>1146</v>
      </c>
      <c r="L299" s="25">
        <v>0</v>
      </c>
      <c r="O299" s="25">
        <v>0</v>
      </c>
      <c r="Q299" s="1" t="s">
        <v>1614</v>
      </c>
      <c r="R299" s="1"/>
      <c r="T299" s="25">
        <v>15</v>
      </c>
      <c r="V299" s="25">
        <v>13</v>
      </c>
      <c r="W299" s="1">
        <v>15</v>
      </c>
      <c r="X299" s="1">
        <v>16</v>
      </c>
      <c r="Y299" s="1" t="s">
        <v>2287</v>
      </c>
      <c r="Z299" s="25">
        <v>5</v>
      </c>
      <c r="AA299" s="13" t="b">
        <v>1</v>
      </c>
      <c r="AB299" s="1" t="s">
        <v>1892</v>
      </c>
      <c r="AC299" s="57" t="s">
        <v>1383</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40" customFormat="1" x14ac:dyDescent="0.25">
      <c r="A300" s="40" t="s">
        <v>1147</v>
      </c>
      <c r="B300" s="44" t="s">
        <v>1148</v>
      </c>
      <c r="C300" s="13" t="s">
        <v>1651</v>
      </c>
      <c r="D300" s="40">
        <v>0</v>
      </c>
      <c r="H300" s="40" t="s">
        <v>1149</v>
      </c>
      <c r="I300" s="40" t="s">
        <v>1150</v>
      </c>
      <c r="J300" s="40" t="s">
        <v>1149</v>
      </c>
      <c r="K300" s="40" t="s">
        <v>1714</v>
      </c>
      <c r="L300" s="40">
        <v>0</v>
      </c>
      <c r="O300" s="40">
        <v>1</v>
      </c>
      <c r="P300" s="40" t="s">
        <v>816</v>
      </c>
      <c r="Q300" s="1" t="s">
        <v>1615</v>
      </c>
      <c r="R300" s="1"/>
      <c r="S300" s="40">
        <v>10</v>
      </c>
      <c r="T300" s="40">
        <v>10</v>
      </c>
      <c r="W300" s="1">
        <v>10</v>
      </c>
      <c r="X300" s="1">
        <v>19</v>
      </c>
      <c r="Y300" s="1" t="s">
        <v>2288</v>
      </c>
      <c r="Z300" s="40">
        <v>8</v>
      </c>
      <c r="AA300" s="13" t="b">
        <v>1</v>
      </c>
      <c r="AB300" s="17" t="s">
        <v>1889</v>
      </c>
      <c r="AC300" s="57" t="s">
        <v>1415</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72" customFormat="1" x14ac:dyDescent="0.25">
      <c r="A301" s="72" t="s">
        <v>1151</v>
      </c>
      <c r="B301" s="75" t="s">
        <v>1152</v>
      </c>
      <c r="C301" s="13" t="s">
        <v>1651</v>
      </c>
      <c r="D301" s="72">
        <v>0</v>
      </c>
      <c r="H301" s="72" t="s">
        <v>1153</v>
      </c>
      <c r="I301" s="72" t="s">
        <v>1154</v>
      </c>
      <c r="J301" s="72" t="s">
        <v>1155</v>
      </c>
      <c r="K301" s="72" t="s">
        <v>1153</v>
      </c>
      <c r="L301" s="72">
        <v>0</v>
      </c>
      <c r="O301" s="72">
        <v>1</v>
      </c>
      <c r="P301" s="72" t="s">
        <v>1156</v>
      </c>
      <c r="Q301" s="1"/>
      <c r="R301" s="1" t="s">
        <v>1157</v>
      </c>
      <c r="T301" s="72">
        <v>10</v>
      </c>
      <c r="V301" s="72">
        <v>9</v>
      </c>
      <c r="W301" s="1">
        <v>10</v>
      </c>
      <c r="X301" s="1">
        <v>10</v>
      </c>
      <c r="Y301" s="1" t="s">
        <v>2289</v>
      </c>
      <c r="Z301" s="72">
        <v>14</v>
      </c>
      <c r="AA301" s="13" t="b">
        <v>1</v>
      </c>
      <c r="AB301" s="1"/>
      <c r="AC301" s="57" t="s">
        <v>1297</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row>
    <row r="302" spans="1:331" s="40" customFormat="1" x14ac:dyDescent="0.25">
      <c r="A302" s="40" t="s">
        <v>1158</v>
      </c>
      <c r="B302" s="44" t="s">
        <v>1159</v>
      </c>
      <c r="C302" s="13" t="s">
        <v>1651</v>
      </c>
      <c r="D302" s="40">
        <v>0</v>
      </c>
      <c r="H302" s="40" t="s">
        <v>1160</v>
      </c>
      <c r="I302" s="40" t="s">
        <v>1161</v>
      </c>
      <c r="J302" s="40" t="s">
        <v>1160</v>
      </c>
      <c r="K302" s="40" t="s">
        <v>1160</v>
      </c>
      <c r="L302" s="40">
        <v>0</v>
      </c>
      <c r="O302" s="40">
        <v>1</v>
      </c>
      <c r="P302" s="40" t="s">
        <v>1162</v>
      </c>
      <c r="Q302" s="1" t="s">
        <v>1616</v>
      </c>
      <c r="R302" s="1"/>
      <c r="S302" s="40">
        <v>5</v>
      </c>
      <c r="T302" s="40">
        <v>12</v>
      </c>
      <c r="V302" s="40">
        <v>12</v>
      </c>
      <c r="W302" s="1">
        <v>12</v>
      </c>
      <c r="X302" s="1">
        <v>15</v>
      </c>
      <c r="Y302" s="1" t="s">
        <v>2290</v>
      </c>
      <c r="Z302" s="40">
        <v>8</v>
      </c>
      <c r="AA302" s="13" t="b">
        <v>1</v>
      </c>
      <c r="AB302" s="1"/>
      <c r="AC302" s="57" t="s">
        <v>1419</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row>
    <row r="303" spans="1:331" s="25" customFormat="1" x14ac:dyDescent="0.25">
      <c r="A303" s="25" t="s">
        <v>1163</v>
      </c>
      <c r="B303" s="29" t="s">
        <v>1164</v>
      </c>
      <c r="C303" s="13" t="s">
        <v>1651</v>
      </c>
      <c r="D303" s="25">
        <v>0</v>
      </c>
      <c r="H303" s="25" t="s">
        <v>1165</v>
      </c>
      <c r="I303" s="25" t="s">
        <v>1166</v>
      </c>
      <c r="J303" s="25" t="s">
        <v>1165</v>
      </c>
      <c r="K303" s="25" t="s">
        <v>1165</v>
      </c>
      <c r="L303" s="25">
        <v>0</v>
      </c>
      <c r="O303" s="25">
        <v>0</v>
      </c>
      <c r="Q303" s="1" t="s">
        <v>1617</v>
      </c>
      <c r="R303" s="1"/>
      <c r="T303" s="25">
        <v>8</v>
      </c>
      <c r="V303" s="25">
        <v>7</v>
      </c>
      <c r="W303" s="1">
        <v>8</v>
      </c>
      <c r="X303" s="1">
        <v>8</v>
      </c>
      <c r="Y303" s="1" t="s">
        <v>2291</v>
      </c>
      <c r="Z303" s="25">
        <v>5</v>
      </c>
      <c r="AA303" s="13" t="b">
        <v>1</v>
      </c>
      <c r="AB303" s="1"/>
      <c r="AC303" s="57" t="s">
        <v>1313</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49" customFormat="1" x14ac:dyDescent="0.25">
      <c r="A304" s="49" t="s">
        <v>1167</v>
      </c>
      <c r="B304" s="51" t="s">
        <v>1168</v>
      </c>
      <c r="C304" s="13" t="s">
        <v>1651</v>
      </c>
      <c r="D304" s="49">
        <v>0</v>
      </c>
      <c r="H304" s="49" t="s">
        <v>1169</v>
      </c>
      <c r="I304" s="49" t="s">
        <v>1170</v>
      </c>
      <c r="J304" s="49" t="s">
        <v>1169</v>
      </c>
      <c r="K304" s="49" t="s">
        <v>1169</v>
      </c>
      <c r="L304" s="49">
        <v>0</v>
      </c>
      <c r="O304" s="49">
        <v>1</v>
      </c>
      <c r="Q304" s="1"/>
      <c r="R304" s="1" t="s">
        <v>1171</v>
      </c>
      <c r="S304" s="49">
        <v>12</v>
      </c>
      <c r="U304" s="49">
        <v>6</v>
      </c>
      <c r="W304" s="1">
        <v>12</v>
      </c>
      <c r="X304" s="1">
        <v>31</v>
      </c>
      <c r="Y304" s="1" t="s">
        <v>2292</v>
      </c>
      <c r="Z304" s="49">
        <v>9</v>
      </c>
      <c r="AA304" s="13" t="b">
        <v>1</v>
      </c>
      <c r="AB304" s="1"/>
      <c r="AC304" s="57" t="s">
        <v>1418</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25" customFormat="1" x14ac:dyDescent="0.25">
      <c r="A305" s="25" t="s">
        <v>1172</v>
      </c>
      <c r="B305" s="29" t="s">
        <v>1173</v>
      </c>
      <c r="C305" s="13" t="s">
        <v>1651</v>
      </c>
      <c r="D305" s="25">
        <v>0</v>
      </c>
      <c r="H305" s="25" t="s">
        <v>1174</v>
      </c>
      <c r="I305" s="25" t="s">
        <v>1175</v>
      </c>
      <c r="J305" s="25" t="s">
        <v>1174</v>
      </c>
      <c r="K305" s="25" t="s">
        <v>1174</v>
      </c>
      <c r="L305" s="25">
        <v>0</v>
      </c>
      <c r="O305" s="25">
        <v>0</v>
      </c>
      <c r="Q305" s="1" t="s">
        <v>1618</v>
      </c>
      <c r="R305" s="1"/>
      <c r="S305" s="25">
        <v>7</v>
      </c>
      <c r="T305" s="25">
        <v>7</v>
      </c>
      <c r="U305" s="25">
        <v>7</v>
      </c>
      <c r="V305" s="25">
        <v>6</v>
      </c>
      <c r="W305" s="1">
        <v>7</v>
      </c>
      <c r="X305" s="1">
        <v>10</v>
      </c>
      <c r="Y305" s="1" t="s">
        <v>2293</v>
      </c>
      <c r="Z305" s="25">
        <v>5</v>
      </c>
      <c r="AA305" s="13" t="b">
        <v>1</v>
      </c>
      <c r="AB305" s="1"/>
      <c r="AC305" s="89" t="s">
        <v>1348</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59" customFormat="1" x14ac:dyDescent="0.25">
      <c r="A306" s="59" t="s">
        <v>1176</v>
      </c>
      <c r="B306" s="61" t="s">
        <v>1177</v>
      </c>
      <c r="C306" s="13" t="s">
        <v>1651</v>
      </c>
      <c r="D306" s="59">
        <v>0</v>
      </c>
      <c r="H306" s="59" t="s">
        <v>1178</v>
      </c>
      <c r="I306" s="59" t="s">
        <v>1179</v>
      </c>
      <c r="J306" s="62">
        <v>43496</v>
      </c>
      <c r="K306" s="62" t="s">
        <v>1178</v>
      </c>
      <c r="L306" s="59">
        <v>1</v>
      </c>
      <c r="M306" s="59" t="s">
        <v>1180</v>
      </c>
      <c r="O306" s="59">
        <v>1</v>
      </c>
      <c r="Q306" s="1"/>
      <c r="R306" s="1" t="s">
        <v>1181</v>
      </c>
      <c r="S306" s="59">
        <v>11</v>
      </c>
      <c r="U306" s="59">
        <v>15</v>
      </c>
      <c r="W306" s="1">
        <v>11</v>
      </c>
      <c r="X306" s="1">
        <v>13</v>
      </c>
      <c r="Y306" s="1" t="s">
        <v>2294</v>
      </c>
      <c r="Z306" s="59">
        <v>11</v>
      </c>
      <c r="AA306" s="13" t="b">
        <v>1</v>
      </c>
      <c r="AB306" s="1" t="s">
        <v>1893</v>
      </c>
      <c r="AC306" s="57" t="s">
        <v>1641</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72" customFormat="1" x14ac:dyDescent="0.25">
      <c r="A307" s="72" t="s">
        <v>1182</v>
      </c>
      <c r="B307" s="75" t="s">
        <v>1183</v>
      </c>
      <c r="C307" s="13" t="s">
        <v>1651</v>
      </c>
      <c r="D307" s="72">
        <v>0</v>
      </c>
      <c r="H307" s="72" t="s">
        <v>1184</v>
      </c>
      <c r="I307" s="72" t="s">
        <v>1185</v>
      </c>
      <c r="J307" s="72" t="s">
        <v>1184</v>
      </c>
      <c r="K307" s="72" t="s">
        <v>1715</v>
      </c>
      <c r="L307" s="72">
        <v>0</v>
      </c>
      <c r="O307" s="72">
        <v>1</v>
      </c>
      <c r="P307" s="72" t="s">
        <v>1186</v>
      </c>
      <c r="Q307" s="1"/>
      <c r="R307" s="1" t="s">
        <v>1187</v>
      </c>
      <c r="S307" s="72">
        <v>16</v>
      </c>
      <c r="U307" s="72">
        <v>12</v>
      </c>
      <c r="W307" s="1">
        <v>16</v>
      </c>
      <c r="X307" s="1">
        <v>14</v>
      </c>
      <c r="Y307" s="1" t="s">
        <v>2295</v>
      </c>
      <c r="Z307" s="72">
        <v>14</v>
      </c>
      <c r="AA307" s="13" t="b">
        <v>1</v>
      </c>
      <c r="AB307" s="1" t="s">
        <v>1898</v>
      </c>
      <c r="AC307" s="57" t="s">
        <v>1416</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row>
    <row r="308" spans="1:331" s="3" customFormat="1" x14ac:dyDescent="0.25">
      <c r="A308" s="3" t="s">
        <v>1188</v>
      </c>
      <c r="B308" s="5" t="s">
        <v>1189</v>
      </c>
      <c r="C308" s="13" t="s">
        <v>1651</v>
      </c>
      <c r="D308" s="3">
        <v>0</v>
      </c>
      <c r="H308" s="3" t="s">
        <v>1190</v>
      </c>
      <c r="I308" s="3" t="s">
        <v>1190</v>
      </c>
      <c r="J308" s="3" t="s">
        <v>1191</v>
      </c>
      <c r="K308" s="3" t="s">
        <v>1190</v>
      </c>
      <c r="L308" s="3">
        <v>1</v>
      </c>
      <c r="M308" s="3" t="s">
        <v>1192</v>
      </c>
      <c r="O308" s="3">
        <v>1</v>
      </c>
      <c r="P308" s="3" t="s">
        <v>1193</v>
      </c>
      <c r="Q308" s="1" t="s">
        <v>1619</v>
      </c>
      <c r="R308" s="1"/>
      <c r="S308" s="3">
        <v>17</v>
      </c>
      <c r="V308" s="3">
        <v>17</v>
      </c>
      <c r="W308" s="1">
        <v>17</v>
      </c>
      <c r="X308" s="1">
        <v>14</v>
      </c>
      <c r="Y308" s="1" t="s">
        <v>2296</v>
      </c>
      <c r="Z308" s="3">
        <v>1</v>
      </c>
      <c r="AA308" s="13" t="b">
        <v>1</v>
      </c>
      <c r="AB308" s="1"/>
      <c r="AC308" s="57" t="s">
        <v>1372</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row>
    <row r="309" spans="1:331" s="3" customFormat="1" x14ac:dyDescent="0.25">
      <c r="A309" s="3" t="s">
        <v>1194</v>
      </c>
      <c r="B309" s="5" t="s">
        <v>1195</v>
      </c>
      <c r="C309" s="13" t="s">
        <v>1651</v>
      </c>
      <c r="D309" s="3">
        <v>0</v>
      </c>
      <c r="H309" s="3" t="s">
        <v>1196</v>
      </c>
      <c r="I309" s="3" t="s">
        <v>1196</v>
      </c>
      <c r="J309" s="3" t="s">
        <v>1197</v>
      </c>
      <c r="K309" s="3" t="s">
        <v>1196</v>
      </c>
      <c r="L309" s="3">
        <v>1</v>
      </c>
      <c r="M309" s="3" t="s">
        <v>1198</v>
      </c>
      <c r="O309" s="3">
        <v>1</v>
      </c>
      <c r="P309" s="3" t="s">
        <v>1199</v>
      </c>
      <c r="Q309" s="1" t="s">
        <v>1620</v>
      </c>
      <c r="R309" s="1"/>
      <c r="S309" s="3">
        <v>10</v>
      </c>
      <c r="V309" s="3">
        <v>24</v>
      </c>
      <c r="W309" s="1">
        <v>10</v>
      </c>
      <c r="X309" s="1">
        <v>15</v>
      </c>
      <c r="Y309" s="1" t="s">
        <v>2297</v>
      </c>
      <c r="Z309" s="3">
        <v>1</v>
      </c>
      <c r="AA309" s="13" t="b">
        <v>1</v>
      </c>
      <c r="AB309" s="1" t="s">
        <v>1897</v>
      </c>
      <c r="AC309" s="57" t="s">
        <v>1377</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1200</v>
      </c>
      <c r="B310" s="5" t="s">
        <v>1201</v>
      </c>
      <c r="C310" s="13" t="s">
        <v>1651</v>
      </c>
      <c r="D310" s="3">
        <v>0</v>
      </c>
      <c r="H310" s="3" t="s">
        <v>1202</v>
      </c>
      <c r="I310" s="3" t="s">
        <v>1202</v>
      </c>
      <c r="J310" s="3" t="s">
        <v>1203</v>
      </c>
      <c r="K310" s="3" t="s">
        <v>1202</v>
      </c>
      <c r="L310" s="3">
        <v>2</v>
      </c>
      <c r="M310" s="3" t="s">
        <v>1204</v>
      </c>
      <c r="N310" s="3" t="s">
        <v>1205</v>
      </c>
      <c r="O310" s="3">
        <v>1</v>
      </c>
      <c r="P310" s="3" t="s">
        <v>1206</v>
      </c>
      <c r="Q310" s="1" t="s">
        <v>266</v>
      </c>
      <c r="R310" s="1"/>
      <c r="T310" s="3">
        <v>8</v>
      </c>
      <c r="V310" s="3">
        <v>18</v>
      </c>
      <c r="W310" s="1">
        <v>8</v>
      </c>
      <c r="X310" s="1">
        <v>17</v>
      </c>
      <c r="Y310" s="1" t="s">
        <v>2298</v>
      </c>
      <c r="Z310" s="3">
        <v>1</v>
      </c>
      <c r="AA310" s="13" t="b">
        <v>1</v>
      </c>
      <c r="AB310" s="1" t="s">
        <v>1897</v>
      </c>
      <c r="AC310" s="57" t="s">
        <v>1301</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1207</v>
      </c>
      <c r="B311" s="5" t="s">
        <v>1208</v>
      </c>
      <c r="C311" s="13" t="s">
        <v>1651</v>
      </c>
      <c r="D311" s="3">
        <v>0</v>
      </c>
      <c r="H311" s="3" t="s">
        <v>242</v>
      </c>
      <c r="I311" s="3" t="s">
        <v>242</v>
      </c>
      <c r="J311" s="3" t="s">
        <v>1209</v>
      </c>
      <c r="K311" s="3" t="s">
        <v>242</v>
      </c>
      <c r="L311" s="3">
        <v>1</v>
      </c>
      <c r="M311" s="3" t="s">
        <v>1210</v>
      </c>
      <c r="O311" s="3">
        <v>0</v>
      </c>
      <c r="Q311" s="1" t="s">
        <v>1621</v>
      </c>
      <c r="R311" s="1"/>
      <c r="T311" s="3">
        <v>10</v>
      </c>
      <c r="V311" s="3">
        <v>13</v>
      </c>
      <c r="W311" s="1">
        <v>10</v>
      </c>
      <c r="X311" s="1">
        <v>14</v>
      </c>
      <c r="Y311" s="1" t="s">
        <v>2299</v>
      </c>
      <c r="Z311" s="3">
        <v>1</v>
      </c>
      <c r="AA311" s="13" t="b">
        <v>1</v>
      </c>
      <c r="AB311" s="1" t="s">
        <v>1898</v>
      </c>
      <c r="AC311" s="57" t="s">
        <v>1302</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1211</v>
      </c>
      <c r="B312" s="5" t="s">
        <v>1212</v>
      </c>
      <c r="C312" s="13" t="s">
        <v>1651</v>
      </c>
      <c r="D312" s="3">
        <v>0</v>
      </c>
      <c r="H312" s="3" t="s">
        <v>1213</v>
      </c>
      <c r="I312" s="3" t="s">
        <v>1213</v>
      </c>
      <c r="J312" s="3" t="s">
        <v>1214</v>
      </c>
      <c r="K312" s="3" t="s">
        <v>1213</v>
      </c>
      <c r="L312" s="3">
        <v>1</v>
      </c>
      <c r="M312" s="3" t="s">
        <v>1100</v>
      </c>
      <c r="O312" s="3">
        <v>1</v>
      </c>
      <c r="P312" s="3" t="s">
        <v>1215</v>
      </c>
      <c r="Q312" s="1" t="s">
        <v>1622</v>
      </c>
      <c r="R312" s="1"/>
      <c r="S312" s="3">
        <v>10</v>
      </c>
      <c r="U312" s="3">
        <v>10</v>
      </c>
      <c r="W312" s="1">
        <v>10</v>
      </c>
      <c r="X312" s="1">
        <v>14</v>
      </c>
      <c r="Y312" s="1" t="s">
        <v>2300</v>
      </c>
      <c r="Z312" s="3">
        <v>1</v>
      </c>
      <c r="AA312" s="13" t="b">
        <v>1</v>
      </c>
      <c r="AB312" s="1"/>
      <c r="AC312" s="57" t="s">
        <v>1447</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1216</v>
      </c>
      <c r="B313" s="5" t="s">
        <v>1217</v>
      </c>
      <c r="C313" s="13" t="s">
        <v>1651</v>
      </c>
      <c r="D313" s="3">
        <v>0</v>
      </c>
      <c r="H313" s="3" t="s">
        <v>1218</v>
      </c>
      <c r="I313" s="3" t="s">
        <v>1218</v>
      </c>
      <c r="J313" s="3" t="s">
        <v>1218</v>
      </c>
      <c r="K313" s="3" t="s">
        <v>1218</v>
      </c>
      <c r="L313" s="3">
        <v>1</v>
      </c>
      <c r="M313" s="3" t="s">
        <v>1219</v>
      </c>
      <c r="O313" s="3">
        <v>0</v>
      </c>
      <c r="Q313" s="1" t="s">
        <v>1623</v>
      </c>
      <c r="R313" s="1"/>
      <c r="S313" s="3">
        <v>7</v>
      </c>
      <c r="U313" s="3">
        <v>12</v>
      </c>
      <c r="W313" s="1">
        <v>7</v>
      </c>
      <c r="X313" s="1">
        <v>15</v>
      </c>
      <c r="Y313" s="1" t="s">
        <v>2301</v>
      </c>
      <c r="Z313" s="3">
        <v>1</v>
      </c>
      <c r="AA313" s="13" t="b">
        <v>1</v>
      </c>
      <c r="AB313" s="1" t="s">
        <v>1897</v>
      </c>
      <c r="AC313" s="57" t="s">
        <v>1378</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59" customFormat="1" x14ac:dyDescent="0.25">
      <c r="A314" s="59" t="s">
        <v>1220</v>
      </c>
      <c r="B314" s="61" t="s">
        <v>1139</v>
      </c>
      <c r="C314" s="13" t="s">
        <v>1651</v>
      </c>
      <c r="D314" s="59">
        <v>0</v>
      </c>
      <c r="H314" s="59" t="s">
        <v>1221</v>
      </c>
      <c r="I314" s="59" t="s">
        <v>1221</v>
      </c>
      <c r="J314" s="59" t="s">
        <v>1222</v>
      </c>
      <c r="K314" s="59" t="s">
        <v>1716</v>
      </c>
      <c r="L314" s="59">
        <v>2</v>
      </c>
      <c r="M314" s="59" t="s">
        <v>1223</v>
      </c>
      <c r="N314" s="59" t="s">
        <v>1224</v>
      </c>
      <c r="O314" s="59">
        <v>1</v>
      </c>
      <c r="Q314" s="1"/>
      <c r="R314" s="1" t="s">
        <v>1143</v>
      </c>
      <c r="S314" s="59">
        <v>36</v>
      </c>
      <c r="W314" s="1">
        <v>36</v>
      </c>
      <c r="X314" s="1">
        <v>12</v>
      </c>
      <c r="Y314" s="1" t="s">
        <v>2302</v>
      </c>
      <c r="Z314" s="59">
        <v>11</v>
      </c>
      <c r="AA314" s="13" t="b">
        <v>1</v>
      </c>
      <c r="AB314" s="1" t="s">
        <v>1889</v>
      </c>
      <c r="AC314" s="57" t="s">
        <v>1927</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3" customFormat="1" x14ac:dyDescent="0.25">
      <c r="A315" s="3" t="s">
        <v>1225</v>
      </c>
      <c r="B315" s="5" t="s">
        <v>1226</v>
      </c>
      <c r="C315" s="13" t="s">
        <v>1651</v>
      </c>
      <c r="D315" s="3">
        <v>0</v>
      </c>
      <c r="H315" s="3" t="s">
        <v>1227</v>
      </c>
      <c r="I315" s="3" t="s">
        <v>1227</v>
      </c>
      <c r="J315" s="3" t="s">
        <v>1228</v>
      </c>
      <c r="K315" s="3" t="s">
        <v>1227</v>
      </c>
      <c r="L315" s="3">
        <v>1</v>
      </c>
      <c r="M315" s="3" t="s">
        <v>1229</v>
      </c>
      <c r="O315" s="3">
        <v>1</v>
      </c>
      <c r="P315" s="3" t="s">
        <v>1230</v>
      </c>
      <c r="Q315" s="1" t="s">
        <v>1624</v>
      </c>
      <c r="R315" s="1"/>
      <c r="S315" s="3">
        <v>8</v>
      </c>
      <c r="U315" s="3">
        <v>10</v>
      </c>
      <c r="W315" s="1">
        <v>8</v>
      </c>
      <c r="X315" s="1">
        <v>8</v>
      </c>
      <c r="Y315" s="1" t="s">
        <v>2303</v>
      </c>
      <c r="Z315" s="3">
        <v>1</v>
      </c>
      <c r="AA315" s="13" t="b">
        <v>1</v>
      </c>
      <c r="AB315" s="1"/>
      <c r="AC315" s="57" t="s">
        <v>1379</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46" customFormat="1" x14ac:dyDescent="0.25">
      <c r="A316" s="45" t="s">
        <v>261</v>
      </c>
      <c r="C316" s="1" t="s">
        <v>1782</v>
      </c>
      <c r="Q316"/>
      <c r="R316"/>
      <c r="W316"/>
      <c r="X316" s="1"/>
      <c r="Y316" s="1"/>
      <c r="Z316" s="45">
        <v>-1</v>
      </c>
      <c r="AA316" s="93" t="b">
        <v>0</v>
      </c>
      <c r="AB316" s="1"/>
      <c r="AC316" s="57" t="s">
        <v>1783</v>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row>
    <row r="317" spans="1:331" s="45" customFormat="1" x14ac:dyDescent="0.25">
      <c r="A317" s="45" t="s">
        <v>1748</v>
      </c>
      <c r="B317" s="45">
        <v>716372</v>
      </c>
      <c r="C317" s="1" t="s">
        <v>1782</v>
      </c>
      <c r="D317" s="45">
        <v>1</v>
      </c>
      <c r="E317" s="45" t="s">
        <v>703</v>
      </c>
      <c r="H317" s="45" t="s">
        <v>703</v>
      </c>
      <c r="I317" s="45" t="s">
        <v>703</v>
      </c>
      <c r="J317" s="45" t="s">
        <v>703</v>
      </c>
      <c r="K317" s="45" t="s">
        <v>703</v>
      </c>
      <c r="L317" s="45">
        <v>1</v>
      </c>
      <c r="M317" s="45" t="s">
        <v>699</v>
      </c>
      <c r="O317" s="45">
        <v>1</v>
      </c>
      <c r="P317" s="45" t="s">
        <v>699</v>
      </c>
      <c r="Q317" s="13" t="s">
        <v>1951</v>
      </c>
      <c r="R317" s="1"/>
      <c r="T317" s="45">
        <v>37</v>
      </c>
      <c r="W317" s="1">
        <v>37</v>
      </c>
      <c r="X317" s="1"/>
      <c r="Y317" s="1"/>
      <c r="Z317" s="45">
        <v>-1</v>
      </c>
      <c r="AA317" s="13" t="b">
        <v>0</v>
      </c>
      <c r="AB317" s="1"/>
      <c r="AC317" s="57" t="s">
        <v>1952</v>
      </c>
      <c r="AD317" s="1"/>
      <c r="AE317" s="1" t="s">
        <v>1836</v>
      </c>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row>
    <row r="318" spans="1:331" s="45" customFormat="1" x14ac:dyDescent="0.25">
      <c r="A318" s="45" t="s">
        <v>1749</v>
      </c>
      <c r="B318" s="45">
        <v>713606</v>
      </c>
      <c r="C318" s="1" t="s">
        <v>1782</v>
      </c>
      <c r="D318" s="45">
        <v>0</v>
      </c>
      <c r="H318" s="45" t="s">
        <v>703</v>
      </c>
      <c r="I318" s="45" t="s">
        <v>136</v>
      </c>
      <c r="L318" s="45">
        <v>2</v>
      </c>
      <c r="M318" s="45" t="s">
        <v>696</v>
      </c>
      <c r="N318" s="45" t="s">
        <v>696</v>
      </c>
      <c r="O318" s="45">
        <v>1</v>
      </c>
      <c r="Q318" s="1"/>
      <c r="R318" s="1" t="s">
        <v>1328</v>
      </c>
      <c r="W318" s="1"/>
      <c r="X318" s="1"/>
      <c r="Y318" s="1"/>
      <c r="Z318" s="45">
        <v>-1</v>
      </c>
      <c r="AA318" s="13" t="b">
        <v>0</v>
      </c>
      <c r="AB318" s="1"/>
      <c r="AC318" s="57" t="s">
        <v>1837</v>
      </c>
      <c r="AD318" s="1"/>
      <c r="AE318" s="57" t="s">
        <v>1838</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1750</v>
      </c>
      <c r="B319" s="45">
        <v>407709</v>
      </c>
      <c r="C319" s="1" t="s">
        <v>1782</v>
      </c>
      <c r="D319" s="45">
        <v>1</v>
      </c>
      <c r="E319" s="45" t="s">
        <v>1561</v>
      </c>
      <c r="H319" s="45" t="s">
        <v>720</v>
      </c>
      <c r="I319" s="45" t="s">
        <v>1561</v>
      </c>
      <c r="J319" s="45" t="s">
        <v>720</v>
      </c>
      <c r="K319" s="45" t="s">
        <v>1561</v>
      </c>
      <c r="L319" s="45">
        <v>0</v>
      </c>
      <c r="O319" s="45">
        <v>0</v>
      </c>
      <c r="Q319" s="1" t="s">
        <v>1751</v>
      </c>
      <c r="R319" s="1"/>
      <c r="W319" s="1"/>
      <c r="X319" s="1"/>
      <c r="Y319" s="1"/>
      <c r="Z319" s="45">
        <v>-1</v>
      </c>
      <c r="AA319" s="13" t="b">
        <v>0</v>
      </c>
      <c r="AB319" s="1"/>
      <c r="AC319" s="57" t="s">
        <v>1917</v>
      </c>
      <c r="AD319" s="1"/>
      <c r="AE319" s="57" t="s">
        <v>1839</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18" customFormat="1" ht="15.75" x14ac:dyDescent="0.25">
      <c r="A320" s="18" t="s">
        <v>1752</v>
      </c>
      <c r="B320" s="18">
        <v>224454</v>
      </c>
      <c r="C320" s="84" t="s">
        <v>1782</v>
      </c>
      <c r="D320" s="18">
        <v>1</v>
      </c>
      <c r="E320" s="18" t="s">
        <v>1753</v>
      </c>
      <c r="H320" s="18" t="s">
        <v>1753</v>
      </c>
      <c r="I320" s="18" t="s">
        <v>1753</v>
      </c>
      <c r="J320" s="82" t="s">
        <v>1753</v>
      </c>
      <c r="K320" s="18" t="s">
        <v>1753</v>
      </c>
      <c r="L320" s="18">
        <v>1</v>
      </c>
      <c r="M320" s="18" t="s">
        <v>1754</v>
      </c>
      <c r="O320" s="18">
        <v>1</v>
      </c>
      <c r="P320" s="18" t="s">
        <v>1755</v>
      </c>
      <c r="Q320" s="84" t="s">
        <v>1756</v>
      </c>
      <c r="R320" s="84"/>
      <c r="S320" s="18">
        <v>17.8</v>
      </c>
      <c r="U320" s="18">
        <v>11</v>
      </c>
      <c r="W320" s="84">
        <v>18</v>
      </c>
      <c r="X320" s="1">
        <v>15</v>
      </c>
      <c r="Y320" s="1" t="s">
        <v>2304</v>
      </c>
      <c r="Z320" s="18">
        <v>3</v>
      </c>
      <c r="AA320" s="94" t="b">
        <v>1</v>
      </c>
      <c r="AB320" s="84"/>
      <c r="AC320" s="86" t="s">
        <v>1944</v>
      </c>
      <c r="AD320" s="84"/>
      <c r="AE320" s="86" t="s">
        <v>1840</v>
      </c>
      <c r="AF320" s="84"/>
      <c r="AG320" s="84"/>
      <c r="AH320" s="84"/>
      <c r="AI320" s="84"/>
      <c r="AJ320" s="84"/>
      <c r="AK320" s="84"/>
      <c r="AL320" s="84"/>
      <c r="AM320" s="84"/>
      <c r="AN320" s="84"/>
      <c r="AO320" s="84"/>
      <c r="AP320" s="84"/>
      <c r="AQ320" s="84"/>
      <c r="AR320" s="84"/>
      <c r="AS320" s="84"/>
      <c r="AT320" s="84"/>
      <c r="AU320" s="84"/>
      <c r="AV320" s="84"/>
      <c r="AW320" s="84"/>
      <c r="AX320" s="84"/>
      <c r="AY320" s="84"/>
      <c r="AZ320" s="84"/>
      <c r="BA320" s="84"/>
      <c r="BB320" s="84"/>
      <c r="BC320" s="84"/>
      <c r="BD320" s="84"/>
      <c r="BE320" s="84"/>
      <c r="BF320" s="84"/>
      <c r="BG320" s="84"/>
      <c r="BH320" s="84"/>
      <c r="BI320" s="84"/>
      <c r="BJ320" s="84"/>
      <c r="BK320" s="84"/>
      <c r="BL320" s="84"/>
      <c r="BM320" s="84"/>
      <c r="BN320" s="84"/>
      <c r="BO320" s="84"/>
      <c r="BP320" s="84"/>
      <c r="BQ320" s="84"/>
      <c r="BR320" s="84"/>
      <c r="BS320" s="84"/>
      <c r="BT320" s="84"/>
      <c r="BU320" s="84"/>
      <c r="BV320" s="84"/>
    </row>
    <row r="321" spans="1:74" s="45" customFormat="1" x14ac:dyDescent="0.25">
      <c r="A321" s="45" t="s">
        <v>1757</v>
      </c>
      <c r="B321" s="45">
        <v>233824</v>
      </c>
      <c r="C321" s="1" t="s">
        <v>1782</v>
      </c>
      <c r="D321" s="45">
        <v>0</v>
      </c>
      <c r="H321" s="45" t="s">
        <v>1509</v>
      </c>
      <c r="I321" s="45" t="s">
        <v>1563</v>
      </c>
      <c r="J321" s="45" t="s">
        <v>1508</v>
      </c>
      <c r="K321" s="45" t="s">
        <v>1563</v>
      </c>
      <c r="L321" s="45">
        <v>3</v>
      </c>
      <c r="M321" s="45" t="s">
        <v>1758</v>
      </c>
      <c r="N321" s="45" t="s">
        <v>1755</v>
      </c>
      <c r="O321" s="45">
        <v>1</v>
      </c>
      <c r="P321" s="45" t="s">
        <v>1759</v>
      </c>
      <c r="Q321" s="1" t="s">
        <v>1760</v>
      </c>
      <c r="R321" s="1"/>
      <c r="S321" s="45">
        <v>11</v>
      </c>
      <c r="W321" s="1">
        <v>11</v>
      </c>
      <c r="X321" s="1"/>
      <c r="Y321" s="1"/>
      <c r="Z321" s="45">
        <v>-1</v>
      </c>
      <c r="AA321" s="13" t="b">
        <v>0</v>
      </c>
      <c r="AB321" s="1"/>
      <c r="AC321" s="57" t="s">
        <v>1953</v>
      </c>
      <c r="AD321" s="1"/>
      <c r="AE321" s="57" t="s">
        <v>1841</v>
      </c>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row>
    <row r="322" spans="1:74" s="18" customFormat="1" ht="15.75" x14ac:dyDescent="0.25">
      <c r="A322" s="18" t="s">
        <v>1761</v>
      </c>
      <c r="B322" s="18" t="s">
        <v>1834</v>
      </c>
      <c r="C322" s="84" t="s">
        <v>1782</v>
      </c>
      <c r="D322" s="18">
        <v>1</v>
      </c>
      <c r="E322" s="18" t="s">
        <v>1508</v>
      </c>
      <c r="H322" s="18" t="s">
        <v>1751</v>
      </c>
      <c r="I322" s="18" t="s">
        <v>1508</v>
      </c>
      <c r="J322" s="18" t="s">
        <v>1762</v>
      </c>
      <c r="K322" s="18" t="s">
        <v>1751</v>
      </c>
      <c r="L322" s="18">
        <v>1</v>
      </c>
      <c r="M322" s="18" t="s">
        <v>1763</v>
      </c>
      <c r="O322" s="18">
        <v>1</v>
      </c>
      <c r="Q322" s="84" t="s">
        <v>1764</v>
      </c>
      <c r="R322" s="84"/>
      <c r="S322" s="18">
        <v>12</v>
      </c>
      <c r="U322" s="18">
        <v>13</v>
      </c>
      <c r="W322" s="84">
        <v>12</v>
      </c>
      <c r="X322" s="1"/>
      <c r="Y322" s="1"/>
      <c r="Z322" s="18">
        <v>3</v>
      </c>
      <c r="AA322" s="94" t="s">
        <v>2310</v>
      </c>
      <c r="AB322" s="18" t="s">
        <v>1894</v>
      </c>
      <c r="AC322" s="86" t="s">
        <v>1954</v>
      </c>
      <c r="AD322" s="84"/>
      <c r="AE322" s="86" t="s">
        <v>1842</v>
      </c>
      <c r="AF322" s="84"/>
      <c r="AG322" s="84"/>
      <c r="AH322" s="84"/>
      <c r="AI322" s="84"/>
      <c r="AJ322" s="84"/>
      <c r="AK322" s="84"/>
      <c r="AL322" s="84"/>
      <c r="AM322" s="84"/>
      <c r="AN322" s="84"/>
      <c r="AO322" s="84"/>
      <c r="AP322" s="84"/>
      <c r="AQ322" s="84"/>
      <c r="AR322" s="84"/>
      <c r="AS322" s="84"/>
      <c r="AT322" s="84"/>
      <c r="AU322" s="84"/>
      <c r="AV322" s="84"/>
      <c r="AW322" s="84"/>
      <c r="AX322" s="84"/>
      <c r="AY322" s="84"/>
      <c r="AZ322" s="84"/>
      <c r="BA322" s="84"/>
      <c r="BB322" s="84"/>
      <c r="BC322" s="84"/>
      <c r="BD322" s="84"/>
      <c r="BE322" s="84"/>
      <c r="BF322" s="84"/>
      <c r="BG322" s="84"/>
      <c r="BH322" s="84"/>
      <c r="BI322" s="84"/>
      <c r="BJ322" s="84"/>
      <c r="BK322" s="84"/>
      <c r="BL322" s="84"/>
      <c r="BM322" s="84"/>
      <c r="BN322" s="84"/>
      <c r="BO322" s="84"/>
      <c r="BP322" s="84"/>
      <c r="BQ322" s="84"/>
      <c r="BR322" s="84"/>
      <c r="BS322" s="84"/>
      <c r="BT322" s="84"/>
      <c r="BU322" s="84"/>
      <c r="BV322" s="84"/>
    </row>
    <row r="323" spans="1:74" s="45" customFormat="1" x14ac:dyDescent="0.25">
      <c r="A323" s="45" t="s">
        <v>1765</v>
      </c>
      <c r="B323" s="45">
        <v>718339</v>
      </c>
      <c r="C323" s="1" t="s">
        <v>1782</v>
      </c>
      <c r="D323" s="45">
        <v>1</v>
      </c>
      <c r="E323" s="45" t="s">
        <v>1766</v>
      </c>
      <c r="H323" s="45" t="s">
        <v>1762</v>
      </c>
      <c r="I323" s="45" t="s">
        <v>1767</v>
      </c>
      <c r="J323" s="45" t="s">
        <v>1766</v>
      </c>
      <c r="K323" s="45" t="s">
        <v>1767</v>
      </c>
      <c r="L323" s="45">
        <v>0</v>
      </c>
      <c r="O323" s="45">
        <v>1</v>
      </c>
      <c r="P323" s="45" t="s">
        <v>1768</v>
      </c>
      <c r="Q323" s="1" t="s">
        <v>1762</v>
      </c>
      <c r="R323" s="1"/>
      <c r="S323" s="45">
        <v>10</v>
      </c>
      <c r="W323" s="1">
        <v>10</v>
      </c>
      <c r="X323" s="1"/>
      <c r="Y323" s="1"/>
      <c r="Z323" s="45">
        <v>-1</v>
      </c>
      <c r="AA323" s="13" t="b">
        <v>0</v>
      </c>
      <c r="AB323" s="1"/>
      <c r="AC323" s="57" t="s">
        <v>1955</v>
      </c>
      <c r="AD323" s="1"/>
      <c r="AE323" s="57" t="s">
        <v>1843</v>
      </c>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row>
    <row r="324" spans="1:74" s="45" customFormat="1" x14ac:dyDescent="0.25">
      <c r="A324" s="45" t="s">
        <v>1769</v>
      </c>
      <c r="B324" s="45">
        <v>713500</v>
      </c>
      <c r="C324" s="1" t="s">
        <v>1782</v>
      </c>
      <c r="D324" s="45">
        <v>0</v>
      </c>
      <c r="H324" s="45" t="s">
        <v>1770</v>
      </c>
      <c r="I324" s="45" t="s">
        <v>1535</v>
      </c>
      <c r="J324" s="45" t="s">
        <v>1770</v>
      </c>
      <c r="K324" s="45" t="s">
        <v>123</v>
      </c>
      <c r="L324" s="45">
        <v>0</v>
      </c>
      <c r="O324" s="45">
        <v>1</v>
      </c>
      <c r="P324" s="45" t="s">
        <v>1555</v>
      </c>
      <c r="Q324" s="13" t="s">
        <v>1474</v>
      </c>
      <c r="R324" s="1"/>
      <c r="T324" s="45">
        <v>20</v>
      </c>
      <c r="W324" s="1">
        <v>20</v>
      </c>
      <c r="X324" s="1"/>
      <c r="Y324" s="1"/>
      <c r="Z324" s="45">
        <v>-1</v>
      </c>
      <c r="AA324" s="13" t="b">
        <v>0</v>
      </c>
      <c r="AB324" s="1" t="s">
        <v>1889</v>
      </c>
      <c r="AC324" s="57" t="s">
        <v>1956</v>
      </c>
      <c r="AD324" s="1"/>
      <c r="AE324" s="57"/>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1771</v>
      </c>
      <c r="B325" s="45">
        <v>718749</v>
      </c>
      <c r="C325" s="1" t="s">
        <v>1782</v>
      </c>
      <c r="D325" s="45">
        <v>0</v>
      </c>
      <c r="H325" s="45" t="s">
        <v>1772</v>
      </c>
      <c r="I325" s="45" t="s">
        <v>1772</v>
      </c>
      <c r="J325" s="45" t="s">
        <v>1773</v>
      </c>
      <c r="K325" s="45" t="s">
        <v>1772</v>
      </c>
      <c r="L325" s="45">
        <v>0</v>
      </c>
      <c r="O325" s="45">
        <v>1</v>
      </c>
      <c r="P325" s="45" t="s">
        <v>1774</v>
      </c>
      <c r="Q325" s="1"/>
      <c r="R325" s="1" t="s">
        <v>1774</v>
      </c>
      <c r="W325" s="1"/>
      <c r="X325" s="1"/>
      <c r="Y325" s="1"/>
      <c r="Z325" s="45">
        <v>-1</v>
      </c>
      <c r="AA325" s="13" t="b">
        <v>0</v>
      </c>
      <c r="AB325" s="1"/>
      <c r="AC325" s="57" t="s">
        <v>1851</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1775</v>
      </c>
      <c r="B326" s="45">
        <v>718753</v>
      </c>
      <c r="C326" s="1" t="s">
        <v>1782</v>
      </c>
      <c r="D326" s="45">
        <v>0</v>
      </c>
      <c r="H326" s="45" t="s">
        <v>1776</v>
      </c>
      <c r="I326" s="45" t="s">
        <v>1759</v>
      </c>
      <c r="J326" s="45" t="s">
        <v>1773</v>
      </c>
      <c r="K326" s="45" t="s">
        <v>1776</v>
      </c>
      <c r="L326" s="45">
        <v>0</v>
      </c>
      <c r="O326" s="45">
        <v>1</v>
      </c>
      <c r="P326" s="45" t="s">
        <v>1777</v>
      </c>
      <c r="Q326" s="1" t="s">
        <v>1778</v>
      </c>
      <c r="R326" s="1"/>
      <c r="S326" s="45">
        <v>20</v>
      </c>
      <c r="W326" s="1">
        <v>20</v>
      </c>
      <c r="X326" s="1"/>
      <c r="Y326" s="1"/>
      <c r="Z326" s="45">
        <v>-1</v>
      </c>
      <c r="AA326" s="13" t="b">
        <v>0</v>
      </c>
      <c r="AB326" s="1"/>
      <c r="AC326" s="57" t="s">
        <v>1850</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9" customFormat="1" x14ac:dyDescent="0.25">
      <c r="A327" s="49" t="s">
        <v>1779</v>
      </c>
      <c r="B327" s="49">
        <v>717561</v>
      </c>
      <c r="C327" s="1" t="s">
        <v>1782</v>
      </c>
      <c r="D327" s="49">
        <v>0</v>
      </c>
      <c r="H327" s="49" t="s">
        <v>1780</v>
      </c>
      <c r="I327" s="49" t="s">
        <v>1780</v>
      </c>
      <c r="J327" s="49" t="s">
        <v>1759</v>
      </c>
      <c r="K327" s="49" t="s">
        <v>1780</v>
      </c>
      <c r="L327" s="49">
        <v>0</v>
      </c>
      <c r="O327" s="49">
        <v>1</v>
      </c>
      <c r="Q327" s="1"/>
      <c r="R327" s="1" t="s">
        <v>1781</v>
      </c>
      <c r="S327" s="49">
        <v>6</v>
      </c>
      <c r="W327" s="1">
        <v>6</v>
      </c>
      <c r="X327" s="1">
        <v>11</v>
      </c>
      <c r="Y327" s="1" t="s">
        <v>2305</v>
      </c>
      <c r="Z327" s="49">
        <v>9</v>
      </c>
      <c r="AA327" s="13" t="b">
        <v>1</v>
      </c>
      <c r="AB327" s="1"/>
      <c r="AC327" s="57"/>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5" customFormat="1" x14ac:dyDescent="0.25">
      <c r="A328" s="45" t="s">
        <v>1800</v>
      </c>
      <c r="B328" s="45">
        <v>519696</v>
      </c>
      <c r="C328" s="1" t="s">
        <v>1782</v>
      </c>
      <c r="D328" s="45">
        <v>2</v>
      </c>
      <c r="E328" s="45" t="s">
        <v>1801</v>
      </c>
      <c r="F328" s="45" t="s">
        <v>1801</v>
      </c>
      <c r="H328" s="45" t="s">
        <v>1802</v>
      </c>
      <c r="I328" s="45" t="s">
        <v>1776</v>
      </c>
      <c r="J328" s="47" t="s">
        <v>1734</v>
      </c>
      <c r="K328" s="45" t="s">
        <v>1802</v>
      </c>
      <c r="L328" s="45">
        <v>1</v>
      </c>
      <c r="M328" s="45" t="s">
        <v>1802</v>
      </c>
      <c r="O328" s="45">
        <v>1</v>
      </c>
      <c r="Q328" s="1" t="s">
        <v>1803</v>
      </c>
      <c r="R328" s="1"/>
      <c r="T328" s="45">
        <v>20.7</v>
      </c>
      <c r="W328" s="1">
        <v>21</v>
      </c>
      <c r="X328" s="1">
        <v>23</v>
      </c>
      <c r="Y328" s="1" t="s">
        <v>2306</v>
      </c>
      <c r="Z328" s="45">
        <v>-1</v>
      </c>
      <c r="AA328" s="13" t="s">
        <v>2310</v>
      </c>
      <c r="AB328" s="17" t="s">
        <v>1889</v>
      </c>
      <c r="AC328" s="57" t="s">
        <v>1950</v>
      </c>
      <c r="AD328" s="1"/>
      <c r="AE328" s="57" t="s">
        <v>1844</v>
      </c>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1804</v>
      </c>
      <c r="B329" s="45">
        <v>55178</v>
      </c>
      <c r="C329" s="1" t="s">
        <v>1782</v>
      </c>
      <c r="D329" s="45">
        <v>0</v>
      </c>
      <c r="H329" s="45" t="s">
        <v>1468</v>
      </c>
      <c r="I329" s="45" t="s">
        <v>1774</v>
      </c>
      <c r="J329" s="45" t="s">
        <v>1805</v>
      </c>
      <c r="K329" s="45" t="s">
        <v>1806</v>
      </c>
      <c r="L329" s="45">
        <v>0</v>
      </c>
      <c r="O329" s="45">
        <v>0</v>
      </c>
      <c r="Q329" s="1" t="s">
        <v>1807</v>
      </c>
      <c r="R329" s="1"/>
      <c r="T329" s="45">
        <v>4</v>
      </c>
      <c r="W329" s="1">
        <v>4</v>
      </c>
      <c r="X329" s="1"/>
      <c r="Y329" s="1"/>
      <c r="Z329" s="45">
        <v>-1</v>
      </c>
      <c r="AA329" s="13" t="b">
        <v>0</v>
      </c>
      <c r="AB329" s="1"/>
      <c r="AC329" s="57" t="s">
        <v>1852</v>
      </c>
      <c r="AD329" s="1"/>
      <c r="AE329" s="57" t="s">
        <v>1845</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1808</v>
      </c>
      <c r="B330" s="45">
        <v>719992</v>
      </c>
      <c r="C330" s="1" t="s">
        <v>1782</v>
      </c>
      <c r="D330" s="45">
        <v>0</v>
      </c>
      <c r="H330" s="45" t="s">
        <v>1778</v>
      </c>
      <c r="I330" s="45" t="s">
        <v>1809</v>
      </c>
      <c r="J330" s="45" t="s">
        <v>1810</v>
      </c>
      <c r="K330" s="45" t="s">
        <v>1809</v>
      </c>
      <c r="L330" s="45">
        <v>0</v>
      </c>
      <c r="O330" s="45">
        <v>1</v>
      </c>
      <c r="P330" s="45" t="s">
        <v>1811</v>
      </c>
      <c r="Q330" s="1" t="s">
        <v>1812</v>
      </c>
      <c r="R330" s="1"/>
      <c r="W330" s="1"/>
      <c r="X330" s="1"/>
      <c r="Y330" s="1"/>
      <c r="Z330" s="45">
        <v>-1</v>
      </c>
      <c r="AA330" s="13" t="b">
        <v>0</v>
      </c>
      <c r="AB330" s="1"/>
      <c r="AC330" s="57" t="s">
        <v>1853</v>
      </c>
      <c r="AD330" s="1"/>
      <c r="AE330" s="57" t="s">
        <v>1846</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3" customFormat="1" x14ac:dyDescent="0.25">
      <c r="A331" s="3" t="s">
        <v>1813</v>
      </c>
      <c r="B331" s="3">
        <v>636308</v>
      </c>
      <c r="C331" s="1" t="s">
        <v>1782</v>
      </c>
      <c r="D331" s="3">
        <v>0</v>
      </c>
      <c r="H331" s="3" t="s">
        <v>1807</v>
      </c>
      <c r="I331" s="3" t="s">
        <v>1814</v>
      </c>
      <c r="J331" s="3" t="s">
        <v>1807</v>
      </c>
      <c r="K331" s="3" t="s">
        <v>1814</v>
      </c>
      <c r="L331" s="3">
        <v>1</v>
      </c>
      <c r="M331" s="3" t="s">
        <v>1735</v>
      </c>
      <c r="O331" s="3">
        <v>1</v>
      </c>
      <c r="P331" s="3" t="s">
        <v>1815</v>
      </c>
      <c r="Q331" s="1" t="s">
        <v>1816</v>
      </c>
      <c r="R331" s="1"/>
      <c r="S331" s="3">
        <v>13</v>
      </c>
      <c r="T331" s="3">
        <v>18</v>
      </c>
      <c r="W331" s="1">
        <v>18</v>
      </c>
      <c r="X331" s="1">
        <v>6</v>
      </c>
      <c r="Y331" s="1" t="s">
        <v>2307</v>
      </c>
      <c r="Z331" s="3">
        <v>1</v>
      </c>
      <c r="AA331" s="13" t="b">
        <v>1</v>
      </c>
      <c r="AB331" s="1"/>
      <c r="AC331" s="57" t="s">
        <v>1854</v>
      </c>
      <c r="AD331" s="1"/>
      <c r="AE331" s="57" t="s">
        <v>1847</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26" customFormat="1" ht="15.75" x14ac:dyDescent="0.25">
      <c r="A332" s="26" t="s">
        <v>1817</v>
      </c>
      <c r="B332" s="26">
        <v>101444</v>
      </c>
      <c r="C332" s="83" t="s">
        <v>1782</v>
      </c>
      <c r="D332" s="26">
        <v>0</v>
      </c>
      <c r="H332" s="90" t="s">
        <v>1803</v>
      </c>
      <c r="I332" s="90" t="s">
        <v>1807</v>
      </c>
      <c r="J332" s="90" t="s">
        <v>1957</v>
      </c>
      <c r="K332" s="90" t="s">
        <v>1807</v>
      </c>
      <c r="L332" s="90">
        <v>0</v>
      </c>
      <c r="M332" s="90"/>
      <c r="N332" s="90"/>
      <c r="O332" s="90">
        <v>0</v>
      </c>
      <c r="P332" s="90"/>
      <c r="Q332" s="92" t="s">
        <v>1819</v>
      </c>
      <c r="R332" s="83"/>
      <c r="T332" s="26">
        <v>10</v>
      </c>
      <c r="W332" s="83">
        <v>10</v>
      </c>
      <c r="X332" s="1">
        <v>16</v>
      </c>
      <c r="Y332" s="1" t="s">
        <v>2308</v>
      </c>
      <c r="Z332" s="26">
        <v>5</v>
      </c>
      <c r="AA332" s="92" t="b">
        <v>1</v>
      </c>
      <c r="AB332" s="83"/>
      <c r="AC332" s="85" t="s">
        <v>1958</v>
      </c>
      <c r="AD332" s="83"/>
      <c r="AE332" s="85" t="s">
        <v>1845</v>
      </c>
      <c r="AF332" s="83"/>
      <c r="AG332" s="83"/>
      <c r="AH332" s="83"/>
      <c r="AI332" s="83"/>
      <c r="AJ332" s="83"/>
      <c r="AK332" s="83"/>
      <c r="AL332" s="83"/>
      <c r="AM332" s="83"/>
      <c r="AN332" s="83"/>
      <c r="AO332" s="83"/>
      <c r="AP332" s="83"/>
      <c r="AQ332" s="83"/>
      <c r="AR332" s="83"/>
      <c r="AS332" s="83"/>
      <c r="AT332" s="83"/>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row>
    <row r="333" spans="1:74" s="45" customFormat="1" x14ac:dyDescent="0.25">
      <c r="A333" s="45" t="s">
        <v>1820</v>
      </c>
      <c r="B333" s="45">
        <v>629002</v>
      </c>
      <c r="C333" s="1" t="s">
        <v>1782</v>
      </c>
      <c r="D333" s="45">
        <v>0</v>
      </c>
      <c r="H333" s="45" t="s">
        <v>1821</v>
      </c>
      <c r="I333" s="45" t="s">
        <v>1822</v>
      </c>
      <c r="J333" s="45" t="s">
        <v>1823</v>
      </c>
      <c r="K333" s="45" t="s">
        <v>1821</v>
      </c>
      <c r="L333" s="45">
        <v>0</v>
      </c>
      <c r="O333" s="45">
        <v>1</v>
      </c>
      <c r="Q333" s="1"/>
      <c r="R333" s="1" t="s">
        <v>1824</v>
      </c>
      <c r="T333" s="45">
        <v>11</v>
      </c>
      <c r="W333" s="1">
        <v>11</v>
      </c>
      <c r="X333" s="1"/>
      <c r="Y333" s="1"/>
      <c r="Z333" s="45">
        <v>-1</v>
      </c>
      <c r="AA333" s="13" t="b">
        <v>0</v>
      </c>
      <c r="AB333" s="1"/>
      <c r="AC333" s="57" t="s">
        <v>1853</v>
      </c>
      <c r="AD333" s="1"/>
      <c r="AE333" s="57" t="s">
        <v>1845</v>
      </c>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row>
    <row r="334" spans="1:74" s="45" customFormat="1" x14ac:dyDescent="0.25">
      <c r="A334" s="45" t="s">
        <v>1825</v>
      </c>
      <c r="B334" s="45">
        <v>659523</v>
      </c>
      <c r="C334" s="1" t="s">
        <v>1782</v>
      </c>
      <c r="D334" s="45">
        <v>2</v>
      </c>
      <c r="E334" s="45" t="s">
        <v>1826</v>
      </c>
      <c r="F334" s="45" t="s">
        <v>1826</v>
      </c>
      <c r="H334" s="45" t="s">
        <v>1827</v>
      </c>
      <c r="I334" s="45" t="s">
        <v>1822</v>
      </c>
      <c r="J334" s="45" t="s">
        <v>1828</v>
      </c>
      <c r="K334" s="45" t="s">
        <v>1826</v>
      </c>
      <c r="L334" s="45">
        <v>1</v>
      </c>
      <c r="M334" s="45" t="s">
        <v>1829</v>
      </c>
      <c r="O334" s="45">
        <v>0</v>
      </c>
      <c r="Q334" s="1" t="s">
        <v>1830</v>
      </c>
      <c r="R334" s="1"/>
      <c r="W334" s="1"/>
      <c r="X334" s="1"/>
      <c r="Y334" s="1"/>
      <c r="Z334" s="45">
        <v>-1</v>
      </c>
      <c r="AA334" s="13" t="b">
        <v>0</v>
      </c>
      <c r="AB334" s="1"/>
      <c r="AC334" s="57" t="s">
        <v>1853</v>
      </c>
      <c r="AD334" s="1"/>
      <c r="AE334" s="57" t="s">
        <v>1848</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1831</v>
      </c>
      <c r="B335" s="45">
        <v>721580</v>
      </c>
      <c r="C335" s="1" t="s">
        <v>1782</v>
      </c>
      <c r="D335" s="45">
        <v>0</v>
      </c>
      <c r="H335" s="45" t="s">
        <v>1832</v>
      </c>
      <c r="I335" s="45" t="s">
        <v>1828</v>
      </c>
      <c r="J335" s="45" t="s">
        <v>1855</v>
      </c>
      <c r="K335" s="45" t="s">
        <v>1832</v>
      </c>
      <c r="L335" s="45">
        <v>0</v>
      </c>
      <c r="O335" s="45">
        <v>1</v>
      </c>
      <c r="P335" s="45" t="s">
        <v>1829</v>
      </c>
      <c r="Q335" s="1" t="s">
        <v>1833</v>
      </c>
      <c r="R335" s="1"/>
      <c r="W335" s="1"/>
      <c r="X335" s="1"/>
      <c r="Y335" s="1"/>
      <c r="Z335" s="45">
        <v>-1</v>
      </c>
      <c r="AA335" s="13" t="b">
        <v>0</v>
      </c>
      <c r="AB335" s="1" t="s">
        <v>1894</v>
      </c>
      <c r="AC335" s="57" t="s">
        <v>1856</v>
      </c>
      <c r="AD335" s="1"/>
      <c r="AE335" s="57" t="s">
        <v>1849</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25" customFormat="1" x14ac:dyDescent="0.25">
      <c r="A336" s="1"/>
      <c r="B336" s="13"/>
      <c r="C336" s="1"/>
      <c r="D336" s="1"/>
      <c r="E336" s="1"/>
      <c r="F336" s="1"/>
      <c r="G336" s="1"/>
      <c r="H336" s="1"/>
      <c r="I336" s="1"/>
      <c r="J336" s="1"/>
      <c r="K336" s="1"/>
      <c r="L336" s="1"/>
      <c r="M336" s="1"/>
      <c r="N336" s="1"/>
      <c r="O336" s="1"/>
      <c r="P336" s="1"/>
      <c r="Q336" s="1"/>
      <c r="R336" s="1"/>
      <c r="S336" s="1"/>
      <c r="T336" s="1"/>
      <c r="U336" s="1"/>
      <c r="V336" s="1"/>
      <c r="W336" s="1"/>
      <c r="X336" s="1"/>
      <c r="Y336" s="1"/>
      <c r="Z336" s="1"/>
      <c r="AA336" s="13"/>
      <c r="AB336" s="1"/>
      <c r="AC336" s="57"/>
      <c r="AD336" s="1"/>
      <c r="AE336" s="57"/>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79"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3"/>
      <c r="AC337" s="57" t="s">
        <v>1721</v>
      </c>
      <c r="AE337" s="87"/>
    </row>
    <row r="338" spans="1:74" s="45"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3"/>
      <c r="AB338" s="1"/>
      <c r="AC338" s="57" t="s">
        <v>1636</v>
      </c>
      <c r="AD338" s="1"/>
      <c r="AE338" s="57"/>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row>
    <row r="339" spans="1:74" s="49"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3"/>
      <c r="AB339" s="1"/>
      <c r="AC339" s="57" t="s">
        <v>1634</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25"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3"/>
      <c r="AB340" s="1"/>
      <c r="AC340" s="57"/>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45" customFormat="1" x14ac:dyDescent="0.25">
      <c r="A341" s="1"/>
      <c r="B341" s="13"/>
      <c r="C341" s="1"/>
      <c r="D341" s="91"/>
      <c r="E341" s="1"/>
      <c r="F341" s="1"/>
      <c r="G341" s="1"/>
      <c r="H341" s="1"/>
      <c r="I341" s="1"/>
      <c r="J341" s="91"/>
      <c r="K341" s="1"/>
      <c r="L341" s="1"/>
      <c r="M341" s="1"/>
      <c r="N341" s="1"/>
      <c r="O341" s="1"/>
      <c r="P341" s="1"/>
      <c r="Q341" s="1"/>
      <c r="R341" s="1"/>
      <c r="S341" s="1"/>
      <c r="T341" s="1"/>
      <c r="U341" s="1"/>
      <c r="V341" s="1"/>
      <c r="W341" s="1"/>
      <c r="X341" s="1"/>
      <c r="Y341" s="1"/>
      <c r="Z341" s="1"/>
      <c r="AA341" s="13"/>
      <c r="AB341" s="1"/>
      <c r="AC341" s="57" t="s">
        <v>1722</v>
      </c>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x14ac:dyDescent="0.25">
      <c r="C342" s="1"/>
      <c r="AC342" s="57" t="s">
        <v>1723</v>
      </c>
    </row>
    <row r="343" spans="1:74" x14ac:dyDescent="0.25">
      <c r="C343" s="1"/>
      <c r="L343" s="91"/>
      <c r="P343" s="91"/>
      <c r="AC343" s="57" t="s">
        <v>1724</v>
      </c>
    </row>
    <row r="344" spans="1:74" s="49" customFormat="1" x14ac:dyDescent="0.25">
      <c r="A344" s="1"/>
      <c r="B344" s="13"/>
      <c r="C344" s="1"/>
      <c r="D344" s="1"/>
      <c r="E344" s="1"/>
      <c r="F344" s="1"/>
      <c r="G344" s="1"/>
      <c r="H344" s="1"/>
      <c r="I344" s="1"/>
      <c r="J344" s="1"/>
      <c r="K344" s="1"/>
      <c r="L344" s="1"/>
      <c r="M344" s="1"/>
      <c r="N344" s="1"/>
      <c r="O344" s="1"/>
      <c r="P344" s="1"/>
      <c r="Q344" s="1"/>
      <c r="R344" s="1"/>
      <c r="S344" s="1"/>
      <c r="T344" s="1"/>
      <c r="U344" s="1"/>
      <c r="V344" s="1"/>
      <c r="W344" s="1"/>
      <c r="X344" s="1"/>
      <c r="Y344" s="1"/>
      <c r="Z344" s="1"/>
      <c r="AA344" s="13"/>
      <c r="AB344" s="1"/>
      <c r="AC344" s="57"/>
      <c r="AD344" s="1"/>
      <c r="AE344" s="57"/>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row>
    <row r="345" spans="1:74" s="25"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x14ac:dyDescent="0.25">
      <c r="C346" s="1"/>
      <c r="D346" s="57"/>
      <c r="AC346" s="57" t="s">
        <v>1633</v>
      </c>
    </row>
    <row r="347" spans="1:74" s="45" customFormat="1" x14ac:dyDescent="0.25">
      <c r="A347" s="1"/>
      <c r="B347" s="13"/>
      <c r="C347" s="1"/>
      <c r="D347" s="1"/>
      <c r="E347" s="1"/>
      <c r="F347" s="1"/>
      <c r="G347" s="1"/>
      <c r="H347" s="1"/>
      <c r="I347" s="1"/>
      <c r="J347" s="1"/>
      <c r="K347" s="1"/>
      <c r="L347" s="1"/>
      <c r="M347" s="1"/>
      <c r="N347" s="1"/>
      <c r="O347" s="1"/>
      <c r="P347" s="1"/>
      <c r="Q347" s="1"/>
      <c r="R347" s="1"/>
      <c r="S347" s="1"/>
      <c r="T347" s="1"/>
      <c r="U347" s="1"/>
      <c r="V347" s="1"/>
      <c r="W347" s="1"/>
      <c r="X347" s="1"/>
      <c r="Y347" s="1"/>
      <c r="Z347" s="1"/>
      <c r="AA347" s="13"/>
      <c r="AB347" s="1"/>
      <c r="AC347" s="57" t="s">
        <v>1637</v>
      </c>
      <c r="AD347" s="1"/>
      <c r="AE347" s="57"/>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row>
    <row r="348" spans="1:74" s="2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3"/>
      <c r="AB348" s="1"/>
      <c r="AC348" s="57"/>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x14ac:dyDescent="0.25">
      <c r="C349" s="1"/>
    </row>
    <row r="350" spans="1:74" s="45" customFormat="1" x14ac:dyDescent="0.25">
      <c r="A350" s="1"/>
      <c r="B350" s="13"/>
      <c r="C350" s="1"/>
      <c r="D350" s="1"/>
      <c r="E350" s="1"/>
      <c r="F350" s="1"/>
      <c r="G350" s="1"/>
      <c r="H350" s="1"/>
      <c r="I350" s="1"/>
      <c r="J350" s="1"/>
      <c r="K350" s="1"/>
      <c r="L350" s="1"/>
      <c r="M350" s="1"/>
      <c r="N350" s="1"/>
      <c r="O350" s="1"/>
      <c r="P350" s="1"/>
      <c r="Q350" s="1"/>
      <c r="R350" s="1"/>
      <c r="S350" s="1"/>
      <c r="T350" s="1"/>
      <c r="U350" s="1"/>
      <c r="V350" s="1"/>
      <c r="W350" s="1"/>
      <c r="X350" s="1"/>
      <c r="Y350" s="1"/>
      <c r="Z350" s="1"/>
      <c r="AA350" s="13"/>
      <c r="AB350" s="1"/>
      <c r="AC350" s="57" t="s">
        <v>1636</v>
      </c>
      <c r="AD350" s="1"/>
      <c r="AE350" s="57"/>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row>
    <row r="351" spans="1:74" s="40"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3"/>
      <c r="AB351" s="1"/>
      <c r="AC351" s="57"/>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x14ac:dyDescent="0.25">
      <c r="C352" s="1"/>
    </row>
    <row r="353" spans="1:74" x14ac:dyDescent="0.25">
      <c r="C353" s="1"/>
    </row>
    <row r="354" spans="1:74" x14ac:dyDescent="0.25">
      <c r="C354" s="1"/>
    </row>
    <row r="355" spans="1:74" x14ac:dyDescent="0.25">
      <c r="C355" s="1"/>
    </row>
    <row r="356" spans="1:74" s="40" customFormat="1" x14ac:dyDescent="0.25">
      <c r="A356" s="1"/>
      <c r="B356" s="13"/>
      <c r="C356" s="1"/>
      <c r="D356" s="1"/>
      <c r="E356" s="1"/>
      <c r="F356" s="1"/>
      <c r="G356" s="1"/>
      <c r="H356" s="1"/>
      <c r="I356" s="1"/>
      <c r="J356" s="1"/>
      <c r="K356" s="1"/>
      <c r="L356" s="1"/>
      <c r="M356" s="1"/>
      <c r="N356" s="1"/>
      <c r="O356" s="1"/>
      <c r="P356" s="1"/>
      <c r="Q356" s="1"/>
      <c r="R356" s="1"/>
      <c r="S356" s="1"/>
      <c r="T356" s="1"/>
      <c r="U356" s="1"/>
      <c r="V356" s="1"/>
      <c r="W356" s="1"/>
      <c r="X356" s="1"/>
      <c r="Y356" s="1"/>
      <c r="Z356" s="1"/>
      <c r="AA356" s="13"/>
      <c r="AB356" s="1"/>
      <c r="AC356" s="57"/>
      <c r="AD356" s="1"/>
      <c r="AE356" s="57"/>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3"/>
      <c r="AB357" s="1"/>
      <c r="AC357" s="57" t="s">
        <v>1634</v>
      </c>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5"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3"/>
      <c r="AB358" s="1"/>
      <c r="AC358" s="57" t="s">
        <v>1637</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3"/>
      <c r="AB359" s="1"/>
      <c r="AC359" s="57" t="s">
        <v>1637</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0"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3"/>
      <c r="AB360" s="1"/>
      <c r="AC360" s="57"/>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x14ac:dyDescent="0.25">
      <c r="C361" s="1"/>
    </row>
    <row r="362" spans="1:74" s="49" customFormat="1" x14ac:dyDescent="0.25">
      <c r="A362" s="1"/>
      <c r="B362" s="13"/>
      <c r="C362" s="1"/>
      <c r="D362" s="1"/>
      <c r="E362" s="1"/>
      <c r="F362" s="1"/>
      <c r="G362" s="1"/>
      <c r="H362" s="1"/>
      <c r="I362" s="1"/>
      <c r="J362" s="1"/>
      <c r="K362" s="1"/>
      <c r="L362" s="1"/>
      <c r="M362" s="1"/>
      <c r="N362" s="1"/>
      <c r="O362" s="1"/>
      <c r="P362" s="1"/>
      <c r="Q362" s="1"/>
      <c r="R362" s="1"/>
      <c r="S362" s="1"/>
      <c r="T362" s="1"/>
      <c r="U362" s="1"/>
      <c r="V362" s="1"/>
      <c r="W362" s="1"/>
      <c r="X362" s="1"/>
      <c r="Y362" s="1"/>
      <c r="Z362" s="1"/>
      <c r="AA362" s="13"/>
      <c r="AB362" s="1"/>
      <c r="AC362" s="57"/>
      <c r="AD362" s="1"/>
      <c r="AE362" s="57"/>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row>
    <row r="363" spans="1:74" s="25"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x14ac:dyDescent="0.25">
      <c r="C364" s="1"/>
    </row>
    <row r="365" spans="1:74" s="45" customFormat="1" x14ac:dyDescent="0.25">
      <c r="A365" s="1"/>
      <c r="B365" s="13"/>
      <c r="C365" s="1"/>
      <c r="D365" s="1"/>
      <c r="E365" s="1"/>
      <c r="F365" s="1"/>
      <c r="G365" s="1"/>
      <c r="H365" s="1"/>
      <c r="I365" s="1"/>
      <c r="J365" s="1"/>
      <c r="K365" s="1"/>
      <c r="L365" s="1"/>
      <c r="M365" s="1"/>
      <c r="N365" s="1"/>
      <c r="O365" s="1"/>
      <c r="P365" s="1"/>
      <c r="Q365" s="1"/>
      <c r="R365" s="1"/>
      <c r="S365" s="1"/>
      <c r="T365" s="1"/>
      <c r="U365" s="1"/>
      <c r="V365" s="1"/>
      <c r="W365" s="1"/>
      <c r="X365" s="1"/>
      <c r="Y365" s="1"/>
      <c r="Z365" s="1"/>
      <c r="AA365" s="13"/>
      <c r="AB365" s="1"/>
      <c r="AC365" s="57" t="s">
        <v>1637</v>
      </c>
      <c r="AD365" s="1"/>
      <c r="AE365" s="57"/>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row>
    <row r="366" spans="1:74" x14ac:dyDescent="0.25">
      <c r="C366" s="1"/>
    </row>
    <row r="367" spans="1:74" x14ac:dyDescent="0.25">
      <c r="C367" s="1"/>
    </row>
    <row r="368" spans="1:74" s="45" customFormat="1" x14ac:dyDescent="0.25">
      <c r="A368" s="1"/>
      <c r="B368" s="13"/>
      <c r="C368" s="1"/>
      <c r="D368" s="1"/>
      <c r="E368" s="1"/>
      <c r="F368" s="1"/>
      <c r="G368" s="1"/>
      <c r="H368" s="1"/>
      <c r="I368" s="1"/>
      <c r="J368" s="1"/>
      <c r="K368" s="1"/>
      <c r="L368" s="1"/>
      <c r="M368" s="1"/>
      <c r="N368" s="1"/>
      <c r="O368" s="1"/>
      <c r="P368" s="1"/>
      <c r="Q368" s="1"/>
      <c r="R368" s="1"/>
      <c r="S368" s="1"/>
      <c r="T368" s="1"/>
      <c r="U368" s="1"/>
      <c r="V368" s="1"/>
      <c r="W368" s="1"/>
      <c r="X368" s="1"/>
      <c r="Y368" s="1"/>
      <c r="Z368" s="1"/>
      <c r="AA368" s="13"/>
      <c r="AB368" s="1"/>
      <c r="AC368" s="57" t="s">
        <v>1637</v>
      </c>
      <c r="AD368" s="1"/>
      <c r="AE368" s="57"/>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3"/>
      <c r="AB369" s="1"/>
      <c r="AC369" s="57" t="s">
        <v>1637</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2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3"/>
      <c r="AB370" s="1"/>
      <c r="AC370" s="57"/>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49"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5"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3"/>
      <c r="AB372" s="1"/>
      <c r="AC372" s="57" t="s">
        <v>1637</v>
      </c>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x14ac:dyDescent="0.25">
      <c r="C373" s="1"/>
    </row>
    <row r="374" spans="1:74" s="49" customFormat="1" x14ac:dyDescent="0.25">
      <c r="A374" s="1"/>
      <c r="B374" s="13"/>
      <c r="C374" s="1"/>
      <c r="D374" s="1"/>
      <c r="E374" s="1"/>
      <c r="F374" s="1"/>
      <c r="G374" s="1"/>
      <c r="H374" s="1"/>
      <c r="I374" s="1"/>
      <c r="J374" s="1"/>
      <c r="K374" s="1"/>
      <c r="L374" s="1"/>
      <c r="M374" s="1"/>
      <c r="N374" s="1"/>
      <c r="O374" s="1"/>
      <c r="P374" s="1"/>
      <c r="Q374" s="1"/>
      <c r="R374" s="1"/>
      <c r="S374" s="1"/>
      <c r="T374" s="1"/>
      <c r="U374" s="1"/>
      <c r="V374" s="1"/>
      <c r="W374" s="1"/>
      <c r="X374" s="1"/>
      <c r="Y374" s="1"/>
      <c r="Z374" s="1"/>
      <c r="AA374" s="13"/>
      <c r="AB374" s="1"/>
      <c r="AC374" s="57"/>
      <c r="AD374" s="1"/>
      <c r="AE374" s="57"/>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row>
    <row r="375" spans="1:74" s="25"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x14ac:dyDescent="0.25">
      <c r="C376" s="1"/>
    </row>
    <row r="377" spans="1:74" x14ac:dyDescent="0.25">
      <c r="C377" s="1"/>
    </row>
    <row r="378" spans="1:74" s="49" customFormat="1" x14ac:dyDescent="0.25">
      <c r="A378" s="1"/>
      <c r="B378" s="13"/>
      <c r="C378" s="1"/>
      <c r="D378" s="1"/>
      <c r="E378" s="1"/>
      <c r="F378" s="1"/>
      <c r="G378" s="1"/>
      <c r="H378" s="1"/>
      <c r="I378" s="1"/>
      <c r="J378" s="1"/>
      <c r="K378" s="1"/>
      <c r="L378" s="1"/>
      <c r="M378" s="1"/>
      <c r="N378" s="1"/>
      <c r="O378" s="1"/>
      <c r="P378" s="1"/>
      <c r="Q378" s="1"/>
      <c r="R378" s="1"/>
      <c r="S378" s="1"/>
      <c r="T378" s="1"/>
      <c r="U378" s="1"/>
      <c r="V378" s="1"/>
      <c r="W378" s="1"/>
      <c r="X378" s="1"/>
      <c r="Y378" s="1"/>
      <c r="Z378" s="1"/>
      <c r="AA378" s="13"/>
      <c r="AB378" s="1"/>
      <c r="AC378" s="57"/>
      <c r="AD378" s="1"/>
      <c r="AE378" s="57"/>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row>
    <row r="379" spans="1:74" s="25"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4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3"/>
      <c r="AB381" s="1"/>
      <c r="AC381" s="57" t="s">
        <v>1637</v>
      </c>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x14ac:dyDescent="0.25">
      <c r="C382" s="1"/>
    </row>
    <row r="383" spans="1:74" s="45" customFormat="1" x14ac:dyDescent="0.25">
      <c r="A383" s="1"/>
      <c r="B383" s="13"/>
      <c r="C383" s="1"/>
      <c r="D383" s="1"/>
      <c r="E383" s="1"/>
      <c r="F383" s="1"/>
      <c r="G383" s="1"/>
      <c r="H383" s="1"/>
      <c r="I383" s="1"/>
      <c r="J383" s="1"/>
      <c r="K383" s="1"/>
      <c r="L383" s="1"/>
      <c r="M383" s="1"/>
      <c r="N383" s="1"/>
      <c r="O383" s="1"/>
      <c r="P383" s="1"/>
      <c r="Q383" s="1"/>
      <c r="R383" s="1"/>
      <c r="S383" s="1"/>
      <c r="T383" s="1"/>
      <c r="U383" s="1"/>
      <c r="V383" s="1"/>
      <c r="W383" s="1"/>
      <c r="X383" s="1"/>
      <c r="Y383" s="1"/>
      <c r="Z383" s="1"/>
      <c r="AA383" s="13"/>
      <c r="AB383" s="1"/>
      <c r="AC383" s="57" t="s">
        <v>1637</v>
      </c>
      <c r="AD383" s="1"/>
      <c r="AE383" s="57"/>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3"/>
      <c r="AB384" s="1"/>
      <c r="AC384" s="57" t="s">
        <v>1637</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3"/>
      <c r="AB385" s="1"/>
      <c r="AC385" s="57" t="s">
        <v>1637</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3"/>
      <c r="AB386" s="1"/>
      <c r="AC386" s="57" t="s">
        <v>1636</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3"/>
      <c r="AB387" s="1"/>
      <c r="AC387" s="57" t="s">
        <v>1637</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3"/>
      <c r="AB388" s="1"/>
      <c r="AC388" s="57" t="s">
        <v>1637</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x14ac:dyDescent="0.25">
      <c r="C389" s="1"/>
    </row>
    <row r="390" spans="1:74" s="49" customFormat="1" x14ac:dyDescent="0.25">
      <c r="A390" s="1"/>
      <c r="B390" s="13"/>
      <c r="C390" s="1"/>
      <c r="D390" s="1"/>
      <c r="E390" s="1"/>
      <c r="F390" s="1"/>
      <c r="G390" s="1"/>
      <c r="H390" s="1"/>
      <c r="I390" s="1"/>
      <c r="J390" s="1"/>
      <c r="K390" s="1"/>
      <c r="L390" s="1"/>
      <c r="M390" s="1"/>
      <c r="N390" s="1"/>
      <c r="O390" s="1"/>
      <c r="P390" s="1"/>
      <c r="Q390" s="1"/>
      <c r="R390" s="1"/>
      <c r="S390" s="1"/>
      <c r="T390" s="1"/>
      <c r="U390" s="1"/>
      <c r="V390" s="1"/>
      <c r="W390" s="1"/>
      <c r="X390" s="1"/>
      <c r="Y390" s="1"/>
      <c r="Z390" s="1"/>
      <c r="AA390" s="13"/>
      <c r="AB390" s="1"/>
      <c r="AC390" s="57"/>
      <c r="AD390" s="1"/>
      <c r="AE390" s="57"/>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row>
    <row r="391" spans="1:74" s="45"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3"/>
      <c r="AB391" s="1"/>
      <c r="AC391" s="57" t="s">
        <v>1637</v>
      </c>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3"/>
      <c r="AB392" s="1"/>
      <c r="AC392" s="57" t="s">
        <v>1637</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x14ac:dyDescent="0.25">
      <c r="C393" s="1"/>
    </row>
    <row r="394" spans="1:74" x14ac:dyDescent="0.25">
      <c r="C394" s="1"/>
    </row>
    <row r="395" spans="1:74" s="40" customFormat="1" x14ac:dyDescent="0.25">
      <c r="A395" s="1"/>
      <c r="B395" s="13"/>
      <c r="C395" s="1"/>
      <c r="D395" s="1"/>
      <c r="E395" s="1"/>
      <c r="F395" s="1"/>
      <c r="G395" s="1"/>
      <c r="H395" s="1"/>
      <c r="I395" s="1"/>
      <c r="J395" s="1"/>
      <c r="K395" s="1"/>
      <c r="L395" s="1"/>
      <c r="M395" s="1"/>
      <c r="N395" s="1"/>
      <c r="O395" s="1"/>
      <c r="P395" s="1"/>
      <c r="Q395" s="1"/>
      <c r="R395" s="1"/>
      <c r="S395" s="1"/>
      <c r="T395" s="1"/>
      <c r="U395" s="1"/>
      <c r="V395" s="1"/>
      <c r="W395" s="1"/>
      <c r="X395" s="1"/>
      <c r="Y395" s="1"/>
      <c r="Z395" s="1"/>
      <c r="AA395" s="13"/>
      <c r="AB395" s="1"/>
      <c r="AC395" s="57"/>
      <c r="AD395" s="1"/>
      <c r="AE395" s="57"/>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x14ac:dyDescent="0.25">
      <c r="C400" s="1"/>
    </row>
    <row r="401" spans="1:142" s="40" customFormat="1" x14ac:dyDescent="0.25">
      <c r="A401" s="1"/>
      <c r="B401" s="13"/>
      <c r="C401" s="1"/>
      <c r="D401" s="1"/>
      <c r="E401" s="1"/>
      <c r="F401" s="1"/>
      <c r="G401" s="1"/>
      <c r="H401" s="1"/>
      <c r="I401" s="1"/>
      <c r="J401" s="1"/>
      <c r="K401" s="1"/>
      <c r="L401" s="1"/>
      <c r="M401" s="1"/>
      <c r="N401" s="1"/>
      <c r="O401" s="1"/>
      <c r="P401" s="1"/>
      <c r="Q401" s="1"/>
      <c r="R401" s="1"/>
      <c r="S401" s="1"/>
      <c r="T401" s="1"/>
      <c r="U401" s="1"/>
      <c r="V401" s="1"/>
      <c r="W401" s="1"/>
      <c r="X401" s="1"/>
      <c r="Y401" s="1"/>
      <c r="Z401" s="1"/>
      <c r="AA401" s="13"/>
      <c r="AB401" s="1"/>
      <c r="AC401" s="57"/>
      <c r="AD401" s="1"/>
      <c r="AE401" s="57"/>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row>
    <row r="402" spans="1:142" s="45"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3"/>
      <c r="AB402" s="1"/>
      <c r="AC402" s="57" t="s">
        <v>1636</v>
      </c>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3"/>
      <c r="F403" s="1"/>
      <c r="G403" s="1"/>
      <c r="H403" s="1"/>
      <c r="I403" s="1"/>
      <c r="J403" s="1"/>
      <c r="K403" s="1"/>
      <c r="L403" s="1"/>
      <c r="M403" s="1"/>
      <c r="N403" s="1"/>
      <c r="O403" s="1"/>
      <c r="P403" s="1"/>
      <c r="Q403" s="1"/>
      <c r="R403" s="1"/>
      <c r="S403" s="1"/>
      <c r="T403" s="1"/>
      <c r="U403" s="1"/>
      <c r="V403" s="1"/>
      <c r="W403" s="1"/>
      <c r="X403" s="1"/>
      <c r="Y403" s="1"/>
      <c r="Z403" s="1"/>
      <c r="AA403" s="13"/>
      <c r="AB403" s="1"/>
      <c r="AC403" s="57" t="s">
        <v>1636</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row>
    <row r="404" spans="1:142" x14ac:dyDescent="0.25">
      <c r="C404" s="1"/>
      <c r="D404" s="91"/>
      <c r="L404" s="91"/>
      <c r="M404" s="91"/>
    </row>
    <row r="405" spans="1:142" x14ac:dyDescent="0.25">
      <c r="C405" s="1"/>
      <c r="AC405" s="57" t="s">
        <v>1635</v>
      </c>
    </row>
    <row r="406" spans="1:142" s="25" customFormat="1" x14ac:dyDescent="0.25">
      <c r="A406" s="1"/>
      <c r="B406" s="13"/>
      <c r="C406" s="1"/>
      <c r="D406" s="1"/>
      <c r="E406" s="1"/>
      <c r="F406" s="1"/>
      <c r="G406" s="1"/>
      <c r="H406" s="1"/>
      <c r="I406" s="1"/>
      <c r="J406" s="1"/>
      <c r="K406" s="1"/>
      <c r="L406" s="1"/>
      <c r="M406" s="1"/>
      <c r="N406" s="1"/>
      <c r="O406" s="1"/>
      <c r="P406" s="1"/>
      <c r="Q406" s="1"/>
      <c r="R406" s="1"/>
      <c r="S406" s="1"/>
      <c r="T406" s="1"/>
      <c r="U406" s="1"/>
      <c r="V406" s="1"/>
      <c r="W406" s="1"/>
      <c r="X406" s="1"/>
      <c r="Y406" s="1"/>
      <c r="Z406" s="1"/>
      <c r="AA406" s="13"/>
      <c r="AB406" s="1"/>
      <c r="AC406" s="57"/>
      <c r="AD406" s="1"/>
      <c r="AE406" s="57"/>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row>
    <row r="407" spans="1:142" x14ac:dyDescent="0.25">
      <c r="C407" s="1"/>
    </row>
    <row r="408" spans="1:142" s="40" customFormat="1" x14ac:dyDescent="0.25">
      <c r="A408" s="1"/>
      <c r="B408" s="13"/>
      <c r="C408" s="1"/>
      <c r="D408" s="1"/>
      <c r="E408" s="1"/>
      <c r="F408" s="1"/>
      <c r="G408" s="1"/>
      <c r="H408" s="1"/>
      <c r="I408" s="1"/>
      <c r="J408" s="1"/>
      <c r="K408" s="1"/>
      <c r="L408" s="1"/>
      <c r="M408" s="1"/>
      <c r="N408" s="1"/>
      <c r="O408" s="1"/>
      <c r="P408" s="1"/>
      <c r="Q408" s="1"/>
      <c r="R408" s="1"/>
      <c r="S408" s="1"/>
      <c r="T408" s="1"/>
      <c r="U408" s="1"/>
      <c r="V408" s="1"/>
      <c r="W408" s="1"/>
      <c r="X408" s="1"/>
      <c r="Y408" s="1"/>
      <c r="Z408" s="1"/>
      <c r="AA408" s="13"/>
      <c r="AB408" s="1"/>
      <c r="AC408" s="57"/>
      <c r="AD408" s="1"/>
      <c r="AE408" s="57"/>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row>
    <row r="409" spans="1:142" s="25"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4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3"/>
      <c r="AB410" s="1"/>
      <c r="AC410" s="57" t="s">
        <v>1636</v>
      </c>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x14ac:dyDescent="0.25">
      <c r="C411" s="1"/>
    </row>
    <row r="412" spans="1:142" x14ac:dyDescent="0.25">
      <c r="C412" s="1"/>
    </row>
    <row r="413" spans="1:142" s="40" customFormat="1" x14ac:dyDescent="0.25">
      <c r="A413" s="1"/>
      <c r="B413" s="13"/>
      <c r="C413" s="1"/>
      <c r="D413" s="1"/>
      <c r="E413" s="1"/>
      <c r="F413" s="1"/>
      <c r="G413" s="1"/>
      <c r="H413" s="1"/>
      <c r="I413" s="1"/>
      <c r="J413" s="1"/>
      <c r="K413" s="1"/>
      <c r="L413" s="1"/>
      <c r="M413" s="1"/>
      <c r="N413" s="1"/>
      <c r="O413" s="1"/>
      <c r="P413" s="1"/>
      <c r="Q413" s="1"/>
      <c r="R413" s="1"/>
      <c r="S413" s="1"/>
      <c r="T413" s="1"/>
      <c r="U413" s="1"/>
      <c r="V413" s="1"/>
      <c r="W413" s="1"/>
      <c r="X413" s="1"/>
      <c r="Y413" s="1"/>
      <c r="Z413" s="1"/>
      <c r="AA413" s="13"/>
      <c r="AB413" s="1"/>
      <c r="AC413" s="57"/>
      <c r="AD413" s="1"/>
      <c r="AE413" s="57"/>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x14ac:dyDescent="0.25">
      <c r="C415" s="1"/>
    </row>
    <row r="416" spans="1:142" x14ac:dyDescent="0.25">
      <c r="C416" s="1"/>
    </row>
    <row r="417" spans="1:142" x14ac:dyDescent="0.25">
      <c r="C417" s="1"/>
    </row>
    <row r="418" spans="1:142" x14ac:dyDescent="0.25">
      <c r="C418" s="1"/>
    </row>
    <row r="419" spans="1:142" x14ac:dyDescent="0.25">
      <c r="C419" s="1"/>
    </row>
    <row r="420" spans="1:142" s="40" customFormat="1" x14ac:dyDescent="0.25">
      <c r="A420" s="1"/>
      <c r="B420" s="13"/>
      <c r="C420" s="1"/>
      <c r="D420" s="1"/>
      <c r="E420" s="1"/>
      <c r="F420" s="1"/>
      <c r="G420" s="1"/>
      <c r="H420" s="1"/>
      <c r="I420" s="1"/>
      <c r="J420" s="1"/>
      <c r="K420" s="1"/>
      <c r="L420" s="1"/>
      <c r="M420" s="1"/>
      <c r="N420" s="1"/>
      <c r="O420" s="1"/>
      <c r="P420" s="1"/>
      <c r="Q420" s="1"/>
      <c r="R420" s="1"/>
      <c r="S420" s="1"/>
      <c r="T420" s="1"/>
      <c r="U420" s="1"/>
      <c r="V420" s="1"/>
      <c r="W420" s="1"/>
      <c r="X420" s="1"/>
      <c r="Y420" s="1"/>
      <c r="Z420" s="1"/>
      <c r="AA420" s="13"/>
      <c r="AB420" s="1"/>
      <c r="AC420" s="57"/>
      <c r="AD420" s="1"/>
      <c r="AE420" s="57"/>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row>
    <row r="421" spans="1:142" x14ac:dyDescent="0.25">
      <c r="C421" s="1"/>
    </row>
    <row r="422" spans="1:142" x14ac:dyDescent="0.25">
      <c r="C422" s="1"/>
    </row>
    <row r="423" spans="1:142" s="25" customFormat="1" x14ac:dyDescent="0.25">
      <c r="A423" s="1"/>
      <c r="B423" s="13"/>
      <c r="C423" s="1"/>
      <c r="D423" s="1"/>
      <c r="E423" s="1"/>
      <c r="F423" s="1"/>
      <c r="G423" s="1"/>
      <c r="H423" s="1"/>
      <c r="I423" s="1"/>
      <c r="J423" s="1"/>
      <c r="K423" s="1"/>
      <c r="L423" s="1"/>
      <c r="M423" s="1"/>
      <c r="N423" s="1"/>
      <c r="O423" s="1"/>
      <c r="P423" s="1"/>
      <c r="Q423" s="1"/>
      <c r="R423" s="1"/>
      <c r="S423" s="1"/>
      <c r="T423" s="1"/>
      <c r="U423" s="1"/>
      <c r="V423" s="1"/>
      <c r="W423" s="1"/>
      <c r="X423" s="1"/>
      <c r="Y423" s="1"/>
      <c r="Z423" s="1"/>
      <c r="AA423" s="13"/>
      <c r="AB423" s="1"/>
      <c r="AC423" s="57"/>
      <c r="AD423" s="1"/>
      <c r="AE423" s="57"/>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row>
    <row r="424" spans="1:142" s="40"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x14ac:dyDescent="0.25">
      <c r="C425" s="1"/>
    </row>
    <row r="426" spans="1:142" s="40" customFormat="1" x14ac:dyDescent="0.25">
      <c r="A426" s="1"/>
      <c r="B426" s="13"/>
      <c r="C426" s="1"/>
      <c r="D426" s="1"/>
      <c r="E426" s="1"/>
      <c r="F426" s="1"/>
      <c r="G426" s="1"/>
      <c r="H426" s="1"/>
      <c r="I426" s="1"/>
      <c r="J426" s="1"/>
      <c r="K426" s="1"/>
      <c r="L426" s="1"/>
      <c r="M426" s="1"/>
      <c r="N426" s="1"/>
      <c r="O426" s="1"/>
      <c r="P426" s="1"/>
      <c r="Q426" s="1"/>
      <c r="R426" s="1"/>
      <c r="S426" s="1"/>
      <c r="T426" s="1"/>
      <c r="U426" s="1"/>
      <c r="V426" s="1"/>
      <c r="W426" s="1"/>
      <c r="X426" s="1"/>
      <c r="Y426" s="1"/>
      <c r="Z426" s="1"/>
      <c r="AA426" s="13"/>
      <c r="AB426" s="1"/>
      <c r="AC426" s="57"/>
      <c r="AD426" s="1"/>
      <c r="AE426" s="57"/>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5"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3"/>
      <c r="AB428" s="1"/>
      <c r="AC428" s="57" t="s">
        <v>1636</v>
      </c>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x14ac:dyDescent="0.25">
      <c r="C429" s="1"/>
      <c r="E429" s="13"/>
    </row>
    <row r="430" spans="1:142" s="40" customFormat="1" x14ac:dyDescent="0.25">
      <c r="A430" s="1"/>
      <c r="B430" s="13"/>
      <c r="C430" s="1"/>
      <c r="D430" s="1"/>
      <c r="E430" s="1"/>
      <c r="F430" s="1"/>
      <c r="G430" s="1"/>
      <c r="H430" s="1"/>
      <c r="I430" s="1"/>
      <c r="J430" s="1"/>
      <c r="K430" s="1"/>
      <c r="L430" s="1"/>
      <c r="M430" s="1"/>
      <c r="N430" s="1"/>
      <c r="O430" s="1"/>
      <c r="P430" s="1"/>
      <c r="Q430" s="1"/>
      <c r="R430" s="1"/>
      <c r="S430" s="1"/>
      <c r="T430" s="1"/>
      <c r="U430" s="1"/>
      <c r="V430" s="1"/>
      <c r="W430" s="1"/>
      <c r="X430" s="1"/>
      <c r="Y430" s="1"/>
      <c r="Z430" s="1"/>
      <c r="AA430" s="13"/>
      <c r="AB430" s="1"/>
      <c r="AC430" s="57"/>
      <c r="AD430" s="1"/>
      <c r="AE430" s="57"/>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sheetData>
  <phoneticPr fontId="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Q19" sqref="Q19"/>
    </sheetView>
  </sheetViews>
  <sheetFormatPr defaultRowHeight="15" x14ac:dyDescent="0.25"/>
  <sheetData>
    <row r="1" spans="2:19" x14ac:dyDescent="0.25">
      <c r="B1" s="1"/>
    </row>
    <row r="2" spans="2:19" x14ac:dyDescent="0.25">
      <c r="B2" s="45">
        <v>-1</v>
      </c>
      <c r="C2" s="46"/>
      <c r="D2" s="46" t="s">
        <v>1274</v>
      </c>
      <c r="E2" s="46"/>
      <c r="F2" s="46"/>
      <c r="G2" s="46"/>
      <c r="H2" s="46"/>
      <c r="I2" s="46"/>
      <c r="J2" s="45">
        <f>COUNTIF(data!Z2:Z315,-1)</f>
        <v>17</v>
      </c>
      <c r="R2" t="s">
        <v>1890</v>
      </c>
    </row>
    <row r="3" spans="2:19" ht="15.75" x14ac:dyDescent="0.25">
      <c r="B3" s="3">
        <v>1</v>
      </c>
      <c r="C3" s="8"/>
      <c r="D3" s="9" t="s">
        <v>1787</v>
      </c>
      <c r="E3" s="10"/>
      <c r="F3" s="3"/>
      <c r="G3" s="3"/>
      <c r="H3" s="3"/>
      <c r="I3" s="3"/>
      <c r="J3" s="3">
        <f>COUNTIF(data!Z2:Z315,1)</f>
        <v>27</v>
      </c>
      <c r="R3" t="s">
        <v>1894</v>
      </c>
      <c r="S3" t="s">
        <v>1891</v>
      </c>
    </row>
    <row r="4" spans="2:19" ht="15.75" x14ac:dyDescent="0.25">
      <c r="B4" s="2">
        <v>2</v>
      </c>
      <c r="C4" s="14"/>
      <c r="D4" s="15" t="s">
        <v>1788</v>
      </c>
      <c r="E4" s="16"/>
      <c r="F4" s="2"/>
      <c r="G4" s="2"/>
      <c r="H4" s="2"/>
      <c r="I4" s="2"/>
      <c r="J4" s="2">
        <f>COUNTIF(data!Z2:Z315,2)</f>
        <v>5</v>
      </c>
      <c r="R4" t="s">
        <v>1897</v>
      </c>
      <c r="S4" t="s">
        <v>1306</v>
      </c>
    </row>
    <row r="5" spans="2:19" ht="15.75" x14ac:dyDescent="0.25">
      <c r="B5" s="17">
        <v>3</v>
      </c>
      <c r="C5" s="18"/>
      <c r="D5" s="19" t="s">
        <v>1234</v>
      </c>
      <c r="E5" s="20"/>
      <c r="F5" s="17"/>
      <c r="G5" s="17"/>
      <c r="H5" s="17"/>
      <c r="I5" s="17"/>
      <c r="J5" s="17">
        <f>COUNTIF(data!Z2:Z315,3)</f>
        <v>6</v>
      </c>
      <c r="R5" t="s">
        <v>1898</v>
      </c>
      <c r="S5" t="s">
        <v>1899</v>
      </c>
    </row>
    <row r="6" spans="2:19" ht="15.75" x14ac:dyDescent="0.25">
      <c r="B6" s="4">
        <v>4</v>
      </c>
      <c r="C6" s="22"/>
      <c r="D6" s="23" t="s">
        <v>1786</v>
      </c>
      <c r="E6" s="24"/>
      <c r="F6" s="4"/>
      <c r="G6" s="4"/>
      <c r="H6" s="4"/>
      <c r="I6" s="4"/>
      <c r="J6" s="4">
        <f>COUNTIF(data!Z2:Z315,4)</f>
        <v>6</v>
      </c>
      <c r="R6" t="s">
        <v>1889</v>
      </c>
      <c r="S6" t="s">
        <v>1895</v>
      </c>
    </row>
    <row r="7" spans="2:19" ht="15.75" x14ac:dyDescent="0.25">
      <c r="B7" s="25">
        <v>5</v>
      </c>
      <c r="C7" s="26"/>
      <c r="D7" s="27" t="s">
        <v>1725</v>
      </c>
      <c r="E7" s="28"/>
      <c r="F7" s="25"/>
      <c r="G7" s="25"/>
      <c r="H7" s="25"/>
      <c r="I7" s="25"/>
      <c r="J7" s="25">
        <f>COUNTIF(data!Z2:Z315,5)</f>
        <v>74</v>
      </c>
      <c r="R7" t="s">
        <v>1892</v>
      </c>
      <c r="S7" t="s">
        <v>1896</v>
      </c>
    </row>
    <row r="8" spans="2:19" ht="15.75" x14ac:dyDescent="0.25">
      <c r="B8" s="30">
        <v>6</v>
      </c>
      <c r="C8" s="31"/>
      <c r="D8" s="32" t="s">
        <v>1257</v>
      </c>
      <c r="E8" s="33"/>
      <c r="F8" s="30"/>
      <c r="G8" s="30"/>
      <c r="H8" s="30"/>
      <c r="I8" s="30"/>
      <c r="J8" s="30">
        <f>COUNTIF(data!Z2:Z315,6)</f>
        <v>26</v>
      </c>
      <c r="R8" t="s">
        <v>1893</v>
      </c>
      <c r="S8" t="s">
        <v>1904</v>
      </c>
    </row>
    <row r="9" spans="2:19" ht="15.75" x14ac:dyDescent="0.25">
      <c r="B9" s="35">
        <v>7</v>
      </c>
      <c r="C9" s="36"/>
      <c r="D9" s="37" t="s">
        <v>1455</v>
      </c>
      <c r="E9" s="38"/>
      <c r="F9" s="35"/>
      <c r="G9" s="35"/>
      <c r="H9" s="35"/>
      <c r="I9" s="35"/>
      <c r="J9" s="35">
        <f>COUNTIF(data!Z2:Z315,7)</f>
        <v>33</v>
      </c>
    </row>
    <row r="10" spans="2:19" ht="15.75" x14ac:dyDescent="0.25">
      <c r="B10" s="40">
        <v>8</v>
      </c>
      <c r="C10" s="41"/>
      <c r="D10" s="42" t="s">
        <v>1460</v>
      </c>
      <c r="E10" s="43"/>
      <c r="F10" s="40"/>
      <c r="G10" s="40"/>
      <c r="H10" s="40"/>
      <c r="I10" s="40"/>
      <c r="J10" s="40">
        <f>COUNTIF(data!Z2:Z315,8)</f>
        <v>59</v>
      </c>
    </row>
    <row r="11" spans="2:19" x14ac:dyDescent="0.25">
      <c r="B11" s="49">
        <v>9</v>
      </c>
      <c r="C11" s="49"/>
      <c r="D11" s="50" t="s">
        <v>1458</v>
      </c>
      <c r="E11" s="50"/>
      <c r="F11" s="49"/>
      <c r="G11" s="49"/>
      <c r="H11" s="49"/>
      <c r="I11" s="49"/>
      <c r="J11" s="49">
        <f>COUNTIF(data!Z2:Z315,9)</f>
        <v>17</v>
      </c>
    </row>
    <row r="12" spans="2:19" ht="15.75" x14ac:dyDescent="0.25">
      <c r="B12" s="52">
        <v>10</v>
      </c>
      <c r="C12" s="53"/>
      <c r="D12" s="55" t="s">
        <v>1451</v>
      </c>
      <c r="E12" s="54"/>
      <c r="F12" s="52"/>
      <c r="G12" s="52"/>
      <c r="H12" s="52"/>
      <c r="I12" s="52"/>
      <c r="J12" s="52">
        <f>COUNTIF(data!Z2:Z315,10)</f>
        <v>3</v>
      </c>
    </row>
    <row r="13" spans="2:19" s="1" customFormat="1" ht="15.75" x14ac:dyDescent="0.25">
      <c r="B13" s="59">
        <v>11</v>
      </c>
      <c r="C13" s="59"/>
      <c r="D13" s="60" t="s">
        <v>1454</v>
      </c>
      <c r="E13" s="59"/>
      <c r="F13" s="59"/>
      <c r="G13" s="59"/>
      <c r="H13" s="59"/>
      <c r="I13" s="59"/>
      <c r="J13" s="59">
        <f>COUNTIF(data!Z2:Z315,11)</f>
        <v>7</v>
      </c>
    </row>
    <row r="14" spans="2:19" x14ac:dyDescent="0.25">
      <c r="B14" s="64">
        <v>12</v>
      </c>
      <c r="C14" s="65"/>
      <c r="D14" s="65" t="s">
        <v>1456</v>
      </c>
      <c r="E14" s="65"/>
      <c r="F14" s="65"/>
      <c r="G14" s="65"/>
      <c r="H14" s="65"/>
      <c r="I14" s="65"/>
      <c r="J14" s="64">
        <f>COUNTIF(data!Z2:Z315,12)</f>
        <v>5</v>
      </c>
    </row>
    <row r="15" spans="2:19" x14ac:dyDescent="0.25">
      <c r="B15" s="68">
        <v>13</v>
      </c>
      <c r="C15" s="69"/>
      <c r="D15" s="69" t="s">
        <v>1457</v>
      </c>
      <c r="E15" s="69"/>
      <c r="F15" s="69"/>
      <c r="G15" s="69"/>
      <c r="H15" s="69"/>
      <c r="I15" s="69"/>
      <c r="J15" s="68">
        <f>COUNTIF(data!Z2:Z315,13)</f>
        <v>7</v>
      </c>
    </row>
    <row r="16" spans="2:19" ht="15.75" x14ac:dyDescent="0.25">
      <c r="B16" s="72">
        <v>14</v>
      </c>
      <c r="C16" s="73"/>
      <c r="D16" s="74" t="s">
        <v>1459</v>
      </c>
      <c r="E16" s="73"/>
      <c r="F16" s="73"/>
      <c r="G16" s="73"/>
      <c r="H16" s="73"/>
      <c r="I16" s="73"/>
      <c r="J16" s="72">
        <f>COUNTIF(data!Z2:Z315,14)</f>
        <v>14</v>
      </c>
    </row>
    <row r="17" spans="2:17" x14ac:dyDescent="0.25">
      <c r="B17" s="1"/>
    </row>
    <row r="18" spans="2:17" x14ac:dyDescent="0.25">
      <c r="Q18">
        <f>COUNTIFS(data!AA2:AA335,"&lt;&gt;TRUE",data!AA2:AA335,"&lt;&gt;FALSE")</f>
        <v>3</v>
      </c>
    </row>
    <row r="19" spans="2:17" x14ac:dyDescent="0.25">
      <c r="P19" t="b">
        <v>1</v>
      </c>
      <c r="Q19">
        <f xml:space="preserve"> COUNTIF(data!AA2:AA335,TRUE)</f>
        <v>293</v>
      </c>
    </row>
    <row r="20" spans="2:17" x14ac:dyDescent="0.25">
      <c r="J20">
        <f xml:space="preserve"> SUM(J2:J16)</f>
        <v>306</v>
      </c>
      <c r="K20" s="58" t="s">
        <v>1453</v>
      </c>
      <c r="L20" s="63">
        <f>J20-J2</f>
        <v>289</v>
      </c>
      <c r="P20" t="b">
        <v>0</v>
      </c>
      <c r="Q20">
        <f xml:space="preserve"> COUNTIF(data!AA2:AA335,FALSE)</f>
        <v>38</v>
      </c>
    </row>
    <row r="21" spans="2:17" x14ac:dyDescent="0.25">
      <c r="Q21">
        <f xml:space="preserve"> SUM(Q19:Q20)</f>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2026-01-28T13:20:40Z</dcterms:modified>
</cp:coreProperties>
</file>