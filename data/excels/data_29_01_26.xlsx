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PROJECTS\statistics\data\excels\"/>
    </mc:Choice>
  </mc:AlternateContent>
  <xr:revisionPtr revIDLastSave="0" documentId="13_ncr:1_{F5500C89-CAED-4928-96F7-516F92CF88C6}" xr6:coauthVersionLast="47" xr6:coauthVersionMax="47" xr10:uidLastSave="{00000000-0000-0000-0000-000000000000}"/>
  <bookViews>
    <workbookView xWindow="-28920" yWindow="-120" windowWidth="29040" windowHeight="15720" xr2:uid="{00000000-000D-0000-FFFF-FFFF00000000}"/>
  </bookViews>
  <sheets>
    <sheet name="data" sheetId="1" r:id="rId1"/>
    <sheet name="resul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8" i="2" l="1"/>
  <c r="Q19" i="2"/>
  <c r="Q20" i="2"/>
  <c r="J16" i="2"/>
  <c r="J15" i="2"/>
  <c r="J14" i="2"/>
  <c r="J13" i="2"/>
  <c r="J12" i="2"/>
  <c r="J11" i="2"/>
  <c r="J2" i="2"/>
  <c r="J10" i="2"/>
  <c r="J9" i="2"/>
  <c r="J8" i="2"/>
  <c r="J7" i="2"/>
  <c r="J6" i="2"/>
  <c r="J5" i="2"/>
  <c r="J4" i="2"/>
  <c r="J3" i="2"/>
  <c r="Q21" i="2" l="1"/>
  <c r="J20" i="2"/>
  <c r="L20" i="2" s="1"/>
</calcChain>
</file>

<file path=xl/sharedStrings.xml><?xml version="1.0" encoding="utf-8"?>
<sst xmlns="http://schemas.openxmlformats.org/spreadsheetml/2006/main" count="3749" uniqueCount="2311">
  <si>
    <t>record_id</t>
  </si>
  <si>
    <t>PatientID</t>
  </si>
  <si>
    <t>diam_ao</t>
  </si>
  <si>
    <t>diam_mitral</t>
  </si>
  <si>
    <t>embolias_prev</t>
  </si>
  <si>
    <t>fecha_prev1</t>
  </si>
  <si>
    <t>fecha_prev2</t>
  </si>
  <si>
    <t>fecha_prev3</t>
  </si>
  <si>
    <t>fecha_diagnostico</t>
  </si>
  <si>
    <t>fecha_ingreso</t>
  </si>
  <si>
    <t>fecha_eco</t>
  </si>
  <si>
    <t>embolias_trat</t>
  </si>
  <si>
    <t>fecha_trat1</t>
  </si>
  <si>
    <t>fecha_trat2</t>
  </si>
  <si>
    <t>indicacion_cirugia</t>
  </si>
  <si>
    <t>fecha_cirugia</t>
  </si>
  <si>
    <t>fecha_muerte</t>
  </si>
  <si>
    <t>result</t>
  </si>
  <si>
    <t>HCSCM-1</t>
  </si>
  <si>
    <t>1226645</t>
  </si>
  <si>
    <t>2023-08-07</t>
  </si>
  <si>
    <t>2023-08-03</t>
  </si>
  <si>
    <t>2023-09-12</t>
  </si>
  <si>
    <t>HCSCM-2</t>
  </si>
  <si>
    <t>2571256</t>
  </si>
  <si>
    <t>2022-12-12</t>
  </si>
  <si>
    <t>2022-12-14</t>
  </si>
  <si>
    <t>2022-12-15</t>
  </si>
  <si>
    <t>HCSCM-3</t>
  </si>
  <si>
    <t>2510107</t>
  </si>
  <si>
    <t>2022-12-13</t>
  </si>
  <si>
    <t>2022-12-16</t>
  </si>
  <si>
    <t>2022-12-17</t>
  </si>
  <si>
    <t>HCSCM-4</t>
  </si>
  <si>
    <t>2574432</t>
  </si>
  <si>
    <t>2023-03-14</t>
  </si>
  <si>
    <t>2023-03-15</t>
  </si>
  <si>
    <t>HCSCM-5</t>
  </si>
  <si>
    <t>2638996</t>
  </si>
  <si>
    <t>2023-12-07</t>
  </si>
  <si>
    <t>2023-12-08</t>
  </si>
  <si>
    <t>2023-12-06</t>
  </si>
  <si>
    <t>2023-12-12</t>
  </si>
  <si>
    <t>2023-12-14</t>
  </si>
  <si>
    <t>HCSCM-6</t>
  </si>
  <si>
    <t>2718947</t>
  </si>
  <si>
    <t>2025-03-31</t>
  </si>
  <si>
    <t>2025-04-04</t>
  </si>
  <si>
    <t>2025-04-03</t>
  </si>
  <si>
    <t>2025-04-07</t>
  </si>
  <si>
    <t>HCSCM-7</t>
  </si>
  <si>
    <t>1734885</t>
  </si>
  <si>
    <t>2020-12-09</t>
  </si>
  <si>
    <t>2020-12-22</t>
  </si>
  <si>
    <t>HCSCM-8</t>
  </si>
  <si>
    <t>131977</t>
  </si>
  <si>
    <t>2021-02-21</t>
  </si>
  <si>
    <t>2021-02-22</t>
  </si>
  <si>
    <t>2021-02-24</t>
  </si>
  <si>
    <t>HCSCM-9</t>
  </si>
  <si>
    <t>1758093</t>
  </si>
  <si>
    <t>2021-02-10</t>
  </si>
  <si>
    <t>2021-02-08</t>
  </si>
  <si>
    <t>HCSCM-10</t>
  </si>
  <si>
    <t>2419082</t>
  </si>
  <si>
    <t>2020-07-01</t>
  </si>
  <si>
    <t>2020-07-03</t>
  </si>
  <si>
    <t>2020-06-29</t>
  </si>
  <si>
    <t>2020-07-04</t>
  </si>
  <si>
    <t>HCSCM-11</t>
  </si>
  <si>
    <t>2307720</t>
  </si>
  <si>
    <t>2021-06-19</t>
  </si>
  <si>
    <t>2021-06-20</t>
  </si>
  <si>
    <t>2021-06-18</t>
  </si>
  <si>
    <t>2021-06-21</t>
  </si>
  <si>
    <t>2021-06-23</t>
  </si>
  <si>
    <t>2021-08-23</t>
  </si>
  <si>
    <t>HCSCM-12</t>
  </si>
  <si>
    <t>1855739</t>
  </si>
  <si>
    <t>2020-09-29</t>
  </si>
  <si>
    <t>2020-08-21</t>
  </si>
  <si>
    <t>2020-09-24</t>
  </si>
  <si>
    <t>HCSCM-13</t>
  </si>
  <si>
    <t>2454406</t>
  </si>
  <si>
    <t>2021-04-13</t>
  </si>
  <si>
    <t>2024-04-14</t>
  </si>
  <si>
    <t>2024-04-13</t>
  </si>
  <si>
    <t>2021-04-19</t>
  </si>
  <si>
    <t>HCSCM-14</t>
  </si>
  <si>
    <t>1572014</t>
  </si>
  <si>
    <t>2021-04-01</t>
  </si>
  <si>
    <t>2021-04-05</t>
  </si>
  <si>
    <t>2021-03-22</t>
  </si>
  <si>
    <t>2021-04-08</t>
  </si>
  <si>
    <t>2021-04-09</t>
  </si>
  <si>
    <t>HCSCM-15</t>
  </si>
  <si>
    <t>2400470</t>
  </si>
  <si>
    <t>2021-02-11</t>
  </si>
  <si>
    <t>2021-02-05</t>
  </si>
  <si>
    <t>2021-02-18</t>
  </si>
  <si>
    <t>2021-02-19</t>
  </si>
  <si>
    <t>HCSCM-16</t>
  </si>
  <si>
    <t>819229</t>
  </si>
  <si>
    <t>2022-06-15</t>
  </si>
  <si>
    <t>2022-06-20</t>
  </si>
  <si>
    <t>2022-06-29</t>
  </si>
  <si>
    <t>HCSCM-17</t>
  </si>
  <si>
    <t>2534956</t>
  </si>
  <si>
    <t>2022-05-28</t>
  </si>
  <si>
    <t>2022-05-17</t>
  </si>
  <si>
    <t>2022-05-31</t>
  </si>
  <si>
    <t>2022-05-26</t>
  </si>
  <si>
    <t>HCSCM-18</t>
  </si>
  <si>
    <t>2022-04-24</t>
  </si>
  <si>
    <t>2022-04-17</t>
  </si>
  <si>
    <t>2022-04-30</t>
  </si>
  <si>
    <t>HCSCM-19</t>
  </si>
  <si>
    <t>562464</t>
  </si>
  <si>
    <t>2021-12-14</t>
  </si>
  <si>
    <t>2021-12-27</t>
  </si>
  <si>
    <t>HCSCM-20</t>
  </si>
  <si>
    <t>2739127</t>
  </si>
  <si>
    <t>2025-04-09</t>
  </si>
  <si>
    <t>2025-04-22</t>
  </si>
  <si>
    <t>2025-05-05</t>
  </si>
  <si>
    <t>2025-04-25</t>
  </si>
  <si>
    <t>HCSCM-21</t>
  </si>
  <si>
    <t>1370986</t>
  </si>
  <si>
    <t>2024-01-01</t>
  </si>
  <si>
    <t>2023-12-30</t>
  </si>
  <si>
    <t>2024-01-02</t>
  </si>
  <si>
    <t>2024-01-03</t>
  </si>
  <si>
    <t>2024-01-23</t>
  </si>
  <si>
    <t>HCSCM-22</t>
  </si>
  <si>
    <t>1740014</t>
  </si>
  <si>
    <t>2025-04-27</t>
  </si>
  <si>
    <t>2025-04-30</t>
  </si>
  <si>
    <t>2025-05-06</t>
  </si>
  <si>
    <t>HCSCM-23</t>
  </si>
  <si>
    <t>219913</t>
  </si>
  <si>
    <t>2025-04-14</t>
  </si>
  <si>
    <t>2025-04-15</t>
  </si>
  <si>
    <t>2025-05-14</t>
  </si>
  <si>
    <t>HCSCM-24</t>
  </si>
  <si>
    <t>2021-07-26</t>
  </si>
  <si>
    <t>2021-08-06</t>
  </si>
  <si>
    <t>HCSCM-25</t>
  </si>
  <si>
    <t>2021-04-14</t>
  </si>
  <si>
    <t>2021-04-16</t>
  </si>
  <si>
    <t>HCSCM-26</t>
  </si>
  <si>
    <t>2624238</t>
  </si>
  <si>
    <t>2023-09-22</t>
  </si>
  <si>
    <t>2023-09-19</t>
  </si>
  <si>
    <t>2023-09-25</t>
  </si>
  <si>
    <t>2023-09-26</t>
  </si>
  <si>
    <t>HCSCM-27</t>
  </si>
  <si>
    <t>2059319</t>
  </si>
  <si>
    <t>2023-08-30</t>
  </si>
  <si>
    <t>2023-08-29</t>
  </si>
  <si>
    <t>HCSCM-28</t>
  </si>
  <si>
    <t>560742</t>
  </si>
  <si>
    <t>2023-06-10</t>
  </si>
  <si>
    <t>2023-06-09</t>
  </si>
  <si>
    <t>2023-06-14</t>
  </si>
  <si>
    <t>HCSCM-29</t>
  </si>
  <si>
    <t>2599036</t>
  </si>
  <si>
    <t>2023-05-06</t>
  </si>
  <si>
    <t>2023-05-05</t>
  </si>
  <si>
    <t>2023-05-07</t>
  </si>
  <si>
    <t>2023-05-12</t>
  </si>
  <si>
    <t>2023-05-25</t>
  </si>
  <si>
    <t>HCSCM-30</t>
  </si>
  <si>
    <t>2575725</t>
  </si>
  <si>
    <t>2023-05-10</t>
  </si>
  <si>
    <t>2023-05-09</t>
  </si>
  <si>
    <t>2023-05-11</t>
  </si>
  <si>
    <t>HCSCM-31</t>
  </si>
  <si>
    <t>2435411</t>
  </si>
  <si>
    <t>2023-02-20</t>
  </si>
  <si>
    <t>2023-02-16</t>
  </si>
  <si>
    <t>2023-02-21</t>
  </si>
  <si>
    <t>HCSCM-32</t>
  </si>
  <si>
    <t>2511968</t>
  </si>
  <si>
    <t>2022-11-07</t>
  </si>
  <si>
    <t>2022-11-02</t>
  </si>
  <si>
    <t>2022-11-18</t>
  </si>
  <si>
    <t>2022-11-21</t>
  </si>
  <si>
    <t>HCSCM-33</t>
  </si>
  <si>
    <t>2075675</t>
  </si>
  <si>
    <t>2023-02-13</t>
  </si>
  <si>
    <t>2023-03-06</t>
  </si>
  <si>
    <t>HCSCM-34</t>
  </si>
  <si>
    <t>2572887</t>
  </si>
  <si>
    <t>2023-01-10</t>
  </si>
  <si>
    <t>2023-01-11</t>
  </si>
  <si>
    <t>HCSCM-35</t>
  </si>
  <si>
    <t>2564063</t>
  </si>
  <si>
    <t>2022-11-04</t>
  </si>
  <si>
    <t>2022-11-05</t>
  </si>
  <si>
    <t>HCSCM-36</t>
  </si>
  <si>
    <t>83631</t>
  </si>
  <si>
    <t>2022-08-09</t>
  </si>
  <si>
    <t>2022-08-10</t>
  </si>
  <si>
    <t>HCSCM-37</t>
  </si>
  <si>
    <t>1467340</t>
  </si>
  <si>
    <t>2021-10-10</t>
  </si>
  <si>
    <t>2021-10-13</t>
  </si>
  <si>
    <t>2021-10-18</t>
  </si>
  <si>
    <t>HCSCM-38</t>
  </si>
  <si>
    <t>704042</t>
  </si>
  <si>
    <t>2021-12-22</t>
  </si>
  <si>
    <t>2021-12-19</t>
  </si>
  <si>
    <t>HCSCM-39</t>
  </si>
  <si>
    <t>489385</t>
  </si>
  <si>
    <t>2021-09-22</t>
  </si>
  <si>
    <t>HCSCM-40</t>
  </si>
  <si>
    <t>717292</t>
  </si>
  <si>
    <t>2022-03-29</t>
  </si>
  <si>
    <t>2022-03-25</t>
  </si>
  <si>
    <t>HCSCM-41</t>
  </si>
  <si>
    <t>2024-12-19</t>
  </si>
  <si>
    <t>2024-12-17</t>
  </si>
  <si>
    <t>2024-12-27</t>
  </si>
  <si>
    <t>2025-01-02</t>
  </si>
  <si>
    <t>HCSCM-42</t>
  </si>
  <si>
    <t>481131</t>
  </si>
  <si>
    <t>2024-12-20</t>
  </si>
  <si>
    <t>2024-12-10</t>
  </si>
  <si>
    <t>HCSCM-43</t>
  </si>
  <si>
    <t>762372</t>
  </si>
  <si>
    <t>2022-02-07</t>
  </si>
  <si>
    <t>2022-02-04</t>
  </si>
  <si>
    <t>2022-02-10</t>
  </si>
  <si>
    <t>HCSCM-44</t>
  </si>
  <si>
    <t>1279866</t>
  </si>
  <si>
    <t>2022-01-24</t>
  </si>
  <si>
    <t>2022-01-18</t>
  </si>
  <si>
    <t>HCSCM-45</t>
  </si>
  <si>
    <t>1288296</t>
  </si>
  <si>
    <t>2021-12-28</t>
  </si>
  <si>
    <t>2021-12-29</t>
  </si>
  <si>
    <t>2022-01-03</t>
  </si>
  <si>
    <t>2022-02-16</t>
  </si>
  <si>
    <t>HCSCM-46</t>
  </si>
  <si>
    <t>2498702</t>
  </si>
  <si>
    <t>2021-12-12</t>
  </si>
  <si>
    <t>2021-12-11</t>
  </si>
  <si>
    <t>2021-12-16</t>
  </si>
  <si>
    <t>HCSCM-47</t>
  </si>
  <si>
    <t>261969</t>
  </si>
  <si>
    <t>HCSCM-48</t>
  </si>
  <si>
    <t>2021-10-02</t>
  </si>
  <si>
    <t>2021-10-04</t>
  </si>
  <si>
    <t>HCSCM-49</t>
  </si>
  <si>
    <t>1983667</t>
  </si>
  <si>
    <t>2021-12-15</t>
  </si>
  <si>
    <t>HCSCM-50</t>
  </si>
  <si>
    <t>165368</t>
  </si>
  <si>
    <t>2021-11-07</t>
  </si>
  <si>
    <t>2021-11-10</t>
  </si>
  <si>
    <t>2021-11-23</t>
  </si>
  <si>
    <t>HCUVA-1</t>
  </si>
  <si>
    <t>HGTPB-1</t>
  </si>
  <si>
    <t>1000</t>
  </si>
  <si>
    <t>2024-02-16</t>
  </si>
  <si>
    <t>2024-02-14</t>
  </si>
  <si>
    <t>2024-02-23</t>
  </si>
  <si>
    <t>2024-03-05</t>
  </si>
  <si>
    <t>HGTPB-2</t>
  </si>
  <si>
    <t>1001</t>
  </si>
  <si>
    <t>2023-12-21</t>
  </si>
  <si>
    <t>2023-12-22</t>
  </si>
  <si>
    <t>HGTPB-3</t>
  </si>
  <si>
    <t>1003</t>
  </si>
  <si>
    <t>2023-10-27</t>
  </si>
  <si>
    <t>2023-10-31</t>
  </si>
  <si>
    <t>HGTPB-4</t>
  </si>
  <si>
    <t>15521132</t>
  </si>
  <si>
    <t>2023-05-03</t>
  </si>
  <si>
    <t>2024-08-03</t>
  </si>
  <si>
    <t>HGTPB-5</t>
  </si>
  <si>
    <t>19801477</t>
  </si>
  <si>
    <t>2023-08-31</t>
  </si>
  <si>
    <t>2023-08-10</t>
  </si>
  <si>
    <t>2023-09-06</t>
  </si>
  <si>
    <t>HGTPB-6</t>
  </si>
  <si>
    <t>21246909</t>
  </si>
  <si>
    <t>2023-07-27</t>
  </si>
  <si>
    <t>2023-07-09</t>
  </si>
  <si>
    <t>2023-08-04</t>
  </si>
  <si>
    <t>HGTPB-7</t>
  </si>
  <si>
    <t>20600121</t>
  </si>
  <si>
    <t>2023-05-08</t>
  </si>
  <si>
    <t>HGTPB-8</t>
  </si>
  <si>
    <t>14869633</t>
  </si>
  <si>
    <t>2024-03-23</t>
  </si>
  <si>
    <t>2023-03-21</t>
  </si>
  <si>
    <t>2023-03-23</t>
  </si>
  <si>
    <t>2023-04-03</t>
  </si>
  <si>
    <t>HGTPB-9</t>
  </si>
  <si>
    <t>11411429</t>
  </si>
  <si>
    <t>2023-03-07</t>
  </si>
  <si>
    <t>2023-03-29</t>
  </si>
  <si>
    <t>HGTPB-10</t>
  </si>
  <si>
    <t>13100376</t>
  </si>
  <si>
    <t>2023-03-09</t>
  </si>
  <si>
    <t>2023-03-13</t>
  </si>
  <si>
    <t>2023-03-22</t>
  </si>
  <si>
    <t>HGTPB-11</t>
  </si>
  <si>
    <t>591857</t>
  </si>
  <si>
    <t>2022-12-29</t>
  </si>
  <si>
    <t>2023-01-12</t>
  </si>
  <si>
    <t>HGTPB-12</t>
  </si>
  <si>
    <t>18883658</t>
  </si>
  <si>
    <t>2022-12-25</t>
  </si>
  <si>
    <t>2023-01-02</t>
  </si>
  <si>
    <t>2023-01-04</t>
  </si>
  <si>
    <t>HGTPB-13</t>
  </si>
  <si>
    <t>10248043</t>
  </si>
  <si>
    <t>2024-03-28</t>
  </si>
  <si>
    <t>2024-03-12</t>
  </si>
  <si>
    <t>2024-03-18</t>
  </si>
  <si>
    <t>HGTPB-14</t>
  </si>
  <si>
    <t>141907</t>
  </si>
  <si>
    <t>2022-03-09</t>
  </si>
  <si>
    <t>2022-02-24</t>
  </si>
  <si>
    <t>HGTPB-15</t>
  </si>
  <si>
    <t>14883570</t>
  </si>
  <si>
    <t>2022-10-28</t>
  </si>
  <si>
    <t>2022-10-26</t>
  </si>
  <si>
    <t>2022-11-09</t>
  </si>
  <si>
    <t>2022-11-10</t>
  </si>
  <si>
    <t>2022-11-22</t>
  </si>
  <si>
    <t>HGTPB-16</t>
  </si>
  <si>
    <t>10659957</t>
  </si>
  <si>
    <t>2022-02-18</t>
  </si>
  <si>
    <t>2022-02-14</t>
  </si>
  <si>
    <t>HGTPB-17</t>
  </si>
  <si>
    <t>568081</t>
  </si>
  <si>
    <t>2022-02-22</t>
  </si>
  <si>
    <t>2022-01-23</t>
  </si>
  <si>
    <t>2022-03-16</t>
  </si>
  <si>
    <t>HGTPB-18</t>
  </si>
  <si>
    <t>19972629</t>
  </si>
  <si>
    <t>2021-12-03</t>
  </si>
  <si>
    <t>2021-11-29</t>
  </si>
  <si>
    <t>2021-12-09</t>
  </si>
  <si>
    <t>2021-12-13</t>
  </si>
  <si>
    <t>HGTPB-19</t>
  </si>
  <si>
    <t>2021-08-03</t>
  </si>
  <si>
    <t>2021-07-30</t>
  </si>
  <si>
    <t>2021-08-11</t>
  </si>
  <si>
    <t>HGTPB-20</t>
  </si>
  <si>
    <t>15953358</t>
  </si>
  <si>
    <t>2021-10-01</t>
  </si>
  <si>
    <t>2021-09-28</t>
  </si>
  <si>
    <t>2021-09-29</t>
  </si>
  <si>
    <t>HGTPB-21</t>
  </si>
  <si>
    <t>607886</t>
  </si>
  <si>
    <t>2021-08-26</t>
  </si>
  <si>
    <t>2021-08-24</t>
  </si>
  <si>
    <t>HGTPB-22</t>
  </si>
  <si>
    <t>567218</t>
  </si>
  <si>
    <t>2024-04-30</t>
  </si>
  <si>
    <t>2024-05-02</t>
  </si>
  <si>
    <t>2024-05-03</t>
  </si>
  <si>
    <t>HGTPB-23</t>
  </si>
  <si>
    <t>15188846</t>
  </si>
  <si>
    <t>2022-10-20</t>
  </si>
  <si>
    <t>2022-10-18</t>
  </si>
  <si>
    <t>HGTPB-24</t>
  </si>
  <si>
    <t>2022-11-12</t>
  </si>
  <si>
    <t>2022-11-15</t>
  </si>
  <si>
    <t>2022-11-13</t>
  </si>
  <si>
    <t>2022-11-23</t>
  </si>
  <si>
    <t>2022-11-28</t>
  </si>
  <si>
    <t>HGTPB-25</t>
  </si>
  <si>
    <t>330039</t>
  </si>
  <si>
    <t>2022-11-25</t>
  </si>
  <si>
    <t>HGTPB-26</t>
  </si>
  <si>
    <t>2022-12-05</t>
  </si>
  <si>
    <t>2022-12-19</t>
  </si>
  <si>
    <t>HGTPB-27</t>
  </si>
  <si>
    <t>2022-12-21</t>
  </si>
  <si>
    <t>2022-12-30</t>
  </si>
  <si>
    <t>HGTPB-28</t>
  </si>
  <si>
    <t>2023-02-11</t>
  </si>
  <si>
    <t>HGTPB-29</t>
  </si>
  <si>
    <t>2023-05-19</t>
  </si>
  <si>
    <t>2023-05-16</t>
  </si>
  <si>
    <t>HGTPB-30</t>
  </si>
  <si>
    <t>2023-06-29</t>
  </si>
  <si>
    <t>2023-06-15</t>
  </si>
  <si>
    <t>HGTPB-31</t>
  </si>
  <si>
    <t>HGTPB-31_REVISADO</t>
  </si>
  <si>
    <t>2023-12-03</t>
  </si>
  <si>
    <t>HGTPB-32</t>
  </si>
  <si>
    <t>HGTPB-32_REVISADO</t>
  </si>
  <si>
    <t>2023-12-15</t>
  </si>
  <si>
    <t>2023-12-19</t>
  </si>
  <si>
    <t>2023-12-23</t>
  </si>
  <si>
    <t>2024-02-09</t>
  </si>
  <si>
    <t>HGTPB-33</t>
  </si>
  <si>
    <t>HGTPB-33_REVISADO</t>
  </si>
  <si>
    <t>2024-03-26</t>
  </si>
  <si>
    <t>2024-03-19</t>
  </si>
  <si>
    <t>HGTPB-34</t>
  </si>
  <si>
    <t>10852546</t>
  </si>
  <si>
    <t>2024-05-17</t>
  </si>
  <si>
    <t>2024-05-16</t>
  </si>
  <si>
    <t>HGTPB-35</t>
  </si>
  <si>
    <t>2024-05-23</t>
  </si>
  <si>
    <t>2024-05-20</t>
  </si>
  <si>
    <t>HGTPB-36</t>
  </si>
  <si>
    <t>2023-02-28</t>
  </si>
  <si>
    <t>2023-02-15</t>
  </si>
  <si>
    <t>2023-03-01</t>
  </si>
  <si>
    <t>HGTPB-37</t>
  </si>
  <si>
    <t>2022-11-14</t>
  </si>
  <si>
    <t>HGTPB-38</t>
  </si>
  <si>
    <t>2024-06-18</t>
  </si>
  <si>
    <t>2024-06-17</t>
  </si>
  <si>
    <t>2024-06-20</t>
  </si>
  <si>
    <t>2024-07-15</t>
  </si>
  <si>
    <t>HGTPB-39</t>
  </si>
  <si>
    <t>2024-07-09</t>
  </si>
  <si>
    <t>2024-07-08</t>
  </si>
  <si>
    <t>2024-07-10</t>
  </si>
  <si>
    <t>2024-07-12</t>
  </si>
  <si>
    <t>HGTPB-40</t>
  </si>
  <si>
    <t>2024-07-29</t>
  </si>
  <si>
    <t>2024-07-23</t>
  </si>
  <si>
    <t>HGTPB-41</t>
  </si>
  <si>
    <t>2024-08-05</t>
  </si>
  <si>
    <t>2024-09-17</t>
  </si>
  <si>
    <t>HGTPB-42</t>
  </si>
  <si>
    <t>2024-08-26</t>
  </si>
  <si>
    <t>2024-08-20</t>
  </si>
  <si>
    <t>2024-08-23</t>
  </si>
  <si>
    <t>HGTPB-43</t>
  </si>
  <si>
    <t>2024-08-08</t>
  </si>
  <si>
    <t>2024-08-14</t>
  </si>
  <si>
    <t>HGTPB-44</t>
  </si>
  <si>
    <t>2024-09-25</t>
  </si>
  <si>
    <t>2024-09-08</t>
  </si>
  <si>
    <t>HGTPB-45</t>
  </si>
  <si>
    <t>2024-12-05</t>
  </si>
  <si>
    <t>2024-11-20</t>
  </si>
  <si>
    <t>2024-12-09</t>
  </si>
  <si>
    <t>HGTPB-46</t>
  </si>
  <si>
    <t>570696</t>
  </si>
  <si>
    <t>2024-12-29</t>
  </si>
  <si>
    <t>HGTPB-47</t>
  </si>
  <si>
    <t>2025-03-14</t>
  </si>
  <si>
    <t>2025-03-10</t>
  </si>
  <si>
    <t>2025-03-17</t>
  </si>
  <si>
    <t>HGTPB-48</t>
  </si>
  <si>
    <t>2025-02-17</t>
  </si>
  <si>
    <t>2025-02-25</t>
  </si>
  <si>
    <t>HGTPB-49</t>
  </si>
  <si>
    <t>2025-02-21</t>
  </si>
  <si>
    <t>2025-02-28</t>
  </si>
  <si>
    <t>HGTPB-50</t>
  </si>
  <si>
    <t>2025-01-29</t>
  </si>
  <si>
    <t>2025-01-17</t>
  </si>
  <si>
    <t>2025-02-07</t>
  </si>
  <si>
    <t>HULAL-1</t>
  </si>
  <si>
    <t>2458671</t>
  </si>
  <si>
    <t>2020-12-02</t>
  </si>
  <si>
    <t>2020-12-03</t>
  </si>
  <si>
    <t>HULAL-2</t>
  </si>
  <si>
    <t>2159300</t>
  </si>
  <si>
    <t>2021-01-22</t>
  </si>
  <si>
    <t>2021-01-28</t>
  </si>
  <si>
    <t>HULAL-3</t>
  </si>
  <si>
    <t>2740919</t>
  </si>
  <si>
    <t>2024-05-28</t>
  </si>
  <si>
    <t>2024-05-29</t>
  </si>
  <si>
    <t>2024-05-27</t>
  </si>
  <si>
    <t>2024-06-07</t>
  </si>
  <si>
    <t>HULAL-4</t>
  </si>
  <si>
    <t>2702175</t>
  </si>
  <si>
    <t>2024-06-19</t>
  </si>
  <si>
    <t>2024-06-28</t>
  </si>
  <si>
    <t>HULAL-5</t>
  </si>
  <si>
    <t>2228902</t>
  </si>
  <si>
    <t>2024-06-03</t>
  </si>
  <si>
    <t>HULAL-6</t>
  </si>
  <si>
    <t>2488582</t>
  </si>
  <si>
    <t>2024-05-24</t>
  </si>
  <si>
    <t>HULAL-7</t>
  </si>
  <si>
    <t>2096816</t>
  </si>
  <si>
    <t>2024-04-03</t>
  </si>
  <si>
    <t>2024-04-10</t>
  </si>
  <si>
    <t>HULAL-8</t>
  </si>
  <si>
    <t>2427767</t>
  </si>
  <si>
    <t>2024-03-11</t>
  </si>
  <si>
    <t>2024-03-09</t>
  </si>
  <si>
    <t>2024-03-13</t>
  </si>
  <si>
    <t>2024-04-15</t>
  </si>
  <si>
    <t>HULAL-9</t>
  </si>
  <si>
    <t>2107639</t>
  </si>
  <si>
    <t>2023-11-07</t>
  </si>
  <si>
    <t>2023-10-30</t>
  </si>
  <si>
    <t>2023-12-26</t>
  </si>
  <si>
    <t>HULAL-10</t>
  </si>
  <si>
    <t>2243457</t>
  </si>
  <si>
    <t>2023-07-11</t>
  </si>
  <si>
    <t>2023-07-10</t>
  </si>
  <si>
    <t>2023-07-12</t>
  </si>
  <si>
    <t>HULAL-11</t>
  </si>
  <si>
    <t>2183094</t>
  </si>
  <si>
    <t>2023-07-06</t>
  </si>
  <si>
    <t>2023-06-24</t>
  </si>
  <si>
    <t>HULAL-12</t>
  </si>
  <si>
    <t>2288670</t>
  </si>
  <si>
    <t>2022-05-06</t>
  </si>
  <si>
    <t>2022-05-04</t>
  </si>
  <si>
    <t>2022-05-12</t>
  </si>
  <si>
    <t>HULAL-13</t>
  </si>
  <si>
    <t>2357806</t>
  </si>
  <si>
    <t>2022-02-27</t>
  </si>
  <si>
    <t>2022-03-15</t>
  </si>
  <si>
    <t>2022-03-20</t>
  </si>
  <si>
    <t>HULAL-14</t>
  </si>
  <si>
    <t>2216498</t>
  </si>
  <si>
    <t>2021-12-01</t>
  </si>
  <si>
    <t>2021-12-07</t>
  </si>
  <si>
    <t>HULAL-15</t>
  </si>
  <si>
    <t>2290594</t>
  </si>
  <si>
    <t>2021-11-30</t>
  </si>
  <si>
    <t>HULAL-16</t>
  </si>
  <si>
    <t>2233210</t>
  </si>
  <si>
    <t>2021-11-22</t>
  </si>
  <si>
    <t>HULAL-17</t>
  </si>
  <si>
    <t>2246482</t>
  </si>
  <si>
    <t>2021-10-06</t>
  </si>
  <si>
    <t>2021-09-15</t>
  </si>
  <si>
    <t>HULAL-18</t>
  </si>
  <si>
    <t>2064940</t>
  </si>
  <si>
    <t>2021-07-07</t>
  </si>
  <si>
    <t>2021-07-10</t>
  </si>
  <si>
    <t>2021-07-08</t>
  </si>
  <si>
    <t>2021-07-13</t>
  </si>
  <si>
    <t>HULAL-19</t>
  </si>
  <si>
    <t>2029578</t>
  </si>
  <si>
    <t>2021-05-03</t>
  </si>
  <si>
    <t>2021-04-17</t>
  </si>
  <si>
    <t>2021-05-18</t>
  </si>
  <si>
    <t>HULAL-20</t>
  </si>
  <si>
    <t>2049922</t>
  </si>
  <si>
    <t>2021-03-31</t>
  </si>
  <si>
    <t>2021-03-23</t>
  </si>
  <si>
    <t>2021-04-03</t>
  </si>
  <si>
    <t>HULAL-21</t>
  </si>
  <si>
    <t>2289489</t>
  </si>
  <si>
    <t>2021-02-23</t>
  </si>
  <si>
    <t>2021-03-02</t>
  </si>
  <si>
    <t>HULAL-22</t>
  </si>
  <si>
    <t>2359559</t>
  </si>
  <si>
    <t>2024-07-11</t>
  </si>
  <si>
    <t>2024-07-02</t>
  </si>
  <si>
    <t>HULAL-23</t>
  </si>
  <si>
    <t>2486399</t>
  </si>
  <si>
    <t>2020-11-15</t>
  </si>
  <si>
    <t>2020-11-27</t>
  </si>
  <si>
    <t>2020-11-16</t>
  </si>
  <si>
    <t>2020-12-14</t>
  </si>
  <si>
    <t>HULAL-24</t>
  </si>
  <si>
    <t>2174585</t>
  </si>
  <si>
    <t>2021-07-23</t>
  </si>
  <si>
    <t>HULAL-25</t>
  </si>
  <si>
    <t>2625910</t>
  </si>
  <si>
    <t>2021-07-22</t>
  </si>
  <si>
    <t>2021-08-01</t>
  </si>
  <si>
    <t>HULAL-26</t>
  </si>
  <si>
    <t>2262005</t>
  </si>
  <si>
    <t>HULAL-27</t>
  </si>
  <si>
    <t>2008977</t>
  </si>
  <si>
    <t>2022-05-20</t>
  </si>
  <si>
    <t>2020-05-22</t>
  </si>
  <si>
    <t>2020-05-20</t>
  </si>
  <si>
    <t>2020-06-04</t>
  </si>
  <si>
    <t>HULAL-28</t>
  </si>
  <si>
    <t>2396753</t>
  </si>
  <si>
    <t>2018-01-13</t>
  </si>
  <si>
    <t>2018-01-09</t>
  </si>
  <si>
    <t>2018-01-16</t>
  </si>
  <si>
    <t>2018-01-18</t>
  </si>
  <si>
    <t>HULAL-29</t>
  </si>
  <si>
    <t>2314368</t>
  </si>
  <si>
    <t>2020-03-25</t>
  </si>
  <si>
    <t>2020-03-23</t>
  </si>
  <si>
    <t>2020-03-26</t>
  </si>
  <si>
    <t>2020-04-04</t>
  </si>
  <si>
    <t>HULAL-30</t>
  </si>
  <si>
    <t>HULAL30IDModify</t>
  </si>
  <si>
    <t>2020-06-30</t>
  </si>
  <si>
    <t>2020-06-19</t>
  </si>
  <si>
    <t>2020-07-09</t>
  </si>
  <si>
    <t>2020-07-10</t>
  </si>
  <si>
    <t>HULAL-31</t>
  </si>
  <si>
    <t>2279866</t>
  </si>
  <si>
    <t>2023-06-30</t>
  </si>
  <si>
    <t>2023-06-26</t>
  </si>
  <si>
    <t>2023-07-03</t>
  </si>
  <si>
    <t>2023-07-04</t>
  </si>
  <si>
    <t>HULAL-32</t>
  </si>
  <si>
    <t>2410587</t>
  </si>
  <si>
    <t>2022-06-08</t>
  </si>
  <si>
    <t>2023-02-09</t>
  </si>
  <si>
    <t>HULAL-33</t>
  </si>
  <si>
    <t>2607295</t>
  </si>
  <si>
    <t>2022-11-17</t>
  </si>
  <si>
    <t>2022-11-29</t>
  </si>
  <si>
    <t>HULAL-34</t>
  </si>
  <si>
    <t>2344333</t>
  </si>
  <si>
    <t>2016-06-13</t>
  </si>
  <si>
    <t>2016-06-09</t>
  </si>
  <si>
    <t>HULAL-35</t>
  </si>
  <si>
    <t>HULAL-36</t>
  </si>
  <si>
    <t>2114679</t>
  </si>
  <si>
    <t>2017-11-27</t>
  </si>
  <si>
    <t>2017-12-07</t>
  </si>
  <si>
    <t>2017-11-29</t>
  </si>
  <si>
    <t>2017-12-11</t>
  </si>
  <si>
    <t>HULAL-37</t>
  </si>
  <si>
    <t>2102218</t>
  </si>
  <si>
    <t>2020-06-08</t>
  </si>
  <si>
    <t>2020-06-07</t>
  </si>
  <si>
    <t>2020-06-09</t>
  </si>
  <si>
    <t>HULAL-38</t>
  </si>
  <si>
    <t>2123606</t>
  </si>
  <si>
    <t>2020-06-03</t>
  </si>
  <si>
    <t>2020-05-30</t>
  </si>
  <si>
    <t>2020-06-05</t>
  </si>
  <si>
    <t>2020-06-20</t>
  </si>
  <si>
    <t>HULAL-39</t>
  </si>
  <si>
    <t>2528912</t>
  </si>
  <si>
    <t>2020-04-14</t>
  </si>
  <si>
    <t>2020-04-02</t>
  </si>
  <si>
    <t>HULAL-40</t>
  </si>
  <si>
    <t>2088688</t>
  </si>
  <si>
    <t>2024-06-12</t>
  </si>
  <si>
    <t>2024-07-18</t>
  </si>
  <si>
    <t>2024-07-26</t>
  </si>
  <si>
    <t>2024-08-25</t>
  </si>
  <si>
    <t>HULAL-41</t>
  </si>
  <si>
    <t>2731223</t>
  </si>
  <si>
    <t>2024-08-01</t>
  </si>
  <si>
    <t>2024-07-30</t>
  </si>
  <si>
    <t>2024-08-12</t>
  </si>
  <si>
    <t>2024-10-08</t>
  </si>
  <si>
    <t>HULAL-42</t>
  </si>
  <si>
    <t>2673186</t>
  </si>
  <si>
    <t>HULAL-43</t>
  </si>
  <si>
    <t>2273853</t>
  </si>
  <si>
    <t>HULAL-44</t>
  </si>
  <si>
    <t>2182871</t>
  </si>
  <si>
    <t>2024-10-21</t>
  </si>
  <si>
    <t>2024-10-11</t>
  </si>
  <si>
    <t>2024-11-18</t>
  </si>
  <si>
    <t>2024-11-28</t>
  </si>
  <si>
    <t>HULAL-45</t>
  </si>
  <si>
    <t>2119377</t>
  </si>
  <si>
    <t>2024-12-13</t>
  </si>
  <si>
    <t>HULAL-46</t>
  </si>
  <si>
    <t>2230647</t>
  </si>
  <si>
    <t>2024-12-14</t>
  </si>
  <si>
    <t>2024-12-16</t>
  </si>
  <si>
    <t>2025-01-19</t>
  </si>
  <si>
    <t>HULAL-47</t>
  </si>
  <si>
    <t>HULAL-48</t>
  </si>
  <si>
    <t>2321995</t>
  </si>
  <si>
    <t>2025-02-12</t>
  </si>
  <si>
    <t>2025-02-08</t>
  </si>
  <si>
    <t>2025-02-13</t>
  </si>
  <si>
    <t>HULAL-49</t>
  </si>
  <si>
    <t>2053180</t>
  </si>
  <si>
    <t>2025-02-06</t>
  </si>
  <si>
    <t>2025-01-11</t>
  </si>
  <si>
    <t>2025-03-07</t>
  </si>
  <si>
    <t>HULAL-50</t>
  </si>
  <si>
    <t>2168436</t>
  </si>
  <si>
    <t>2025-03-03</t>
  </si>
  <si>
    <t>2025-01-31</t>
  </si>
  <si>
    <t>HULAL-51</t>
  </si>
  <si>
    <t>2765503</t>
  </si>
  <si>
    <t>2024-04-11</t>
  </si>
  <si>
    <t>2025-04-08</t>
  </si>
  <si>
    <t>2025-04-11</t>
  </si>
  <si>
    <t>HULAL-52</t>
  </si>
  <si>
    <t>2025-04-23</t>
  </si>
  <si>
    <t>2025-02-11</t>
  </si>
  <si>
    <t>HULAL-53</t>
  </si>
  <si>
    <t>HULAL-54</t>
  </si>
  <si>
    <t>2025-07-03</t>
  </si>
  <si>
    <t>2025-06-26</t>
  </si>
  <si>
    <t>HULAL-55</t>
  </si>
  <si>
    <t>2025-07-02</t>
  </si>
  <si>
    <t>2025-06-25</t>
  </si>
  <si>
    <t>2025-07-09</t>
  </si>
  <si>
    <t>HULAL-56</t>
  </si>
  <si>
    <t>2025-07-01</t>
  </si>
  <si>
    <t>2025-06-17</t>
  </si>
  <si>
    <t>HULAL-57</t>
  </si>
  <si>
    <t>HULAL-58</t>
  </si>
  <si>
    <t>2025-06-19</t>
  </si>
  <si>
    <t>HULAL-59</t>
  </si>
  <si>
    <t>2025-06-09</t>
  </si>
  <si>
    <t>HULAL-60</t>
  </si>
  <si>
    <t>2025-06-18</t>
  </si>
  <si>
    <t>2025-06-07</t>
  </si>
  <si>
    <t>HULAL-61</t>
  </si>
  <si>
    <t>2025-06-06</t>
  </si>
  <si>
    <t>HULAL-62</t>
  </si>
  <si>
    <t>2025-05-28</t>
  </si>
  <si>
    <t>2025-05-27</t>
  </si>
  <si>
    <t>2025-06-02</t>
  </si>
  <si>
    <t>HULAL-63</t>
  </si>
  <si>
    <t>2025-07-07</t>
  </si>
  <si>
    <t>2025-07-11</t>
  </si>
  <si>
    <t>2025-07-08</t>
  </si>
  <si>
    <t>HULAL-64</t>
  </si>
  <si>
    <t>2025-07-17</t>
  </si>
  <si>
    <t>HULAL-65</t>
  </si>
  <si>
    <t>2025-06-24</t>
  </si>
  <si>
    <t>2025-05-20</t>
  </si>
  <si>
    <t>HULFV-1</t>
  </si>
  <si>
    <t>HULFV-2</t>
  </si>
  <si>
    <t>2024-02-03</t>
  </si>
  <si>
    <t>HULFV-3</t>
  </si>
  <si>
    <t>1994059</t>
  </si>
  <si>
    <t>2023-07-24</t>
  </si>
  <si>
    <t>2023-07-25</t>
  </si>
  <si>
    <t>HULFV-4</t>
  </si>
  <si>
    <t>2298922</t>
  </si>
  <si>
    <t>2023-04-11</t>
  </si>
  <si>
    <t>2023-03-28</t>
  </si>
  <si>
    <t>HULFV-5</t>
  </si>
  <si>
    <t>2288822</t>
  </si>
  <si>
    <t>2022-03-31</t>
  </si>
  <si>
    <t>HULFV-6</t>
  </si>
  <si>
    <t>2023-09-15</t>
  </si>
  <si>
    <t>HULFV-7</t>
  </si>
  <si>
    <t>2184812</t>
  </si>
  <si>
    <t>2023-04-04</t>
  </si>
  <si>
    <t>2023-04-05</t>
  </si>
  <si>
    <t>2024-04-04</t>
  </si>
  <si>
    <t>2023-05-24</t>
  </si>
  <si>
    <t>HULFV-8</t>
  </si>
  <si>
    <t>27187817</t>
  </si>
  <si>
    <t>2022-07-10</t>
  </si>
  <si>
    <t>2022-07-07</t>
  </si>
  <si>
    <t>2022-07-25</t>
  </si>
  <si>
    <t>2022-07-27</t>
  </si>
  <si>
    <t>2022-07-28</t>
  </si>
  <si>
    <t>HULFV-9</t>
  </si>
  <si>
    <t>3101013</t>
  </si>
  <si>
    <t>2022-07-20</t>
  </si>
  <si>
    <t>2022-07-14</t>
  </si>
  <si>
    <t>2022-08-03</t>
  </si>
  <si>
    <t>2022-08-17</t>
  </si>
  <si>
    <t>HULFV-10</t>
  </si>
  <si>
    <t>3299923</t>
  </si>
  <si>
    <t>2021-03-03</t>
  </si>
  <si>
    <t>2021-02-17</t>
  </si>
  <si>
    <t>2021-03-08</t>
  </si>
  <si>
    <t>HULFV-11</t>
  </si>
  <si>
    <t>3100013</t>
  </si>
  <si>
    <t>2021-11-12</t>
  </si>
  <si>
    <t>2021-11-15</t>
  </si>
  <si>
    <t>2021-11-17</t>
  </si>
  <si>
    <t>HULFV-12</t>
  </si>
  <si>
    <t>19480722647</t>
  </si>
  <si>
    <t>2021-12-21</t>
  </si>
  <si>
    <t>2021-12-20</t>
  </si>
  <si>
    <t>2021-12-23</t>
  </si>
  <si>
    <t>HULFV-13</t>
  </si>
  <si>
    <t>19710823660</t>
  </si>
  <si>
    <t>2021-11-27</t>
  </si>
  <si>
    <t>HULFV-14</t>
  </si>
  <si>
    <t>19531219115</t>
  </si>
  <si>
    <t>2021-09-20</t>
  </si>
  <si>
    <t>2021-08-28</t>
  </si>
  <si>
    <t>HULFV-15</t>
  </si>
  <si>
    <t>19550823854</t>
  </si>
  <si>
    <t>2021-05-20</t>
  </si>
  <si>
    <t>2021-05-17</t>
  </si>
  <si>
    <t>2022-05-22</t>
  </si>
  <si>
    <t>HULFV-16</t>
  </si>
  <si>
    <t>19670725985</t>
  </si>
  <si>
    <t>2021-11-18</t>
  </si>
  <si>
    <t>2021-11-11</t>
  </si>
  <si>
    <t>2021-11-19</t>
  </si>
  <si>
    <t>HULFV-17</t>
  </si>
  <si>
    <t>19460827885</t>
  </si>
  <si>
    <t>2021-03-28</t>
  </si>
  <si>
    <t>2021-04-04</t>
  </si>
  <si>
    <t>2021-04-02</t>
  </si>
  <si>
    <t>HUPHM-1</t>
  </si>
  <si>
    <t>1354354214</t>
  </si>
  <si>
    <t>2019-07-16</t>
  </si>
  <si>
    <t>2019-07-17</t>
  </si>
  <si>
    <t>2019-07-18</t>
  </si>
  <si>
    <t>HUPHM-2</t>
  </si>
  <si>
    <t>1096714736</t>
  </si>
  <si>
    <t>2019-08-08</t>
  </si>
  <si>
    <t>HUPHM-3</t>
  </si>
  <si>
    <t>1531305452</t>
  </si>
  <si>
    <t>2019-09-09</t>
  </si>
  <si>
    <t>2019-09-08</t>
  </si>
  <si>
    <t>2019-09-12</t>
  </si>
  <si>
    <t>2019-09-15</t>
  </si>
  <si>
    <t>HUPHM-4</t>
  </si>
  <si>
    <t>1317770056</t>
  </si>
  <si>
    <t>2019-09-03</t>
  </si>
  <si>
    <t>2019-10-08</t>
  </si>
  <si>
    <t>2019-10-03</t>
  </si>
  <si>
    <t>2019-10-21</t>
  </si>
  <si>
    <t>HUPHM-5</t>
  </si>
  <si>
    <t>1612054518</t>
  </si>
  <si>
    <t>2019-12-14</t>
  </si>
  <si>
    <t>2019-12-16</t>
  </si>
  <si>
    <t>2019-12-18</t>
  </si>
  <si>
    <t>2019-12-20</t>
  </si>
  <si>
    <t>HUPHM-6</t>
  </si>
  <si>
    <t>1110296554</t>
  </si>
  <si>
    <t>2020-01-07</t>
  </si>
  <si>
    <t>2020-01-09</t>
  </si>
  <si>
    <t>2020-01-24</t>
  </si>
  <si>
    <t>HUPHM-7</t>
  </si>
  <si>
    <t>3389194</t>
  </si>
  <si>
    <t>2020-01-29</t>
  </si>
  <si>
    <t>2020-01-28</t>
  </si>
  <si>
    <t>2020-02-11</t>
  </si>
  <si>
    <t>2020-03-03</t>
  </si>
  <si>
    <t>HUPHM-8</t>
  </si>
  <si>
    <t>1553799146</t>
  </si>
  <si>
    <t>2020-03-02</t>
  </si>
  <si>
    <t>2020-02-25</t>
  </si>
  <si>
    <t>HUPHM-9</t>
  </si>
  <si>
    <t>1531867547</t>
  </si>
  <si>
    <t>2020-04-29</t>
  </si>
  <si>
    <t>2020-04-30</t>
  </si>
  <si>
    <t>HUPHM-10</t>
  </si>
  <si>
    <t>1316287269</t>
  </si>
  <si>
    <t>2020-06-24</t>
  </si>
  <si>
    <t>2020-06-21</t>
  </si>
  <si>
    <t>2020-06-26</t>
  </si>
  <si>
    <t>HUPHM-11</t>
  </si>
  <si>
    <t>1553400941</t>
  </si>
  <si>
    <t>2020-07-16</t>
  </si>
  <si>
    <t>2020-07-14</t>
  </si>
  <si>
    <t>HUPHM-12</t>
  </si>
  <si>
    <t>1597028107</t>
  </si>
  <si>
    <t>2020-08-25</t>
  </si>
  <si>
    <t>HUPHM-13</t>
  </si>
  <si>
    <t>1447021445</t>
  </si>
  <si>
    <t>2020-08-28</t>
  </si>
  <si>
    <t>HUPHM-14</t>
  </si>
  <si>
    <t>1167554139</t>
  </si>
  <si>
    <t>2020-09-28</t>
  </si>
  <si>
    <t>HUPHM-15</t>
  </si>
  <si>
    <t>5067841</t>
  </si>
  <si>
    <t>2020-02-22</t>
  </si>
  <si>
    <t>2021-03-17</t>
  </si>
  <si>
    <t>HUPHM-16</t>
  </si>
  <si>
    <t>1374092603</t>
  </si>
  <si>
    <t>2021-02-09</t>
  </si>
  <si>
    <t>2021-02-12</t>
  </si>
  <si>
    <t>2021-02-15</t>
  </si>
  <si>
    <t>HUPHM-17</t>
  </si>
  <si>
    <t>878538</t>
  </si>
  <si>
    <t>2021-06-10</t>
  </si>
  <si>
    <t>HUPHM-18</t>
  </si>
  <si>
    <t>5436085</t>
  </si>
  <si>
    <t>HUPHM-19</t>
  </si>
  <si>
    <t>1145968508</t>
  </si>
  <si>
    <t>HUPHM-20</t>
  </si>
  <si>
    <t>1553251195</t>
  </si>
  <si>
    <t>2021-05-19</t>
  </si>
  <si>
    <t>2021-05-27</t>
  </si>
  <si>
    <t>HUPHM-21</t>
  </si>
  <si>
    <t>1244701976</t>
  </si>
  <si>
    <t>2021-05-07</t>
  </si>
  <si>
    <t>2021-05-06</t>
  </si>
  <si>
    <t>HUPHM-22</t>
  </si>
  <si>
    <t>1491110369</t>
  </si>
  <si>
    <t>2021-06-08</t>
  </si>
  <si>
    <t>2021-06-16</t>
  </si>
  <si>
    <t>2021-06-17</t>
  </si>
  <si>
    <t>HUPHM-23</t>
  </si>
  <si>
    <t>1849532241</t>
  </si>
  <si>
    <t>2021-06-09</t>
  </si>
  <si>
    <t>HUPHM-24</t>
  </si>
  <si>
    <t>1144938688</t>
  </si>
  <si>
    <t>2021-07-05</t>
  </si>
  <si>
    <t>2021-07-04</t>
  </si>
  <si>
    <t>2021-07-20</t>
  </si>
  <si>
    <t>HUPHM-25</t>
  </si>
  <si>
    <t>1513141493</t>
  </si>
  <si>
    <t>2021-10-11</t>
  </si>
  <si>
    <t>2021-10-21</t>
  </si>
  <si>
    <t>HUPHM-26</t>
  </si>
  <si>
    <t>1470913252</t>
  </si>
  <si>
    <t>2021-10-14</t>
  </si>
  <si>
    <t>HUPHM-27</t>
  </si>
  <si>
    <t>1389102240</t>
  </si>
  <si>
    <t>HUPHM-28</t>
  </si>
  <si>
    <t>1576287079</t>
  </si>
  <si>
    <t>2021-10-29</t>
  </si>
  <si>
    <t>2021-11-03</t>
  </si>
  <si>
    <t>HUPHM-29</t>
  </si>
  <si>
    <t>1437929717</t>
  </si>
  <si>
    <t>2021-11-25</t>
  </si>
  <si>
    <t>HUPHM-30</t>
  </si>
  <si>
    <t>1266670759</t>
  </si>
  <si>
    <t>2021-12-17</t>
  </si>
  <si>
    <t>HUPHM-31</t>
  </si>
  <si>
    <t>1784132114</t>
  </si>
  <si>
    <t>HUPHM-32</t>
  </si>
  <si>
    <t>1025819254</t>
  </si>
  <si>
    <t>2022-01-12</t>
  </si>
  <si>
    <t>2022-01-11</t>
  </si>
  <si>
    <t>HUPHM-33</t>
  </si>
  <si>
    <t>2039537457</t>
  </si>
  <si>
    <t>2022-01-31</t>
  </si>
  <si>
    <t>2022-01-30</t>
  </si>
  <si>
    <t>HUPHM-34</t>
  </si>
  <si>
    <t>1553813900</t>
  </si>
  <si>
    <t>2022-02-09</t>
  </si>
  <si>
    <t>2022-02-02</t>
  </si>
  <si>
    <t>HUPHM-35</t>
  </si>
  <si>
    <t>HUPHM_35422</t>
  </si>
  <si>
    <t>2022-05-19</t>
  </si>
  <si>
    <t>2022-05-11</t>
  </si>
  <si>
    <t>HUPHM-36</t>
  </si>
  <si>
    <t>2022-06-01</t>
  </si>
  <si>
    <t>2022-06-02</t>
  </si>
  <si>
    <t>2022-06-11</t>
  </si>
  <si>
    <t>HUPHM-37</t>
  </si>
  <si>
    <t>HUPHM_37333</t>
  </si>
  <si>
    <t>2022-06-13</t>
  </si>
  <si>
    <t>HUPHM-38</t>
  </si>
  <si>
    <t>HUPHM_38434</t>
  </si>
  <si>
    <t>2022-07-01</t>
  </si>
  <si>
    <t>HUPHM-39</t>
  </si>
  <si>
    <t>HUPHM_39493</t>
  </si>
  <si>
    <t>2022-08-22</t>
  </si>
  <si>
    <t>2022-08-26</t>
  </si>
  <si>
    <t>HUPHM-40</t>
  </si>
  <si>
    <t>HUPHM_40404</t>
  </si>
  <si>
    <t>2022-11-11</t>
  </si>
  <si>
    <t>HUPHM-41</t>
  </si>
  <si>
    <t>HUPHM_41421</t>
  </si>
  <si>
    <t>2022-12-01</t>
  </si>
  <si>
    <t>HUPHM-42</t>
  </si>
  <si>
    <t>HUPHM_42221</t>
  </si>
  <si>
    <t>2022-10-14</t>
  </si>
  <si>
    <t>2022-10-03</t>
  </si>
  <si>
    <t>2022-10-19</t>
  </si>
  <si>
    <t>HUPHM-43</t>
  </si>
  <si>
    <t>HUPHM_43321</t>
  </si>
  <si>
    <t>2023-01-20</t>
  </si>
  <si>
    <t>2023-01-18</t>
  </si>
  <si>
    <t>2023-01-27</t>
  </si>
  <si>
    <t>2023-01-31</t>
  </si>
  <si>
    <t>HUPHM-44</t>
  </si>
  <si>
    <t>HUPHM_44121</t>
  </si>
  <si>
    <t>2023-03-17</t>
  </si>
  <si>
    <t>2023-03-24</t>
  </si>
  <si>
    <t>HUPHM-45</t>
  </si>
  <si>
    <t>HUPHM_45525</t>
  </si>
  <si>
    <t>2023-03-30</t>
  </si>
  <si>
    <t>2023-04-20</t>
  </si>
  <si>
    <t>HUPHM-46</t>
  </si>
  <si>
    <t>HUPHM_46265</t>
  </si>
  <si>
    <t>2021-08-02</t>
  </si>
  <si>
    <t>2021-08-10</t>
  </si>
  <si>
    <t>2021-08-04</t>
  </si>
  <si>
    <t>HUPHM-47</t>
  </si>
  <si>
    <t>HUPHM_47167</t>
  </si>
  <si>
    <t>HUPHM-48</t>
  </si>
  <si>
    <t>HUPHM_48228</t>
  </si>
  <si>
    <t>2023-05-18</t>
  </si>
  <si>
    <t>HUPHM-49</t>
  </si>
  <si>
    <t>HUPHM_49119</t>
  </si>
  <si>
    <t>2023-06-20</t>
  </si>
  <si>
    <t>2023-06-18</t>
  </si>
  <si>
    <t>2023-06-19</t>
  </si>
  <si>
    <t>2023-06-23</t>
  </si>
  <si>
    <t>2023-07-07</t>
  </si>
  <si>
    <t>HUPHM-50</t>
  </si>
  <si>
    <t>HUPHM_50055</t>
  </si>
  <si>
    <t>2023-06-08</t>
  </si>
  <si>
    <t>2023-06-22</t>
  </si>
  <si>
    <t>HURSC-1</t>
  </si>
  <si>
    <t>PH 591-45</t>
  </si>
  <si>
    <t>2017-08-15</t>
  </si>
  <si>
    <t>2017-09-20</t>
  </si>
  <si>
    <t>2017-09-19</t>
  </si>
  <si>
    <t>2017-09-27</t>
  </si>
  <si>
    <t>2017-09-28</t>
  </si>
  <si>
    <t>HURSC-2</t>
  </si>
  <si>
    <t>SC 241-8</t>
  </si>
  <si>
    <t>2017-07-22</t>
  </si>
  <si>
    <t>2017-07-06</t>
  </si>
  <si>
    <t>2017-07-31</t>
  </si>
  <si>
    <t>HURSC-3</t>
  </si>
  <si>
    <t>SC 235-8</t>
  </si>
  <si>
    <t>2017-06-19</t>
  </si>
  <si>
    <t>2017-06-15</t>
  </si>
  <si>
    <t>HURSC-4</t>
  </si>
  <si>
    <t>PH 536-1</t>
  </si>
  <si>
    <t>2016-08-30</t>
  </si>
  <si>
    <t>2016-08-29</t>
  </si>
  <si>
    <t>2016-09-05</t>
  </si>
  <si>
    <t>HURSC-5</t>
  </si>
  <si>
    <t>PH 511-8</t>
  </si>
  <si>
    <t>2016-04-25</t>
  </si>
  <si>
    <t>2016-04-28</t>
  </si>
  <si>
    <t>2016-05-03</t>
  </si>
  <si>
    <t>2016-05-05</t>
  </si>
  <si>
    <t>HURSC-6</t>
  </si>
  <si>
    <t>PH 662-64</t>
  </si>
  <si>
    <t>2018-12-13</t>
  </si>
  <si>
    <t>2018-12-10</t>
  </si>
  <si>
    <t>2018-12-20</t>
  </si>
  <si>
    <t>2019-01-10</t>
  </si>
  <si>
    <t>HURSC-7</t>
  </si>
  <si>
    <t>PH 658-56</t>
  </si>
  <si>
    <t>2018-11-20</t>
  </si>
  <si>
    <t>2018-11-21</t>
  </si>
  <si>
    <t>2018-11-30</t>
  </si>
  <si>
    <t>2018-12-09</t>
  </si>
  <si>
    <t>HURSC-8</t>
  </si>
  <si>
    <t>PH 368-49</t>
  </si>
  <si>
    <t>2014-10-09</t>
  </si>
  <si>
    <t>2014-10-10</t>
  </si>
  <si>
    <t>HURSC-9</t>
  </si>
  <si>
    <t>PH 473-17</t>
  </si>
  <si>
    <t>2015-08-03</t>
  </si>
  <si>
    <t>2015-07-26</t>
  </si>
  <si>
    <t>2015-08-11</t>
  </si>
  <si>
    <t>HURSC-10</t>
  </si>
  <si>
    <t>PH 483-2</t>
  </si>
  <si>
    <t>2015-10-11</t>
  </si>
  <si>
    <t>2015-10-19</t>
  </si>
  <si>
    <t>2015-10-06</t>
  </si>
  <si>
    <t>HURSC-11</t>
  </si>
  <si>
    <t>PH 668-30</t>
  </si>
  <si>
    <t>2018-05-24</t>
  </si>
  <si>
    <t>2018-05-29</t>
  </si>
  <si>
    <t>2018-05-25</t>
  </si>
  <si>
    <t>2018-05-31</t>
  </si>
  <si>
    <t>2018-06-04</t>
  </si>
  <si>
    <t>HURSC-12</t>
  </si>
  <si>
    <t>AN0197572833</t>
  </si>
  <si>
    <t>2018-11-16</t>
  </si>
  <si>
    <t>2018-11-18</t>
  </si>
  <si>
    <t>HURSC-13</t>
  </si>
  <si>
    <t>PH 600-65</t>
  </si>
  <si>
    <t>2017-11-10</t>
  </si>
  <si>
    <t>2017-11-08</t>
  </si>
  <si>
    <t>2024-11-15</t>
  </si>
  <si>
    <t>2017-11-22</t>
  </si>
  <si>
    <t>2017-12-12</t>
  </si>
  <si>
    <t>HURSC-14</t>
  </si>
  <si>
    <t>PH 482-53</t>
  </si>
  <si>
    <t>2015-10-16</t>
  </si>
  <si>
    <t>HURSC-15</t>
  </si>
  <si>
    <t>PH 484-45</t>
  </si>
  <si>
    <t>2015-10-21</t>
  </si>
  <si>
    <t>2015-10-29</t>
  </si>
  <si>
    <t>HURSC-16</t>
  </si>
  <si>
    <t>2015-09-16</t>
  </si>
  <si>
    <t>2015-09-17</t>
  </si>
  <si>
    <t>2015-09-23</t>
  </si>
  <si>
    <t>HURSC-17</t>
  </si>
  <si>
    <t>PH 395-62</t>
  </si>
  <si>
    <t>2015-04-10</t>
  </si>
  <si>
    <t>2015-04-04</t>
  </si>
  <si>
    <t>HURSC-18</t>
  </si>
  <si>
    <t>PH 394-23</t>
  </si>
  <si>
    <t>2015-04-01</t>
  </si>
  <si>
    <t>2015-03-25</t>
  </si>
  <si>
    <t>HURSC-19</t>
  </si>
  <si>
    <t>PH 387-60</t>
  </si>
  <si>
    <t>2015-01-16</t>
  </si>
  <si>
    <t>2015-01-13</t>
  </si>
  <si>
    <t>2015-02-13</t>
  </si>
  <si>
    <t>2015-03-03</t>
  </si>
  <si>
    <t>HURSC-20</t>
  </si>
  <si>
    <t>PH 796-17</t>
  </si>
  <si>
    <t>2021-03-18</t>
  </si>
  <si>
    <t>2021-04-06</t>
  </si>
  <si>
    <t>HURSC-21</t>
  </si>
  <si>
    <t>EPIQ4315</t>
  </si>
  <si>
    <t>2020-07-11</t>
  </si>
  <si>
    <t>2020-07-12</t>
  </si>
  <si>
    <t>HURSC-22</t>
  </si>
  <si>
    <t>EPIQ3537</t>
  </si>
  <si>
    <t>2020-05-15</t>
  </si>
  <si>
    <t>2020-05-14</t>
  </si>
  <si>
    <t>2020-05-18</t>
  </si>
  <si>
    <t>HURSC-23</t>
  </si>
  <si>
    <t>EPIZ3512</t>
  </si>
  <si>
    <t>2020-05-11</t>
  </si>
  <si>
    <t>2020-05-08</t>
  </si>
  <si>
    <t>2020-05-12</t>
  </si>
  <si>
    <t>HURSC-24</t>
  </si>
  <si>
    <t>EPIQ 32-16</t>
  </si>
  <si>
    <t>2020-04-21</t>
  </si>
  <si>
    <t>HURSC-25</t>
  </si>
  <si>
    <t>SC 372-36</t>
  </si>
  <si>
    <t>2020-01-15</t>
  </si>
  <si>
    <t>2020-02-06</t>
  </si>
  <si>
    <t>HURSC-26</t>
  </si>
  <si>
    <t>SC 394-28</t>
  </si>
  <si>
    <t>2020-07-30</t>
  </si>
  <si>
    <t>2020-08-22</t>
  </si>
  <si>
    <t>2020-09-08</t>
  </si>
  <si>
    <t>HURSC-27</t>
  </si>
  <si>
    <t>AN0188357732</t>
  </si>
  <si>
    <t>2020-02-27</t>
  </si>
  <si>
    <t>2020-03-05</t>
  </si>
  <si>
    <t>HURSC-28</t>
  </si>
  <si>
    <t>EPIQ 16-11</t>
  </si>
  <si>
    <t>2020-01-10</t>
  </si>
  <si>
    <t>2020-01-20</t>
  </si>
  <si>
    <t>2020-01-21</t>
  </si>
  <si>
    <t>HURSC-29</t>
  </si>
  <si>
    <t>AN0201948341</t>
  </si>
  <si>
    <t>2020-08-30</t>
  </si>
  <si>
    <t>2020-08-24</t>
  </si>
  <si>
    <t>2020-09-01</t>
  </si>
  <si>
    <t>2020-09-18</t>
  </si>
  <si>
    <t>HURSC-30</t>
  </si>
  <si>
    <t>EPIQ 17-4</t>
  </si>
  <si>
    <t>2019-12-22</t>
  </si>
  <si>
    <t>2019-12-10</t>
  </si>
  <si>
    <t>2024-01-27</t>
  </si>
  <si>
    <t>2020-04-18</t>
  </si>
  <si>
    <t>HURSC-31</t>
  </si>
  <si>
    <t>EPIQ62</t>
  </si>
  <si>
    <t>2019-11-03</t>
  </si>
  <si>
    <t>HURSC-32</t>
  </si>
  <si>
    <t>SC 352-3</t>
  </si>
  <si>
    <t>2019-08-26</t>
  </si>
  <si>
    <t>2019-08-17</t>
  </si>
  <si>
    <t>HURSC-33</t>
  </si>
  <si>
    <t>PH 697-15</t>
  </si>
  <si>
    <t>2019-06-28</t>
  </si>
  <si>
    <t>2019-06-26</t>
  </si>
  <si>
    <t>2019-07-23</t>
  </si>
  <si>
    <t>2019-07-24</t>
  </si>
  <si>
    <t>2019-07-26</t>
  </si>
  <si>
    <t>HURSC-34</t>
  </si>
  <si>
    <t>PH 684-6</t>
  </si>
  <si>
    <t>2019-04-29</t>
  </si>
  <si>
    <t>2019-04-25</t>
  </si>
  <si>
    <t>2019-05-07</t>
  </si>
  <si>
    <t>HURSC-35</t>
  </si>
  <si>
    <t>PH 683-20</t>
  </si>
  <si>
    <t>2019-04-23</t>
  </si>
  <si>
    <t>2019-04-06</t>
  </si>
  <si>
    <t>HURSC-36</t>
  </si>
  <si>
    <t>PH 676-20</t>
  </si>
  <si>
    <t>2019-03-12</t>
  </si>
  <si>
    <t>2019-03-11</t>
  </si>
  <si>
    <t>2019-04-20</t>
  </si>
  <si>
    <t>HURSC-37</t>
  </si>
  <si>
    <t>PH 671-16</t>
  </si>
  <si>
    <t>2019-02-15</t>
  </si>
  <si>
    <t>2019-02-12</t>
  </si>
  <si>
    <t>HURSC-38</t>
  </si>
  <si>
    <t>SC 283-38</t>
  </si>
  <si>
    <t>2019-01-29</t>
  </si>
  <si>
    <t>2019-01-28</t>
  </si>
  <si>
    <t>2019-02-03</t>
  </si>
  <si>
    <t>2019-02-19</t>
  </si>
  <si>
    <t>HURSC-39</t>
  </si>
  <si>
    <t>PH 667-19</t>
  </si>
  <si>
    <t>2019-01-22</t>
  </si>
  <si>
    <t>2019-01-17</t>
  </si>
  <si>
    <t>2019-01-25</t>
  </si>
  <si>
    <t>2019-01-27</t>
  </si>
  <si>
    <t>HURSC-40</t>
  </si>
  <si>
    <t>EPIQ 301-21</t>
  </si>
  <si>
    <t>2025-02-16</t>
  </si>
  <si>
    <t>2025-02-20</t>
  </si>
  <si>
    <t>2025-02-24</t>
  </si>
  <si>
    <t>2025-03-06</t>
  </si>
  <si>
    <t>HURSC-41</t>
  </si>
  <si>
    <t>EPIQ 246-22</t>
  </si>
  <si>
    <t>2024-01-29</t>
  </si>
  <si>
    <t>2024-01-31</t>
  </si>
  <si>
    <t>2024-02-05</t>
  </si>
  <si>
    <t>2024-02-06</t>
  </si>
  <si>
    <t>HURSC-42</t>
  </si>
  <si>
    <t>EPIQ 243-15</t>
  </si>
  <si>
    <t>2023-12-24</t>
  </si>
  <si>
    <t>2024-01-09</t>
  </si>
  <si>
    <t>2024-01-15</t>
  </si>
  <si>
    <t>2025-01-16</t>
  </si>
  <si>
    <t>2024-01-17</t>
  </si>
  <si>
    <t>HURSC-43</t>
  </si>
  <si>
    <t>EPIQ 139-23</t>
  </si>
  <si>
    <t>2022-03-18</t>
  </si>
  <si>
    <t>2022-03-22</t>
  </si>
  <si>
    <t>HURSC-44</t>
  </si>
  <si>
    <t>EPIQ 45-5</t>
  </si>
  <si>
    <t>2020-06-15</t>
  </si>
  <si>
    <t>2020-07-06</t>
  </si>
  <si>
    <t>2020-07-13</t>
  </si>
  <si>
    <t>HURSC-45</t>
  </si>
  <si>
    <t>EPIQ 27-1</t>
  </si>
  <si>
    <t>2020-03-11</t>
  </si>
  <si>
    <t>2020-03-16</t>
  </si>
  <si>
    <t>HURSC-46</t>
  </si>
  <si>
    <t>2020-01-14</t>
  </si>
  <si>
    <t>2020-01-27</t>
  </si>
  <si>
    <t>2020-02-03</t>
  </si>
  <si>
    <t>2025-02-03</t>
  </si>
  <si>
    <t>HURSC-47</t>
  </si>
  <si>
    <t>PH 380-4</t>
  </si>
  <si>
    <t>2014-12-26</t>
  </si>
  <si>
    <t>2014-12-29</t>
  </si>
  <si>
    <t>2014-12-31</t>
  </si>
  <si>
    <t>2015-01-12</t>
  </si>
  <si>
    <t>mismo 51 tras la cirugia</t>
  </si>
  <si>
    <t>Duplicado con 13, ya no hay imágenes en REDCAP (revisar las descargadas)</t>
  </si>
  <si>
    <t>Duplicado con el 22</t>
  </si>
  <si>
    <t>Embolia post-eco con embolia previa</t>
  </si>
  <si>
    <t>Es claramente mayor de 8</t>
  </si>
  <si>
    <t>fechas antes que el eco</t>
  </si>
  <si>
    <t>claramente mayor que 8</t>
  </si>
  <si>
    <t>esta en cavidades derechas</t>
  </si>
  <si>
    <t>HGTPB-51</t>
  </si>
  <si>
    <t>HGTPB-52</t>
  </si>
  <si>
    <t>HGTPB-53</t>
  </si>
  <si>
    <t>HGTPB-54</t>
  </si>
  <si>
    <t>2025-01-24</t>
  </si>
  <si>
    <t>2025-01-22</t>
  </si>
  <si>
    <t>2025-02-26</t>
  </si>
  <si>
    <t>2025-04-20</t>
  </si>
  <si>
    <t>2025-06-21</t>
  </si>
  <si>
    <t>2024-12-23</t>
  </si>
  <si>
    <t>2025-03-05</t>
  </si>
  <si>
    <t>2025-03-29</t>
  </si>
  <si>
    <t>No hay imágenes subidas</t>
  </si>
  <si>
    <t>diam_ao_2</t>
  </si>
  <si>
    <t>diam_mitral_2</t>
  </si>
  <si>
    <t>mecánica dificil de medir, hay dos que se juntan</t>
  </si>
  <si>
    <t>bicuspide, dificil de medir</t>
  </si>
  <si>
    <t>Se encuentra entre la válvulas</t>
  </si>
  <si>
    <t>Solo embolias previas sin cirugía ni muerte</t>
  </si>
  <si>
    <t>Muy larga, muy móvil, operada mismo día que el eco con varias previas</t>
  </si>
  <si>
    <t>mala calidad en la imagen</t>
  </si>
  <si>
    <t>hay dos grandes</t>
  </si>
  <si>
    <t>revisar medida</t>
  </si>
  <si>
    <t>muere dos días después de la eco</t>
  </si>
  <si>
    <t>Se indica cirtugía pero no se realiza por la fragilidad del paciente</t>
  </si>
  <si>
    <t>Se opera el mismo día que se realiza la eco</t>
  </si>
  <si>
    <t>Cirugía realizada rápida</t>
  </si>
  <si>
    <t>mecánica, no veo la vegetación</t>
  </si>
  <si>
    <t>Medir la vegetación</t>
  </si>
  <si>
    <t>artefacto y dificil de medir</t>
  </si>
  <si>
    <t>Grande y con movilidad, me parece un pelin más grande</t>
  </si>
  <si>
    <t>Parece que se va a soltar, operan el mismo día</t>
  </si>
  <si>
    <t>Hay una masa rara muy móvil</t>
  </si>
  <si>
    <t>medido muy diferente</t>
  </si>
  <si>
    <t>Hay ecografías de dos días diferentes de este paciente</t>
  </si>
  <si>
    <t>No hay imágenes</t>
  </si>
  <si>
    <t>Hay dos la de la aórtica es la mas grande y cuenta un poco medirla</t>
  </si>
  <si>
    <t>No soy capaz de medirlo, aneurisma</t>
  </si>
  <si>
    <t>Es enorme, como no puede tener embolias previas? (Bacilos Gram Negativos)</t>
  </si>
  <si>
    <t>muy dificil de medir</t>
  </si>
  <si>
    <t>sin embolias previas, grande y móvil, Hemocultivos negativos!!!</t>
  </si>
  <si>
    <t>Muy dificil de medir</t>
  </si>
  <si>
    <t>Muere 20 días después</t>
  </si>
  <si>
    <t>La vegetación tiene dos partes, la móvil es pequeña pero en conjunto es grande</t>
  </si>
  <si>
    <t>No veo vegetación</t>
  </si>
  <si>
    <t>No se medirla, muy anclada</t>
  </si>
  <si>
    <t>No se medirla</t>
  </si>
  <si>
    <t>Dificil de medir, masa grande de forma inusual</t>
  </si>
  <si>
    <t>Dificil de medir, muy pequeña</t>
  </si>
  <si>
    <t>No se opera por no fragilidad y alto riesgo quirúrgico</t>
  </si>
  <si>
    <t>raro que no embolice en 15 días, dificil de medir</t>
  </si>
  <si>
    <t>Muy anclada, no se medirla, no creo que sea 20</t>
  </si>
  <si>
    <t>Muy anclada, no parece 25</t>
  </si>
  <si>
    <t>muy larga y móvil, un mes en operar</t>
  </si>
  <si>
    <t>No esta rellena</t>
  </si>
  <si>
    <t>muy pequeña y anclada</t>
  </si>
  <si>
    <t>Operado el mismo día, enorme y móvil</t>
  </si>
  <si>
    <t>grande y móvil y 14 días sin cirugía</t>
  </si>
  <si>
    <t>dificil de medir</t>
  </si>
  <si>
    <t>muy pequeña</t>
  </si>
  <si>
    <t>parece menos que 12</t>
  </si>
  <si>
    <t>Incluido por error</t>
  </si>
  <si>
    <t>es muy grande, mide más que 8</t>
  </si>
  <si>
    <t>mide  más de 10</t>
  </si>
  <si>
    <t>parece muy grande</t>
  </si>
  <si>
    <t>No se medirlo, no es 28</t>
  </si>
  <si>
    <t>Dificil de medir</t>
  </si>
  <si>
    <t>Medición muy diferente</t>
  </si>
  <si>
    <t>Muy anclada</t>
  </si>
  <si>
    <t>No se ve bien donde empieza</t>
  </si>
  <si>
    <t>No parece muy móvil en la unica vista que hay</t>
  </si>
  <si>
    <t>Muy anclada, poco móvil</t>
  </si>
  <si>
    <t>muy extraño no indicación de cirugía</t>
  </si>
  <si>
    <t>movimiento bote</t>
  </si>
  <si>
    <t>muy anclada</t>
  </si>
  <si>
    <t xml:space="preserve">también aparece aneurisma </t>
  </si>
  <si>
    <t>medida muy diferente</t>
  </si>
  <si>
    <t>HCSCM-51</t>
  </si>
  <si>
    <t>HCSCM-52</t>
  </si>
  <si>
    <t>Muy fina, movimiento bote</t>
  </si>
  <si>
    <t>es mayor que 8</t>
  </si>
  <si>
    <t>no se indica cirugía</t>
  </si>
  <si>
    <t>dos vegetaciones muy pegadas</t>
  </si>
  <si>
    <t>2025-07-23</t>
  </si>
  <si>
    <t>2025-08-04</t>
  </si>
  <si>
    <t>HCSC_52</t>
  </si>
  <si>
    <t>2025-07-10</t>
  </si>
  <si>
    <t>2025-07-21</t>
  </si>
  <si>
    <t>2025-07-14</t>
  </si>
  <si>
    <t>2025-07-12</t>
  </si>
  <si>
    <t>No se medirla, muy pequeña</t>
  </si>
  <si>
    <t>cuesta distinguirla de la válvula</t>
  </si>
  <si>
    <t>redondeada</t>
  </si>
  <si>
    <t>Tiene algo enorme moviendose que no se que es</t>
  </si>
  <si>
    <t>pequeña</t>
  </si>
  <si>
    <t>muy anclado</t>
  </si>
  <si>
    <t>varias semanas después de la eco</t>
  </si>
  <si>
    <t>No se realiza cirugía por fragilidad del paciente</t>
  </si>
  <si>
    <t>la vegetación tiene dos partes, la parte móvil es muy pequeña</t>
  </si>
  <si>
    <t>Muy dgrande y móvil, no se opera por alto riesgo quirúrgico</t>
  </si>
  <si>
    <t>puede que haya dos y una más grande</t>
  </si>
  <si>
    <t>es grande y móvil pero no tiene indicación de cirugía</t>
  </si>
  <si>
    <t>dos pequeñas</t>
  </si>
  <si>
    <t>pequeñísima</t>
  </si>
  <si>
    <t>base muy ancha</t>
  </si>
  <si>
    <t>dos partes, una anclada y una móvil, es más grande de lo que pone</t>
  </si>
  <si>
    <t>es menos de 14 si usas solo las vistas validas</t>
  </si>
  <si>
    <t>dificil distinguir donde empieza</t>
  </si>
  <si>
    <t>no es muy móvil</t>
  </si>
  <si>
    <t>son pequeñas</t>
  </si>
  <si>
    <t xml:space="preserve"> no la veo</t>
  </si>
  <si>
    <t>parece bastante anclada</t>
  </si>
  <si>
    <t>pequeña, muy anclada</t>
  </si>
  <si>
    <t>pequeña y anclada</t>
  </si>
  <si>
    <t>parece bastante móvil</t>
  </si>
  <si>
    <t>parece pequeña</t>
  </si>
  <si>
    <t>Alto riesgo quirúrgico</t>
  </si>
  <si>
    <t>hay algo bailando en otra cavidad</t>
  </si>
  <si>
    <t>en el borde</t>
  </si>
  <si>
    <t>Anclada mécanica, no grande, movimiento asincopado respecto  válvula, parece gran tensión</t>
  </si>
  <si>
    <t>muy redondeada</t>
  </si>
  <si>
    <t>2318112</t>
  </si>
  <si>
    <t>dice Alberto que hay que quitarlo, disección</t>
  </si>
  <si>
    <t xml:space="preserve">es la misma que la 48, hay dos fechas eco </t>
  </si>
  <si>
    <t>2642759</t>
  </si>
  <si>
    <t>muy poco móvil</t>
  </si>
  <si>
    <t>Hay dos, parecen muy rigidas, tiene forma muy irregular en la aórtica</t>
  </si>
  <si>
    <t>muy fina y móvil</t>
  </si>
  <si>
    <t>muy grande, pone que la de la eco es posterior a la embolia</t>
  </si>
  <si>
    <t>es más grande de 19</t>
  </si>
  <si>
    <t>una parte anclada y otra muy móvil</t>
  </si>
  <si>
    <t>Se ve en dos partes del ciclo con formas muy diferentes</t>
  </si>
  <si>
    <t>Muy grande y móvil</t>
  </si>
  <si>
    <t>grande y móvil</t>
  </si>
  <si>
    <t>no se medirla, muy dificil</t>
  </si>
  <si>
    <t>dificil saber donde empieza</t>
  </si>
  <si>
    <t>no se de donde sale el 22, formato transgánstricas</t>
  </si>
  <si>
    <t>es gigantesca, formato transgánstrica</t>
  </si>
  <si>
    <t>muy grande y móvil, no son ciertos los 10</t>
  </si>
  <si>
    <t>no estoy seguro de que sea la vegetación, pero es más de 7 seguro</t>
  </si>
  <si>
    <t>parece muy anclada</t>
  </si>
  <si>
    <t>Final</t>
  </si>
  <si>
    <t>Valido</t>
  </si>
  <si>
    <t>parece más grande de 12</t>
  </si>
  <si>
    <t>No viene en el redcap, ni sexo ni edad, ni fecha eco, pone que no hay indicación de cirugía, es un hombre</t>
  </si>
  <si>
    <t>Hay dos</t>
  </si>
  <si>
    <t>cuesta saber donde empieza</t>
  </si>
  <si>
    <t>No se medirlo</t>
  </si>
  <si>
    <t>cuesta medirla un poco</t>
  </si>
  <si>
    <t>hay dos</t>
  </si>
  <si>
    <t>cuesta medirla</t>
  </si>
  <si>
    <t>algo móvil pero parece bastante rigida</t>
  </si>
  <si>
    <t>parecen dos</t>
  </si>
  <si>
    <t>filiforme muy móvil</t>
  </si>
  <si>
    <t>muy grande, no se medirla</t>
  </si>
  <si>
    <t>muy grande y muy móvil</t>
  </si>
  <si>
    <t>muy móvil</t>
  </si>
  <si>
    <t>tiene varias partes la vegetación, dificil de medir</t>
  </si>
  <si>
    <t>muy grande</t>
  </si>
  <si>
    <t>dificil de medir en la aórtica</t>
  </si>
  <si>
    <t>parece bastante grande</t>
  </si>
  <si>
    <t>Es grande y mucho tiempo entre eco y cirugía</t>
  </si>
  <si>
    <t>la vegetación consta de varias partes, un anclada y otra móvil</t>
  </si>
  <si>
    <t>hemocultivos negativos</t>
  </si>
  <si>
    <t>forma muy inusual, no se medirlo, muy anclada</t>
  </si>
  <si>
    <t>muy difusa, hay varias, cuesta medirlas</t>
  </si>
  <si>
    <t>un poco dificil definirla, solo hay una imagen y es con zoom</t>
  </si>
  <si>
    <t>muy embolizable y pasa mucho tiempo entre eco y cirugía</t>
  </si>
  <si>
    <t>pequeña y poco móvil</t>
  </si>
  <si>
    <t>es grande pero la parte móvil es muy pequeña</t>
  </si>
  <si>
    <t>un mes entre eco y cirugía</t>
  </si>
  <si>
    <t>es dificil saber cuando empieza la vegetación</t>
  </si>
  <si>
    <t>estafilococus aureus sensible a la meticilina</t>
  </si>
  <si>
    <t>hay dos, la de la mitral muy anclada y la aótica móvil</t>
  </si>
  <si>
    <t>muy anclada a la válvula</t>
  </si>
  <si>
    <t>No se medirla, forma inusual</t>
  </si>
  <si>
    <t>Formato transgánstrica muy difusa, dificil de medir</t>
  </si>
  <si>
    <t>parece más pequeña de 16</t>
  </si>
  <si>
    <t>en la mitral también parece haber algo</t>
  </si>
  <si>
    <t>no se medirlo</t>
  </si>
  <si>
    <t>aureus sensible a la meticilina</t>
  </si>
  <si>
    <t>la parte móvil solo mide 10</t>
  </si>
  <si>
    <t>muy grande y homogenea</t>
  </si>
  <si>
    <t>muy extendida, no se medirla</t>
  </si>
  <si>
    <t>gigante</t>
  </si>
  <si>
    <t>no hay imágenes transexofágicas</t>
  </si>
  <si>
    <t>grande anclada y poco móvil</t>
  </si>
  <si>
    <t>no parece muy embolizable pero muere dos meses después</t>
  </si>
  <si>
    <t>muy grande y muy móvil 5 días hasta cirugía y sin embolias previas</t>
  </si>
  <si>
    <t>enorme, 10 días sin embolia</t>
  </si>
  <si>
    <t>muy grande, con parte central poco móvil</t>
  </si>
  <si>
    <t>9 días sin embolizar</t>
  </si>
  <si>
    <t>muy en el borde</t>
  </si>
  <si>
    <t>se ve un absceso, o algo, al otro lado de la válvula</t>
  </si>
  <si>
    <t>hay ecos en dos fechas diferentes, estas son de 2022</t>
  </si>
  <si>
    <t>la de la aórtica es dificil de medir</t>
  </si>
  <si>
    <t>creo que hay dos en la protesis</t>
  </si>
  <si>
    <t>muy anclada pero parece más de 12</t>
  </si>
  <si>
    <t>parece haber más de una</t>
  </si>
  <si>
    <t>me parece que está en la mitral</t>
  </si>
  <si>
    <t>se ve algo en la mitral muy móvil pero creo que velo</t>
  </si>
  <si>
    <t>dificil ver donde empieza y donde acaba</t>
  </si>
  <si>
    <t>muchos días hasta la cirugía pero no es excesivamente grande, ni excesivamente móvil</t>
  </si>
  <si>
    <t>muy anclada a la vegetación, se distingue mal el borde</t>
  </si>
  <si>
    <t>me parece un poco raro que no indiquen cirugía</t>
  </si>
  <si>
    <t>Destrozo, No indican operación, sigue vivo, no emboliza???</t>
  </si>
  <si>
    <t>Muy grande, muy móvil, ni si quiera indican operación?</t>
  </si>
  <si>
    <t>Me parece que han medido de menos</t>
  </si>
  <si>
    <t>parece muy anclada y poco móvil</t>
  </si>
  <si>
    <t>larguísima, no se opera por alto riesgo quirúrgico y muerte por fracaso multiorgánico</t>
  </si>
  <si>
    <t>muy difusa, no soy capaz de medirla</t>
  </si>
  <si>
    <t>10 diás sin operar y no le da una embolia y embolia 20 días más tarde tras haberse operado</t>
  </si>
  <si>
    <t>embolia previa durante el tratamiento (e ingreso)</t>
  </si>
  <si>
    <t>no la veo, no se medirla, pone que es enorme, se le ha operado, luego le ha dado la embolia, luego eco</t>
  </si>
  <si>
    <t>validos:</t>
  </si>
  <si>
    <t>Embolia despues que el eco con muerte</t>
  </si>
  <si>
    <t>Solo previas con cirugía sin muerte</t>
  </si>
  <si>
    <t>muerte sin cirugía con solo previas</t>
  </si>
  <si>
    <t xml:space="preserve">cirugia y muerte con  solo previas </t>
  </si>
  <si>
    <t xml:space="preserve">muerte sin cirugía sin embolias </t>
  </si>
  <si>
    <t xml:space="preserve">cirugía y muerte sin embolias </t>
  </si>
  <si>
    <t xml:space="preserve">cirugía sin muerte sin embolias </t>
  </si>
  <si>
    <t>Difuso, dificil de medir, medido Alberto</t>
  </si>
  <si>
    <t>cuesta medirla, medida Alberto</t>
  </si>
  <si>
    <t>dificil de medir, le da la embolia 2 días después de operarse en el día que se muere, medida Alberto</t>
  </si>
  <si>
    <t>dificil de medir, medida Alberto</t>
  </si>
  <si>
    <t>medida Alberto</t>
  </si>
  <si>
    <t>muy pequeña, medida Alberto</t>
  </si>
  <si>
    <t>HGTPB-55</t>
  </si>
  <si>
    <t>2025-09-18</t>
  </si>
  <si>
    <t>2025-09-27</t>
  </si>
  <si>
    <t>HCSCM-53</t>
  </si>
  <si>
    <t>2025-05-21</t>
  </si>
  <si>
    <t>2025-05-07</t>
  </si>
  <si>
    <t>2025-05-22</t>
  </si>
  <si>
    <t>2025-05-23</t>
  </si>
  <si>
    <t>HCSCM-54</t>
  </si>
  <si>
    <t>2025-05-24</t>
  </si>
  <si>
    <t>fecha_alta</t>
  </si>
  <si>
    <t>2023-11-28</t>
  </si>
  <si>
    <t>2023-01-03</t>
  </si>
  <si>
    <t>2023-01-30</t>
  </si>
  <si>
    <t>2023-04-25</t>
  </si>
  <si>
    <t>2021-03-30</t>
  </si>
  <si>
    <t>2020-07-24</t>
  </si>
  <si>
    <t>2020-10-26</t>
  </si>
  <si>
    <t>2021-05-14</t>
  </si>
  <si>
    <t>2021-05-22</t>
  </si>
  <si>
    <t>2021-03-21</t>
  </si>
  <si>
    <t>2022-07-26</t>
  </si>
  <si>
    <t>2022-06-30</t>
  </si>
  <si>
    <t>2022-07-16</t>
  </si>
  <si>
    <t>2022-01-26</t>
  </si>
  <si>
    <t>2025-05-19</t>
  </si>
  <si>
    <t>2021-05-15</t>
  </si>
  <si>
    <t>2023-11-02</t>
  </si>
  <si>
    <t>2023-10-16</t>
  </si>
  <si>
    <t>2022-12-27</t>
  </si>
  <si>
    <t>2022-11-16</t>
  </si>
  <si>
    <t>2022-08-29</t>
  </si>
  <si>
    <t>2021-11-05</t>
  </si>
  <si>
    <t>2022-02-01</t>
  </si>
  <si>
    <t>2021-10-07</t>
  </si>
  <si>
    <t>2022-04-08</t>
  </si>
  <si>
    <t>2025-01-30</t>
  </si>
  <si>
    <t>2025-01-13</t>
  </si>
  <si>
    <t>2022-03-23</t>
  </si>
  <si>
    <t>2022-01-14</t>
  </si>
  <si>
    <t>2021-11-26</t>
  </si>
  <si>
    <t>2025-08-19</t>
  </si>
  <si>
    <t>2025-08-14</t>
  </si>
  <si>
    <t>2023-11-27</t>
  </si>
  <si>
    <t>2023-10-05</t>
  </si>
  <si>
    <t>2023-08-26</t>
  </si>
  <si>
    <t>2023-06-27</t>
  </si>
  <si>
    <t>2023-06-07</t>
  </si>
  <si>
    <t>2023-02-07</t>
  </si>
  <si>
    <t>2024-04-02</t>
  </si>
  <si>
    <t>2022-02-23</t>
  </si>
  <si>
    <t>2022-04-14</t>
  </si>
  <si>
    <t>2021-10-19</t>
  </si>
  <si>
    <t>2024-08-22</t>
  </si>
  <si>
    <t>2022-10-25</t>
  </si>
  <si>
    <t>2022-12-09</t>
  </si>
  <si>
    <t>2023-07-17</t>
  </si>
  <si>
    <t>2024-01-08</t>
  </si>
  <si>
    <t>2024-03-01</t>
  </si>
  <si>
    <t>2024-04-26</t>
  </si>
  <si>
    <t>2024-06-21</t>
  </si>
  <si>
    <t>2024-10-07</t>
  </si>
  <si>
    <t>2024-10-02</t>
  </si>
  <si>
    <t>2024-09-10</t>
  </si>
  <si>
    <t>2025-01-14</t>
  </si>
  <si>
    <t>2025-03-30</t>
  </si>
  <si>
    <t>2025-03-26</t>
  </si>
  <si>
    <t>2025-01-21</t>
  </si>
  <si>
    <t>2025-04-17</t>
  </si>
  <si>
    <t>2025-10-06</t>
  </si>
  <si>
    <t>2023-10-17</t>
  </si>
  <si>
    <t>2021-06-01</t>
  </si>
  <si>
    <t>2021-03-15</t>
  </si>
  <si>
    <t>2020-12-30</t>
  </si>
  <si>
    <t>2021-08-27</t>
  </si>
  <si>
    <t>2020-07-02</t>
  </si>
  <si>
    <t>2018-02-15</t>
  </si>
  <si>
    <t>2020-07-23</t>
  </si>
  <si>
    <t>2023-07-18</t>
  </si>
  <si>
    <t>2023-02-14</t>
  </si>
  <si>
    <t>2023-01-23</t>
  </si>
  <si>
    <t>2016-07-22</t>
  </si>
  <si>
    <t>2018-01-19</t>
  </si>
  <si>
    <t>2020-07-15</t>
  </si>
  <si>
    <t>2020-05-06</t>
  </si>
  <si>
    <t>2024-09-13</t>
  </si>
  <si>
    <t>2025-03-24</t>
  </si>
  <si>
    <t>2025-03-11</t>
  </si>
  <si>
    <t>2025-05-02</t>
  </si>
  <si>
    <t>2025-06-05</t>
  </si>
  <si>
    <t>2025-07-18</t>
  </si>
  <si>
    <t>2025-08-03</t>
  </si>
  <si>
    <t>2025-07-16</t>
  </si>
  <si>
    <t>2025-07-15</t>
  </si>
  <si>
    <t>2025-07-04</t>
  </si>
  <si>
    <t>2025-06-27</t>
  </si>
  <si>
    <t>2025-07-29</t>
  </si>
  <si>
    <t>2025-06-30</t>
  </si>
  <si>
    <t>2024-02-28</t>
  </si>
  <si>
    <t>2023-08-17</t>
  </si>
  <si>
    <t>2022-04-01</t>
  </si>
  <si>
    <t>2023-10-04</t>
  </si>
  <si>
    <t>2022-08-14</t>
  </si>
  <si>
    <t>2022-08-24</t>
  </si>
  <si>
    <t>2022-01-04</t>
  </si>
  <si>
    <t>2019-08-20</t>
  </si>
  <si>
    <t>2020-02-10</t>
  </si>
  <si>
    <t>2020-04-06</t>
  </si>
  <si>
    <t>2020-03-13</t>
  </si>
  <si>
    <t>2020-03-10</t>
  </si>
  <si>
    <t>2020-06-17</t>
  </si>
  <si>
    <t>2020-09-23</t>
  </si>
  <si>
    <t>2020-10-23</t>
  </si>
  <si>
    <t>2020-04-27</t>
  </si>
  <si>
    <t>2021-04-29</t>
  </si>
  <si>
    <t>2021-07-06</t>
  </si>
  <si>
    <t>2021-11-16</t>
  </si>
  <si>
    <t>2022-01-07</t>
  </si>
  <si>
    <t>2022-03-08</t>
  </si>
  <si>
    <t>2022-06-07</t>
  </si>
  <si>
    <t>2022-06-23</t>
  </si>
  <si>
    <t>2022-07-08</t>
  </si>
  <si>
    <t>2022-10-10</t>
  </si>
  <si>
    <t>2022-12-02</t>
  </si>
  <si>
    <t>2022-11-03</t>
  </si>
  <si>
    <t>2023-02-27</t>
  </si>
  <si>
    <t>2023-04-28</t>
  </si>
  <si>
    <t>2023-06-02</t>
  </si>
  <si>
    <t>2023-06-01</t>
  </si>
  <si>
    <t>2017-08-16</t>
  </si>
  <si>
    <t>2017-07-27</t>
  </si>
  <si>
    <t>2016-09-15</t>
  </si>
  <si>
    <t>2016-05-13</t>
  </si>
  <si>
    <t>2014-11-03</t>
  </si>
  <si>
    <t>2015-08-30</t>
  </si>
  <si>
    <t>2015-11-04</t>
  </si>
  <si>
    <t>2018-06-14</t>
  </si>
  <si>
    <t>2015-10-14</t>
  </si>
  <si>
    <t>2015-05-08</t>
  </si>
  <si>
    <t>2015-04-30</t>
  </si>
  <si>
    <t>2015-03-07</t>
  </si>
  <si>
    <t>2021-05-12</t>
  </si>
  <si>
    <t>2020-05-19</t>
  </si>
  <si>
    <t>2020-03-30</t>
  </si>
  <si>
    <t>2020-10-19</t>
  </si>
  <si>
    <t>2020-04-03</t>
  </si>
  <si>
    <t>2020-02-07</t>
  </si>
  <si>
    <t>2019-11-21</t>
  </si>
  <si>
    <t>2019-09-16</t>
  </si>
  <si>
    <t>2019-05-30</t>
  </si>
  <si>
    <t>2019-05-26</t>
  </si>
  <si>
    <t>2019-03-29</t>
  </si>
  <si>
    <t>2025-03-28</t>
  </si>
  <si>
    <t>2024-02-20</t>
  </si>
  <si>
    <t>2022-04-25</t>
  </si>
  <si>
    <t>2020-07-22</t>
  </si>
  <si>
    <t>2020-04-24</t>
  </si>
  <si>
    <t>2015-01-26</t>
  </si>
  <si>
    <t>se ven dos vegetaciones en la protesis, estan mal puesta las fechas de evolución en el redcap</t>
  </si>
  <si>
    <t>me parece bastante más grande y la fecha del eco creo que está mal o no encaja de año</t>
  </si>
  <si>
    <t>muy anclada y poco móvil, fechas mal redcap</t>
  </si>
  <si>
    <t>HGTPB-56</t>
  </si>
  <si>
    <t>2025-05-26</t>
  </si>
  <si>
    <t>HGTPB-57</t>
  </si>
  <si>
    <t>HGTPB-58</t>
  </si>
  <si>
    <t>Ha dicho Alberto que quitar del estudio ya que la endocarditis, según las iágenes que nos han proporcionado, no está en cavidades izquierdas</t>
  </si>
  <si>
    <t>revisar</t>
  </si>
  <si>
    <t>no está medida, no se medirla</t>
  </si>
  <si>
    <t>dos protocolos, revisar</t>
  </si>
  <si>
    <t>la fecha de la eco no coincide con niguna de los días de medición</t>
  </si>
  <si>
    <t>no queda registrada en el dicom la fecha de la eco, no puedo relacionarla</t>
  </si>
  <si>
    <t>muy grande, año fecha muerte está mal puesta en el redcap</t>
  </si>
  <si>
    <t>dificil de medir en la mitral, fecha cirugia mal puesto el año en el redcap</t>
  </si>
  <si>
    <t>muy pequeña, fecha embolia previa mal puesta el año</t>
  </si>
  <si>
    <t>fecha eco dicom rara, eco tambien rara, y es más grande que 11 y muy móvil</t>
  </si>
  <si>
    <t>cuesta saber donde empieza, pasan 97 días hasta el alta, tiene indicación de cirugía pero no se realiza por fragilidad</t>
  </si>
  <si>
    <t>2021-07-27</t>
  </si>
  <si>
    <t>2020-06-23</t>
  </si>
  <si>
    <t>hospital</t>
  </si>
  <si>
    <t>HCSCM</t>
  </si>
  <si>
    <t>HGTPB</t>
  </si>
  <si>
    <t>HULAL</t>
  </si>
  <si>
    <t>HULFV</t>
  </si>
  <si>
    <t>HUPHM</t>
  </si>
  <si>
    <t>HURSC</t>
  </si>
  <si>
    <t>fecha_inicio_trat</t>
  </si>
  <si>
    <t>2020-08-19</t>
  </si>
  <si>
    <t>2021-08-05</t>
  </si>
  <si>
    <t>2023-06-13</t>
  </si>
  <si>
    <t>2024-12-18</t>
  </si>
  <si>
    <t>2021-12-18</t>
  </si>
  <si>
    <t>2025-05-16</t>
  </si>
  <si>
    <t>2024-02-11</t>
  </si>
  <si>
    <t>2023-10-07</t>
  </si>
  <si>
    <t>2023-07-23</t>
  </si>
  <si>
    <t>2023-03-20</t>
  </si>
  <si>
    <t>2023-03-10</t>
  </si>
  <si>
    <t>2022-02-26</t>
  </si>
  <si>
    <t>2022-01-25</t>
  </si>
  <si>
    <t>2024-05-01</t>
  </si>
  <si>
    <t>2023-05-17</t>
  </si>
  <si>
    <t>2023-06-16</t>
  </si>
  <si>
    <t>2024-08-02</t>
  </si>
  <si>
    <t>2024-11-26</t>
  </si>
  <si>
    <t>2025-03-13</t>
  </si>
  <si>
    <t>2025-02-23</t>
  </si>
  <si>
    <t>2025-04-21</t>
  </si>
  <si>
    <t>2025-09-24</t>
  </si>
  <si>
    <t>2021-01-23</t>
  </si>
  <si>
    <t>2024-04-08</t>
  </si>
  <si>
    <t>2021-09-16</t>
  </si>
  <si>
    <t>2021-02-13</t>
  </si>
  <si>
    <t>2020-11-17</t>
  </si>
  <si>
    <t>2018-01-11</t>
  </si>
  <si>
    <t>2023-06-28</t>
  </si>
  <si>
    <t>2017-12-05</t>
  </si>
  <si>
    <t>2020-05-31</t>
  </si>
  <si>
    <t>2020-04-13</t>
  </si>
  <si>
    <t>2024-07-31</t>
  </si>
  <si>
    <t>2024-10-10</t>
  </si>
  <si>
    <t>2024-12-06</t>
  </si>
  <si>
    <t>2024-02-08</t>
  </si>
  <si>
    <t>2025-02-02</t>
  </si>
  <si>
    <t>2025-03-23</t>
  </si>
  <si>
    <t>2025-06-20</t>
  </si>
  <si>
    <t>2025-05-29</t>
  </si>
  <si>
    <t>2023-04-14</t>
  </si>
  <si>
    <t>2022-03-17</t>
  </si>
  <si>
    <t>2022-06-19</t>
  </si>
  <si>
    <t>2021-11-13</t>
  </si>
  <si>
    <t>2021-09-21</t>
  </si>
  <si>
    <t>2022-05-18</t>
  </si>
  <si>
    <t>2019-08-07</t>
  </si>
  <si>
    <t>2019-09-04</t>
  </si>
  <si>
    <t>2020-04-25</t>
  </si>
  <si>
    <t>2020-09-25</t>
  </si>
  <si>
    <t>2021-04-15</t>
  </si>
  <si>
    <t>2022-06-12</t>
  </si>
  <si>
    <t>2022-06-06</t>
  </si>
  <si>
    <t>2017-07-25</t>
  </si>
  <si>
    <t>2016-06-19</t>
  </si>
  <si>
    <t>2016-04-26</t>
  </si>
  <si>
    <t>2018-12-11</t>
  </si>
  <si>
    <t>2017-11-15</t>
  </si>
  <si>
    <t>2015-10-25</t>
  </si>
  <si>
    <t>2020-08-27</t>
  </si>
  <si>
    <t>2019-12-24</t>
  </si>
  <si>
    <t>2019-08-18</t>
  </si>
  <si>
    <t>2019-01-18</t>
  </si>
  <si>
    <t>2020-01-16</t>
  </si>
  <si>
    <t>dificil medir, hay dos grandes en la aórtica, es caso porque la previa es posterior a la eco</t>
  </si>
  <si>
    <t>muy grande pero no veo el 30, las embolias previas son el mismo día que la eco</t>
  </si>
  <si>
    <t>muy larga y móvil, embolia previa mismo día que el eco</t>
  </si>
  <si>
    <t>dificil de medir, muy anclada, caso curioso</t>
  </si>
  <si>
    <t>preguntar Adrian Fechas</t>
  </si>
  <si>
    <t xml:space="preserve"> no se medirla, comprobar adrián, iptus posterior, fallos de memoria </t>
  </si>
  <si>
    <t>preguntar adrian, pone embolia y informe tac 27 en palencia descarta embolismo pulmonar</t>
  </si>
  <si>
    <t>fecha cirugía cambiada tras mirar el historial</t>
  </si>
  <si>
    <t>IA</t>
  </si>
  <si>
    <t>Sin embolias previas o post ni muerte ni cirugía</t>
  </si>
  <si>
    <t>IA_RECORD</t>
  </si>
  <si>
    <t>HULFV-18</t>
  </si>
  <si>
    <t>HULFV-24</t>
  </si>
  <si>
    <t>HULFV-23</t>
  </si>
  <si>
    <t>HULFV-22</t>
  </si>
  <si>
    <t>HULFV-21</t>
  </si>
  <si>
    <t>HULFV-20</t>
  </si>
  <si>
    <t>HULFV-19</t>
  </si>
  <si>
    <t>2025-09-29</t>
  </si>
  <si>
    <t>2025-10-20</t>
  </si>
  <si>
    <t>2025-05-09</t>
  </si>
  <si>
    <t>2024-12-12</t>
  </si>
  <si>
    <t>2025-12-18</t>
  </si>
  <si>
    <t>2025-12-16</t>
  </si>
  <si>
    <t>2025-02-15</t>
  </si>
  <si>
    <t>2025-04-16</t>
  </si>
  <si>
    <t>2025-05-12</t>
  </si>
  <si>
    <t>2024-11-19</t>
  </si>
  <si>
    <t>2024-11-11</t>
  </si>
  <si>
    <t>2024-11-16</t>
  </si>
  <si>
    <t>2025-11-21</t>
  </si>
  <si>
    <t>2024-11-27</t>
  </si>
  <si>
    <t>HCUVA-2</t>
  </si>
  <si>
    <t>HCUVA-3</t>
  </si>
  <si>
    <t>HCUVA-4</t>
  </si>
  <si>
    <t>2025-08-21</t>
  </si>
  <si>
    <t>HCUVA-5</t>
  </si>
  <si>
    <t>2025-08-01</t>
  </si>
  <si>
    <t>2025-08-13</t>
  </si>
  <si>
    <t>2025-08-05</t>
  </si>
  <si>
    <t>2025-08-27</t>
  </si>
  <si>
    <t>HCUVA-6</t>
  </si>
  <si>
    <t>2025-07-31</t>
  </si>
  <si>
    <t>2025-09-03</t>
  </si>
  <si>
    <t>2025-09-22</t>
  </si>
  <si>
    <t>HCUVA-7</t>
  </si>
  <si>
    <t>2025-08-26</t>
  </si>
  <si>
    <t>2025-08-29</t>
  </si>
  <si>
    <t>2025-10-03</t>
  </si>
  <si>
    <t>HCUVA-8</t>
  </si>
  <si>
    <t>2025-08-25</t>
  </si>
  <si>
    <t>2025-08-24</t>
  </si>
  <si>
    <t>2025-08-28</t>
  </si>
  <si>
    <t>HCUVA-9</t>
  </si>
  <si>
    <t>2025-04-28</t>
  </si>
  <si>
    <t>HCUVA-10</t>
  </si>
  <si>
    <t>2025-09-05</t>
  </si>
  <si>
    <t>2025-09-09</t>
  </si>
  <si>
    <t>2025-09-10</t>
  </si>
  <si>
    <t>HCUVA-11</t>
  </si>
  <si>
    <t>2025-09-06</t>
  </si>
  <si>
    <t>2025-09-15</t>
  </si>
  <si>
    <t>2025-10-07</t>
  </si>
  <si>
    <t>HCUVA-12</t>
  </si>
  <si>
    <t>2025-08-31</t>
  </si>
  <si>
    <t>2025-09-19</t>
  </si>
  <si>
    <t>HCUVA</t>
  </si>
  <si>
    <t>Era la prueba</t>
  </si>
  <si>
    <t>HCSC_53</t>
  </si>
  <si>
    <t>HCSC_54</t>
  </si>
  <si>
    <t>Cirugía entre o previa a eco y embolia</t>
  </si>
  <si>
    <t>Embolia post-eco sin previas</t>
  </si>
  <si>
    <t>Embolia día  eco sin previas</t>
  </si>
  <si>
    <t>2023-02-01</t>
  </si>
  <si>
    <t>2021-08-12</t>
  </si>
  <si>
    <t>2023-01-13</t>
  </si>
  <si>
    <t>2023-03-04</t>
  </si>
  <si>
    <t>2024-10-06</t>
  </si>
  <si>
    <t>2025-02-10</t>
  </si>
  <si>
    <t>2015-10-30</t>
  </si>
  <si>
    <t>ecos en dos días diferentes, uno con prótesis y otro sin prótesis</t>
  </si>
  <si>
    <t>no la veo, mismo paciente que HULAL 48 en otra fecha, tiene ecos dos días diferentes</t>
  </si>
  <si>
    <t>2020-09-10</t>
  </si>
  <si>
    <t>fecha antes que el eco, la de la muerte estaba mal, no están la imágenes redcap, creo que es la que nos paso, comrpobar</t>
  </si>
  <si>
    <t>HCUVA-13</t>
  </si>
  <si>
    <t>2025-09-07</t>
  </si>
  <si>
    <t>2025-09-08</t>
  </si>
  <si>
    <t>2025-10-17</t>
  </si>
  <si>
    <t>HCUVA-14</t>
  </si>
  <si>
    <t>2025-10-18</t>
  </si>
  <si>
    <t>2025-09-13</t>
  </si>
  <si>
    <t>2025-10-14</t>
  </si>
  <si>
    <t>HCUVA-15</t>
  </si>
  <si>
    <t>2025-10-04</t>
  </si>
  <si>
    <t>2025-10-08</t>
  </si>
  <si>
    <t>2025-10-09</t>
  </si>
  <si>
    <t>2025-10-31</t>
  </si>
  <si>
    <t>HCUVA-16</t>
  </si>
  <si>
    <t>2025-10-11</t>
  </si>
  <si>
    <t>2025-11-05</t>
  </si>
  <si>
    <t>2025-11-22</t>
  </si>
  <si>
    <t>HCUVA-17</t>
  </si>
  <si>
    <t>2025-10-28</t>
  </si>
  <si>
    <t>2025-11-11</t>
  </si>
  <si>
    <t>HCUVA-18</t>
  </si>
  <si>
    <t>2025-10-25</t>
  </si>
  <si>
    <t>2025-10-15</t>
  </si>
  <si>
    <t>2025-10-27</t>
  </si>
  <si>
    <t>2025-11-02</t>
  </si>
  <si>
    <t>HCUVA-19</t>
  </si>
  <si>
    <t>2025-10-21</t>
  </si>
  <si>
    <t>2025-10-22</t>
  </si>
  <si>
    <t>2025-11-07</t>
  </si>
  <si>
    <t>2025-11-19</t>
  </si>
  <si>
    <t>2025-12-26</t>
  </si>
  <si>
    <t>HCUVA-20</t>
  </si>
  <si>
    <t>2025-11-10</t>
  </si>
  <si>
    <t>2025-11-27</t>
  </si>
  <si>
    <t>⁠28561</t>
  </si>
  <si>
    <t>Comentarios REDCAP</t>
  </si>
  <si>
    <t xml:space="preserve">Se realizo ecocardiograma transesofágico en el hospital Rio hortega con hallazgo de una vegetación mitral (ya con embolismo en bazo). Se realizó cirugía por vegetación de gran tamaño. 24hrs después de la cirugía, multiples embolismos cerebrales (no tenía TAC cerebral previo). </t>
  </si>
  <si>
    <t>No hay Fecha ECO, No hay ETE</t>
  </si>
  <si>
    <t>Se realizo ETT sin poder visualizar datos de endocarditis. Diagnostico con PET TAC</t>
  </si>
  <si>
    <t>El paciente ingresa con diagnostico en TAC de infarto esplénico. Se realiza ETT y ETE posteriores sin visualizar vegetaciones. Diagnostico por PET TC.</t>
  </si>
  <si>
    <t>AIT durante su estancia en urgencias. ETT y ETE posterior (realizado en UCOR). Diagnostico de embolismo esplénico en PET TAC del día 14-08-2025.</t>
  </si>
  <si>
    <t xml:space="preserve">El paciente ingresa el 29/7, diagnostico de embolismos 5/8, ETE 4/8 sin signos de endocarditis. ETE del dia 19/8 con absceso. </t>
  </si>
  <si>
    <t xml:space="preserve">Ingreso 19/8 con embolia en brazo. ETT 21/8 y ETE 26/8 ambos compatibles con enedocarditis con complicación perianular (sin vegetación). Embolismo cerebral 29/8. </t>
  </si>
  <si>
    <t xml:space="preserve">Presenta un ETT de Palencia 25-08 y un TAC cerebral 26-08 con ictus embólico agudo/subagudo. Luego presenta otro ETT en el HCUV del día 27/8. </t>
  </si>
  <si>
    <t>Tiene un ecocardiograma del día 08-09 por la mañana en hospital de Medina. Ese mismo día traslado al HCUV con empeoramiento marcado hasta TAC por la tarde con nuevo embolismo esplénico y rotura del mismo.</t>
  </si>
  <si>
    <t>No ha presentado eventos embólicos</t>
  </si>
  <si>
    <t>NO ha presentado eventos embólicos</t>
  </si>
  <si>
    <t>Ingreso con ecocardiograma trasntorácico y trasesfoágico el día 14-10. Presenta el día 19-10 evento embólico con hallzgo de lesiones cutáneas. Se realiza nuevo ETE el día 28-10.</t>
  </si>
  <si>
    <t xml:space="preserve">- Ecocardiograma del diagnostico el 21-10, ese mismo día realización de TAC abdominal con embolismos hepáticos y esplénicos (ETT después de TAC). </t>
  </si>
  <si>
    <t xml:space="preserve">ETT y ETE previo a intervencion quir´rugica. NO se detectaron embolismos pulmonares.  La endocarditis es sobre valvula tricuspide por cable de DAI </t>
  </si>
  <si>
    <t>No encuentro imágenes</t>
  </si>
  <si>
    <t>No está medida,No encuentro imágenes</t>
  </si>
  <si>
    <t>en el informe dice que en la ETE ya no se ven pero sí en la ETT</t>
  </si>
  <si>
    <t>No hay ETES</t>
  </si>
  <si>
    <t>Hay solo un loop valido</t>
  </si>
  <si>
    <t>2025-11-13</t>
  </si>
  <si>
    <t>No está medida y no se medirla, fecha eco cambiada a la que hay disponible, era 2025-11-19, en el informe pone que las únicas masas ancladas son al electrodo. Parece haber algo en la mitral</t>
  </si>
  <si>
    <t>masa gigante, muy poco móvil, muy anclada (comentario medico: : todo es una vegetación, pero al medirla se tiene que ver la parte anclada)</t>
  </si>
  <si>
    <t>no veo nada, redcap en la aórtica y yo la veo en la mitral</t>
  </si>
  <si>
    <t>No se medila, parece muy anclada. pone que solo tiene en aórtica pero parece que hay algo en la válvula mitral</t>
  </si>
  <si>
    <t>Bicúspide, no se medirla, me cuesta identificar la vegetación</t>
  </si>
  <si>
    <t>no se medirla. pone en la mitral, velo anterior pero no estoy seguro quen sea vegetación</t>
  </si>
  <si>
    <t>En el mismo estudio se fusionaron dos estudios, realizados el día 30/4/2025 y 5/5/2025. Analicen únicamente los archivos del día 30/4/2025</t>
  </si>
  <si>
    <t>Endocarditis protesica aortica (paciente portador de homoinjerto valvulado)</t>
  </si>
  <si>
    <t>Verificar ¿solo una imagen?</t>
  </si>
  <si>
    <t>No puedo subir ambas dejo la primera parte del ETT del 25/07/2022</t>
  </si>
  <si>
    <t xml:space="preserve">Es previo a la embolia abdominal, pero no a la cerebral. </t>
  </si>
  <si>
    <t>MCH con EI sobre válvula aórtica tras miectomía 22.01.24. Verruga de 17 mm. ETE de control sin verruga con sospecha de embolia. Dx de embolia bazo por TC.</t>
  </si>
  <si>
    <t>EI sobre Enf Barlow con IM severa que se diagnostica precirugía por fiebre. La indicación quirúrgica estaba asentada.     Es un ETT + ETE</t>
  </si>
  <si>
    <t xml:space="preserve">EI sobre prótesis aórtica con gradiente moderadamente aumentado de forma crónica y leak paravalvular con IAo severa conocida previamente. </t>
  </si>
  <si>
    <t>ETT y ETE. Tiene imágenes 3D</t>
  </si>
  <si>
    <t>Contiene imágenes 3D</t>
  </si>
  <si>
    <t>Tiene imágenes 3D</t>
  </si>
  <si>
    <t xml:space="preserve">Tiene imágenes 3D.   Embolia periférica MMII. </t>
  </si>
  <si>
    <t xml:space="preserve">Mismo día que TC abdomen que evidenció embolismo esplénico. Antes de embolismo arterial periférico (dx 12.02 clínica + TC).     Tiene imágenes 3D.    EI sobre TAVI. </t>
  </si>
  <si>
    <t>EI sobre estenosis aórtica severa conocida.     Tiene imágenes 3D</t>
  </si>
  <si>
    <t xml:space="preserve">Incluye imágenes 3D.     Embolia renal dx tras ETE inicial. ETE control 16.06 con crecimiento de vegetación. Indicación qx. </t>
  </si>
  <si>
    <t>Sólo imágenes 2D</t>
  </si>
  <si>
    <t>Incluye imágenes 3D</t>
  </si>
  <si>
    <t xml:space="preserve">Contiene imágenes 3D.     Realizado antes del diagnóstico de embolia cerebral por RM cerebral (asintomática). </t>
  </si>
  <si>
    <t xml:space="preserve">Sólo ETT (diagnóstico por esta técnica)  </t>
  </si>
  <si>
    <t xml:space="preserve">Contiene imágenes 3D.     La paciente ingresó por IC grave. Requirió HD. Se diagnosticó durante ingreso de EI. </t>
  </si>
  <si>
    <t xml:space="preserve">Contiene imágenes 3D.   </t>
  </si>
  <si>
    <t>Dx en otro centro por ETE 23.11.21. Verruga de 14 mm.     Traslado a nuestro centro por IC e IAo severa. ETE en nuestro centro con Verruga 22 mm.     Incluye imágenes 3D</t>
  </si>
  <si>
    <t xml:space="preserve">ETE en FA con RVR (FA dx al ingreso).    Contiene imágenes 3D. </t>
  </si>
  <si>
    <t xml:space="preserve">Contiene imágenes 3D    </t>
  </si>
  <si>
    <t xml:space="preserve">ETE previa a embolia.     Paciente con cirrosis hepática ingresado por TIPs con trombosis. Se inició Adiro. Se dx posteriormente EI por E faecalis. TC con embolia preETE en bazo. </t>
  </si>
  <si>
    <t>Diagnóstico inicial por ETT el 20.9.2017</t>
  </si>
  <si>
    <t>Perdón. Este paciente no tiene ETE, , se ha incluido por error. Ruego eliminen la ficha</t>
  </si>
  <si>
    <t>A</t>
  </si>
  <si>
    <t>REVISIÓN:</t>
  </si>
  <si>
    <t>Sin medir</t>
  </si>
  <si>
    <t>B</t>
  </si>
  <si>
    <t>C</t>
  </si>
  <si>
    <t>SM</t>
  </si>
  <si>
    <t>Importante Revisar</t>
  </si>
  <si>
    <t>Hay que revisarlo</t>
  </si>
  <si>
    <t>MMD</t>
  </si>
  <si>
    <t>MD</t>
  </si>
  <si>
    <t>Medición diferente</t>
  </si>
  <si>
    <t>A MMD</t>
  </si>
  <si>
    <t>Mide menos que 14, no veo la de la aórtica</t>
  </si>
  <si>
    <t>parece más pequeña, muy móvil y alargada, no indicación de cirugía ?( No es una vegetación lo de la mitral? El experto en Imagen también duda)</t>
  </si>
  <si>
    <t>muy anclada, dificil de medir, sin indicación?</t>
  </si>
  <si>
    <t>Estaría Bien comentarlo</t>
  </si>
  <si>
    <t>No se realiza la cirugía porque se muere y complicación neurológica, medida Tere</t>
  </si>
  <si>
    <t>No se medirla, no está medida, medida por Tere</t>
  </si>
  <si>
    <t>No parece embolizable, está sin medir, medida Tere</t>
  </si>
  <si>
    <t>pone que la fecha es anterior a la eco, no está medida, dificil de medir, medida Tere</t>
  </si>
  <si>
    <t>No medida, parece pequeña, medida Tere</t>
  </si>
  <si>
    <t>cuesta medirla, muy anclada, medida Tere</t>
  </si>
  <si>
    <t>no esta medida, no se medirla, medida Tere</t>
  </si>
  <si>
    <t>no esta medida,muy pequeña,  no se medirla, medida Tere</t>
  </si>
  <si>
    <t>es grande, medida Tere</t>
  </si>
  <si>
    <t>No se medirla, pequeña, medidaTere</t>
  </si>
  <si>
    <t>No está medida, medida Tere</t>
  </si>
  <si>
    <t>comentarios</t>
  </si>
  <si>
    <t>La única ete que encuentro es del 17 y se mide otra cosa que no es una vegetación</t>
  </si>
  <si>
    <t>HCSC51</t>
  </si>
  <si>
    <t>Parece mitral, no lo veo en ningún split</t>
  </si>
  <si>
    <t>dificil de ver, No la encuentro en los splits</t>
  </si>
  <si>
    <t>gigante, No la encuentro en los splits</t>
  </si>
  <si>
    <t>Ha subido tres imagénes y no son validas, Carlos dice descartar</t>
  </si>
  <si>
    <t>No se medirla, pone que le ha dado una embolia previa pero no pone fecha, Carlos suponer que esta fecha</t>
  </si>
  <si>
    <t>No la veo, visto Tere yo tampoco la veo, Carlos dice descartar</t>
  </si>
  <si>
    <t>bastante grande, más de 6</t>
  </si>
  <si>
    <t>No la veo, He preguntado a Tere y ella tampoco</t>
  </si>
  <si>
    <t xml:space="preserve">no se mide bien en las vistas que usamos, </t>
  </si>
  <si>
    <t>HCSCM-55</t>
  </si>
  <si>
    <t>HCSCM-56</t>
  </si>
  <si>
    <t>2025-10-29</t>
  </si>
  <si>
    <t>2025-11-03</t>
  </si>
  <si>
    <t>2025-12-19</t>
  </si>
  <si>
    <t>2025-09-25</t>
  </si>
  <si>
    <t>2025-09-23</t>
  </si>
  <si>
    <t>2025-10-01</t>
  </si>
  <si>
    <t>Muy grande y fecha cirugía y alta 246 días despues, medido Tere, escribirles correo</t>
  </si>
  <si>
    <t>No hay ecos buenas, solo transgánstricas donde se ve muy mal</t>
  </si>
  <si>
    <t>es el 46 y lo ha rellenado diferente y con fechas mal</t>
  </si>
  <si>
    <t>solo hay transtorácicas, no indican cirugía?</t>
  </si>
  <si>
    <t>creo que la fecha alta está mal se ha cambiado el año</t>
  </si>
  <si>
    <t>2021-10-20</t>
  </si>
  <si>
    <t>la embolia es un mes después</t>
  </si>
  <si>
    <t>cirugía a los 4 días</t>
  </si>
  <si>
    <t xml:space="preserve"> fecha ponía 02 en vez de 01, no correspondía con el dicom. Medida Tere</t>
  </si>
  <si>
    <t>Pone solo aórtica pero parece que en la mitral también hay. Son las dos dificiles de medir. Además de tener post, tiene previa mismo día que la eco. Medidas Tere</t>
  </si>
  <si>
    <t>Medida Tere</t>
  </si>
  <si>
    <t>No esta medida, no la veo, solo se ve en vistas de la aórtica de eje corto.Medida Tere</t>
  </si>
  <si>
    <t>M</t>
  </si>
  <si>
    <t>muy grande, embolia post cirugía, Medida Tere</t>
  </si>
  <si>
    <t>Tiene dos ETES Las fechas de las dos ETES encontradas se aleja mucho de la puesta,se cambia la fecha de la ETE y se mide en dichas imágenes . Le da una embolia después del alta en medina del campo, Que se hace? Medido Tere la del  2025 09 29</t>
  </si>
  <si>
    <t>2025-08-06</t>
  </si>
  <si>
    <t>no hay imágenes</t>
  </si>
  <si>
    <t>Eco mucho después que embolias tratamiento e ingreso y en las imágenes otra fecha todavía posterior donde no se ve nada. Comentario Andrea correo: Procede del río hortega donde se realizó el ETE</t>
  </si>
  <si>
    <t>No está medida, yo si que veo vegetaciónes largas, en las imágenes sin filtrar se ven varias en vistas dobles, andrea al verlo tambien duda. Medida Tere. Andre confirma que es aórtica y se mide en el Redcap depués de Tere</t>
  </si>
  <si>
    <t>alta antes que cirugía. La ETE se hizo en quirofano y Andrea duda que este disponible</t>
  </si>
  <si>
    <t xml:space="preserve"> no hay imágenes, viene del Río Hortega</t>
  </si>
  <si>
    <t>2025-10-23</t>
  </si>
  <si>
    <t>en la eco es más pequeña y es antes de la que pone el redcap, medida por Andrea en la Eco Válida que no es la puesta en el REDCAP pero ha sido corregida</t>
  </si>
  <si>
    <t>2021-10-30</t>
  </si>
  <si>
    <t>Hay dos en la mitral,pasa bastante hasta la muerte sin embolia con vegetación grande. Fecha de Muerte corregida por el hospital tras correo. Viendo imagen Dificil entender que no embolice</t>
  </si>
  <si>
    <t>HULAL-66</t>
  </si>
  <si>
    <t>2025-08-15</t>
  </si>
  <si>
    <t>HULAL-67</t>
  </si>
  <si>
    <t>2025-09-30</t>
  </si>
  <si>
    <t>HULAL-68</t>
  </si>
  <si>
    <t>2025-09-11</t>
  </si>
  <si>
    <t>HULAL-69</t>
  </si>
  <si>
    <t>2025-09-12</t>
  </si>
  <si>
    <t>2025-09-16</t>
  </si>
  <si>
    <t>HULAL-70</t>
  </si>
  <si>
    <t>HULAL-71</t>
  </si>
  <si>
    <t>2025-09-26</t>
  </si>
  <si>
    <t>HULAL-72</t>
  </si>
  <si>
    <t>2025-09-20</t>
  </si>
  <si>
    <t>2026-01-06</t>
  </si>
  <si>
    <t>HULAL-73</t>
  </si>
  <si>
    <t>HULAL-74</t>
  </si>
  <si>
    <t>2025-10-30</t>
  </si>
  <si>
    <t>2025-11-26</t>
  </si>
  <si>
    <t>HULAL-75</t>
  </si>
  <si>
    <t>2025-10-24</t>
  </si>
  <si>
    <t>2025-11-12</t>
  </si>
  <si>
    <t>2025-12-01</t>
  </si>
  <si>
    <t>HULAL-76</t>
  </si>
  <si>
    <t>HULAL-77</t>
  </si>
  <si>
    <t>2025-11-20</t>
  </si>
  <si>
    <t>HULAL-78</t>
  </si>
  <si>
    <t>2025-12-08</t>
  </si>
  <si>
    <t>2026-01-15</t>
  </si>
  <si>
    <t>sm</t>
  </si>
  <si>
    <t>HULAL-79</t>
  </si>
  <si>
    <t>2025-11-28</t>
  </si>
  <si>
    <t>2026-01-09</t>
  </si>
  <si>
    <t>dificil saber donde empieza, fecha de ingreso es la misma que la del alta y la cirugía es después, enviar correo. Fechas corregidas por hospital tras correo</t>
  </si>
  <si>
    <t>2021-07-29</t>
  </si>
  <si>
    <t>en la mitral también hay algo con movimiento algo con movimiento errático. la fecha del alta es la misma que la de ingreso y anterior a la eco y a la cirugía. Revisadas las fechas por el hospital tras correo</t>
  </si>
  <si>
    <t>no son 20. fecha del alta misma que la de ingreso y anterior al eco. Revisadas fechas por el hospital tras correo</t>
  </si>
  <si>
    <t>en el 35 se ha rellenado diferente y no le da embolia…, pequeña. Tras correo nos dicen que este es el correcto</t>
  </si>
  <si>
    <t>Misma que la 30, nos dicen con correo que descartar</t>
  </si>
  <si>
    <t>Correo:El paciente fue dado de alta inicialmente el 10/06/2022, encontrándose estable. Posteriormente fue valorado en consulta de cirugía  ardíaca, donde se decide nuevo ingreso para intervención el 09/02/2023, con alta definitiva el 14/02/2023. Ya hemos modificado la fecha de alta inicial al 10/06/2022.</t>
  </si>
  <si>
    <t>2022-06-10</t>
  </si>
  <si>
    <t>Dificil de ver y medir</t>
  </si>
  <si>
    <t>Dificil identificar la vegetación</t>
  </si>
  <si>
    <t>No venía fecha eco, se ha puesto la del dicom. Parece pequeña pero muy filiforme</t>
  </si>
  <si>
    <t>Anclada al boton, no muy grande pero muy móvil</t>
  </si>
  <si>
    <t>2025-09-17</t>
  </si>
  <si>
    <t>No había fecha eco, se ha puesto la del dicom. Hay dos en la mitral bastante embolizables y parecen mayores de 10</t>
  </si>
  <si>
    <t>pequeña pero muy móvil</t>
  </si>
  <si>
    <t>las partes móviles son pequeñas</t>
  </si>
  <si>
    <t>Pone aórtica pero sin medir y tiene un destrozo importante. Localizada para ser etiquetada por Tere</t>
  </si>
  <si>
    <t>Parece que hay más de una en la mitral, pequeñas, no se ven muy bien</t>
  </si>
  <si>
    <t>No veo la de la aórtica y parece más grande</t>
  </si>
  <si>
    <t>Muy pequeña</t>
  </si>
  <si>
    <t xml:space="preserve">Muy pequeña y cuesta bastante identificarla </t>
  </si>
  <si>
    <t>dos muy pequeñas en el borde de los velos</t>
  </si>
  <si>
    <t>1226645_8</t>
  </si>
  <si>
    <t>2571256_25</t>
  </si>
  <si>
    <t>A9X7RUCS</t>
  </si>
  <si>
    <t>2574432_55</t>
  </si>
  <si>
    <t>2638996_2</t>
  </si>
  <si>
    <t>2718947_2</t>
  </si>
  <si>
    <t>1734885_1</t>
  </si>
  <si>
    <t>131977_3</t>
  </si>
  <si>
    <t>1758093_21</t>
  </si>
  <si>
    <t>2419082_2</t>
  </si>
  <si>
    <t>2307720_2</t>
  </si>
  <si>
    <t>1855739_3</t>
  </si>
  <si>
    <t>2454406_5</t>
  </si>
  <si>
    <t>1572014_2</t>
  </si>
  <si>
    <t>2400470_3</t>
  </si>
  <si>
    <t>819229_1</t>
  </si>
  <si>
    <t>2534956_1</t>
  </si>
  <si>
    <t>2529312_1</t>
  </si>
  <si>
    <t>562464_11</t>
  </si>
  <si>
    <t>2739127_11</t>
  </si>
  <si>
    <t>1370986_1</t>
  </si>
  <si>
    <t>1740014_33</t>
  </si>
  <si>
    <t>219913_19</t>
  </si>
  <si>
    <t>1441420_10</t>
  </si>
  <si>
    <t>2624238_1</t>
  </si>
  <si>
    <t>2059319_4</t>
  </si>
  <si>
    <t>560742_3</t>
  </si>
  <si>
    <t>2599036_3</t>
  </si>
  <si>
    <t>2575725_1</t>
  </si>
  <si>
    <t>2511968_3</t>
  </si>
  <si>
    <t>2075675_1</t>
  </si>
  <si>
    <t>2572887_6</t>
  </si>
  <si>
    <t>2564063_1</t>
  </si>
  <si>
    <t>83631_1</t>
  </si>
  <si>
    <t>1467340_1</t>
  </si>
  <si>
    <t>704042_1</t>
  </si>
  <si>
    <t>489385_1</t>
  </si>
  <si>
    <t>717292_3</t>
  </si>
  <si>
    <t>2715450_1</t>
  </si>
  <si>
    <t>481131_9</t>
  </si>
  <si>
    <t>762372_4</t>
  </si>
  <si>
    <t>1279866_3</t>
  </si>
  <si>
    <t>1288296_29</t>
  </si>
  <si>
    <t>2498702_22</t>
  </si>
  <si>
    <t>261969_8</t>
  </si>
  <si>
    <t>2238250_9</t>
  </si>
  <si>
    <t>1983667_10</t>
  </si>
  <si>
    <t>165368_16</t>
  </si>
  <si>
    <t>HCSC51_35</t>
  </si>
  <si>
    <t>HCSC_52_4</t>
  </si>
  <si>
    <t>HCSC_53_11</t>
  </si>
  <si>
    <t>HCSC_54_3</t>
  </si>
  <si>
    <t>1115222_10</t>
  </si>
  <si>
    <t>2773991_3</t>
  </si>
  <si>
    <t>1000_4</t>
  </si>
  <si>
    <t>1001_5</t>
  </si>
  <si>
    <t>1003_16</t>
  </si>
  <si>
    <t>15521132_4</t>
  </si>
  <si>
    <t>19801477_2</t>
  </si>
  <si>
    <t>21246909_4</t>
  </si>
  <si>
    <t>20600121_1</t>
  </si>
  <si>
    <t>14869633_9</t>
  </si>
  <si>
    <t>11411429_4</t>
  </si>
  <si>
    <t>13100376_14</t>
  </si>
  <si>
    <t>591857_4</t>
  </si>
  <si>
    <t>18883658_10</t>
  </si>
  <si>
    <t>10248043_31</t>
  </si>
  <si>
    <t>141907_1</t>
  </si>
  <si>
    <t>14883570_11</t>
  </si>
  <si>
    <t>10659957_1</t>
  </si>
  <si>
    <t>568081_2</t>
  </si>
  <si>
    <t>19972629_2</t>
  </si>
  <si>
    <t>483418_15</t>
  </si>
  <si>
    <t>15953358_9</t>
  </si>
  <si>
    <t>607886_15</t>
  </si>
  <si>
    <t>567218_17</t>
  </si>
  <si>
    <t>15188846_4</t>
  </si>
  <si>
    <t>HGTPB-24_7</t>
  </si>
  <si>
    <t>330039_13</t>
  </si>
  <si>
    <t>HGTPB-26_16</t>
  </si>
  <si>
    <t>HGTPB-27_15</t>
  </si>
  <si>
    <t>HGTPB-28_5</t>
  </si>
  <si>
    <t>HGTPB-29_40</t>
  </si>
  <si>
    <t>HGTPB-30_2</t>
  </si>
  <si>
    <t>HGTPB-31_REVISADO_4</t>
  </si>
  <si>
    <t>HGTPB-32_REVISADO_32</t>
  </si>
  <si>
    <t>HGTPB-33_REVISADO_10</t>
  </si>
  <si>
    <t>10852546_2</t>
  </si>
  <si>
    <t>HGTPB-35_24</t>
  </si>
  <si>
    <t>HGTPB-36_8</t>
  </si>
  <si>
    <t>HGTPB-37_3</t>
  </si>
  <si>
    <t>HGTPB-38_31</t>
  </si>
  <si>
    <t>HGTPB-39_14</t>
  </si>
  <si>
    <t>HGTPB-40_20</t>
  </si>
  <si>
    <t>HGTPB-41_1</t>
  </si>
  <si>
    <t>HGTPB-42_19</t>
  </si>
  <si>
    <t>HGTPB-43_1</t>
  </si>
  <si>
    <t>HGTPB-44_6</t>
  </si>
  <si>
    <t>HGTPB-45_29</t>
  </si>
  <si>
    <t>570696_31</t>
  </si>
  <si>
    <t>HGTPB-47_11</t>
  </si>
  <si>
    <t>HGTPB-48_31</t>
  </si>
  <si>
    <t>HGTPB-49_42</t>
  </si>
  <si>
    <t>HGTPB-51_5</t>
  </si>
  <si>
    <t>HGTPB-52_3</t>
  </si>
  <si>
    <t>HGTPB-53_25</t>
  </si>
  <si>
    <t>HGTPB-54_1</t>
  </si>
  <si>
    <t>HGTPB-55_10</t>
  </si>
  <si>
    <t>HGTPB-56_13</t>
  </si>
  <si>
    <t>HGTPB-57_16</t>
  </si>
  <si>
    <t>HGTPB-58_31</t>
  </si>
  <si>
    <t>2458671_23</t>
  </si>
  <si>
    <t>2159300_39</t>
  </si>
  <si>
    <t>2740919_14</t>
  </si>
  <si>
    <t>2702175_1</t>
  </si>
  <si>
    <t>2228902_16</t>
  </si>
  <si>
    <t>2488582_1</t>
  </si>
  <si>
    <t>2096816_27</t>
  </si>
  <si>
    <t>2427767_18</t>
  </si>
  <si>
    <t>2107639_5</t>
  </si>
  <si>
    <t>2243457_1</t>
  </si>
  <si>
    <t>2183094_47</t>
  </si>
  <si>
    <t>2288670_40</t>
  </si>
  <si>
    <t>2357806_12</t>
  </si>
  <si>
    <t>2216498_7</t>
  </si>
  <si>
    <t>2290594_31</t>
  </si>
  <si>
    <t>2233210_29</t>
  </si>
  <si>
    <t>2246482_38</t>
  </si>
  <si>
    <t>2064940_7</t>
  </si>
  <si>
    <t>2029578_24</t>
  </si>
  <si>
    <t>2049922_31</t>
  </si>
  <si>
    <t>2289489_30</t>
  </si>
  <si>
    <t>2359559_2</t>
  </si>
  <si>
    <t>2486399_5</t>
  </si>
  <si>
    <t>2174585_17</t>
  </si>
  <si>
    <t>2625910_37</t>
  </si>
  <si>
    <t>2262005_42</t>
  </si>
  <si>
    <t>2008977_28</t>
  </si>
  <si>
    <t>2396753_2</t>
  </si>
  <si>
    <t>2314368_15</t>
  </si>
  <si>
    <t>HULAL30IDModify_12</t>
  </si>
  <si>
    <t>2279866_2</t>
  </si>
  <si>
    <t>2410587_8</t>
  </si>
  <si>
    <t>2607295_4</t>
  </si>
  <si>
    <t>2344333_39</t>
  </si>
  <si>
    <t>2114679_28</t>
  </si>
  <si>
    <t>2102218_29</t>
  </si>
  <si>
    <t>2123606_54</t>
  </si>
  <si>
    <t>2528912_29</t>
  </si>
  <si>
    <t>2088688_16</t>
  </si>
  <si>
    <t>2731223_28</t>
  </si>
  <si>
    <t>2673186_10</t>
  </si>
  <si>
    <t>2273853_7</t>
  </si>
  <si>
    <t>2182871_21</t>
  </si>
  <si>
    <t>2119377_12</t>
  </si>
  <si>
    <t>2230647_29</t>
  </si>
  <si>
    <t>2321995_28</t>
  </si>
  <si>
    <t>2053180_25</t>
  </si>
  <si>
    <t>2168436_31</t>
  </si>
  <si>
    <t>2765503_36</t>
  </si>
  <si>
    <t>2607532_3</t>
  </si>
  <si>
    <t>2854623_24</t>
  </si>
  <si>
    <t>2642759_12</t>
  </si>
  <si>
    <t>2062611_42</t>
  </si>
  <si>
    <t>2223317_22</t>
  </si>
  <si>
    <t>2313159_14</t>
  </si>
  <si>
    <t>2079248_1</t>
  </si>
  <si>
    <t>2065522_15</t>
  </si>
  <si>
    <t>2431691_39</t>
  </si>
  <si>
    <t>2232469_29</t>
  </si>
  <si>
    <t>2403137_11</t>
  </si>
  <si>
    <t>2644334_10</t>
  </si>
  <si>
    <t>2001777_32</t>
  </si>
  <si>
    <t>2269616_26</t>
  </si>
  <si>
    <t>2122392_46</t>
  </si>
  <si>
    <t>2358928_5</t>
  </si>
  <si>
    <t>2617461_16</t>
  </si>
  <si>
    <t>2596955_15</t>
  </si>
  <si>
    <t>2119459_11</t>
  </si>
  <si>
    <t>2183532_40</t>
  </si>
  <si>
    <t>2322665_1</t>
  </si>
  <si>
    <t>2239374_3</t>
  </si>
  <si>
    <t>2139928_5</t>
  </si>
  <si>
    <t>2507989_7</t>
  </si>
  <si>
    <t>1994059_8</t>
  </si>
  <si>
    <t>2298922_8</t>
  </si>
  <si>
    <t>2288822_11</t>
  </si>
  <si>
    <t>2184812_1</t>
  </si>
  <si>
    <t>27187817_8</t>
  </si>
  <si>
    <t>3101013_10</t>
  </si>
  <si>
    <t>3299923_24</t>
  </si>
  <si>
    <t>3100013_2</t>
  </si>
  <si>
    <t>19710823660_4</t>
  </si>
  <si>
    <t>19531219115_22</t>
  </si>
  <si>
    <t>19550823854_11</t>
  </si>
  <si>
    <t>19670725985_8</t>
  </si>
  <si>
    <t>19460827885_7</t>
  </si>
  <si>
    <t>1354354214_4</t>
  </si>
  <si>
    <t>1096714736_8</t>
  </si>
  <si>
    <t>1531305452_4</t>
  </si>
  <si>
    <t>1317770056_4</t>
  </si>
  <si>
    <t>1612054518_2</t>
  </si>
  <si>
    <t>1110296554_5</t>
  </si>
  <si>
    <t>3389194_10</t>
  </si>
  <si>
    <t>1553799146_4</t>
  </si>
  <si>
    <t>1531867547_12</t>
  </si>
  <si>
    <t>1316287269_21</t>
  </si>
  <si>
    <t>1553400941_10</t>
  </si>
  <si>
    <t>1597028107_32</t>
  </si>
  <si>
    <t>1447021445_17</t>
  </si>
  <si>
    <t>1167554139_2</t>
  </si>
  <si>
    <t>5067841_36</t>
  </si>
  <si>
    <t>1374092603_4</t>
  </si>
  <si>
    <t>878538_17</t>
  </si>
  <si>
    <t>5436085_14</t>
  </si>
  <si>
    <t>1145968508_10</t>
  </si>
  <si>
    <t>1553251195_2</t>
  </si>
  <si>
    <t>1244701976_10</t>
  </si>
  <si>
    <t>1491110369_5</t>
  </si>
  <si>
    <t>1849532241_15</t>
  </si>
  <si>
    <t>1144938688_10</t>
  </si>
  <si>
    <t>1513141493_14</t>
  </si>
  <si>
    <t>1389102240_8</t>
  </si>
  <si>
    <t>1576287079_17</t>
  </si>
  <si>
    <t>1437929717_11</t>
  </si>
  <si>
    <t>1266670759_3</t>
  </si>
  <si>
    <t>1784132114_8</t>
  </si>
  <si>
    <t>1025819254_3</t>
  </si>
  <si>
    <t>2039537457_7</t>
  </si>
  <si>
    <t>1553813900_8</t>
  </si>
  <si>
    <t>HUPHM_35422_4</t>
  </si>
  <si>
    <t>HUPHM_37333_7</t>
  </si>
  <si>
    <t>HUPHM_38434_12</t>
  </si>
  <si>
    <t>HUPHM_39493_3</t>
  </si>
  <si>
    <t>HUPHM_40404_18</t>
  </si>
  <si>
    <t>HUPHM_41421_14</t>
  </si>
  <si>
    <t>HUPHM_42221_5</t>
  </si>
  <si>
    <t>HUPHM_43321_10</t>
  </si>
  <si>
    <t>HUPHM_44121_29</t>
  </si>
  <si>
    <t>HUPHM_45525_14</t>
  </si>
  <si>
    <t>HUPHM_46265_54</t>
  </si>
  <si>
    <t>HUPHM_47167_9</t>
  </si>
  <si>
    <t>HUPHM_48228_12</t>
  </si>
  <si>
    <t>HUPHM_49119_7</t>
  </si>
  <si>
    <t>HUPHM_50055_1</t>
  </si>
  <si>
    <t>PH 591-45_10</t>
  </si>
  <si>
    <t>SC 241-8_6</t>
  </si>
  <si>
    <t>SC 235-8_1</t>
  </si>
  <si>
    <t>PH 536-1_7</t>
  </si>
  <si>
    <t>PH 511-8_8</t>
  </si>
  <si>
    <t>PH 662-64_5</t>
  </si>
  <si>
    <t>PH 658-56_7</t>
  </si>
  <si>
    <t>PH 368-49_10</t>
  </si>
  <si>
    <t>PH 473-17_1</t>
  </si>
  <si>
    <t>PH 483-2_2</t>
  </si>
  <si>
    <t>PH 668-30_6</t>
  </si>
  <si>
    <t>AN0197572833_9</t>
  </si>
  <si>
    <t>PH 600-65_6</t>
  </si>
  <si>
    <t>PH 482-53_14</t>
  </si>
  <si>
    <t>PH 484-45_5</t>
  </si>
  <si>
    <t>PH 395-62_3</t>
  </si>
  <si>
    <t>PH 394-23_2</t>
  </si>
  <si>
    <t>PH 387-60_5</t>
  </si>
  <si>
    <t>PH 796-17_12</t>
  </si>
  <si>
    <t>EPIQ4315_1</t>
  </si>
  <si>
    <t>EPIQ3537_8</t>
  </si>
  <si>
    <t>EPIZ3512_10</t>
  </si>
  <si>
    <t>SC 372-36_29</t>
  </si>
  <si>
    <t>SC 394-28_6</t>
  </si>
  <si>
    <t>AN0188357732_1</t>
  </si>
  <si>
    <t>AN0201948341_8</t>
  </si>
  <si>
    <t>EPIQ62_1</t>
  </si>
  <si>
    <t>SC 352-3_59</t>
  </si>
  <si>
    <t>PH 697-15_1</t>
  </si>
  <si>
    <t>PH 684-6_5</t>
  </si>
  <si>
    <t>PH 683-20_21</t>
  </si>
  <si>
    <t>PH 676-20_10</t>
  </si>
  <si>
    <t>PH 671-16_20</t>
  </si>
  <si>
    <t>SC 283-38_16</t>
  </si>
  <si>
    <t>PH 667-19_19</t>
  </si>
  <si>
    <t>EPIQ 301-21_2</t>
  </si>
  <si>
    <t>EPIQ 246-22_2</t>
  </si>
  <si>
    <t>EPIQ 243-15_8</t>
  </si>
  <si>
    <t>EPIQ 139-23_4</t>
  </si>
  <si>
    <t>EPIQ 45-5_1</t>
  </si>
  <si>
    <t>EPIQ 27-1_3</t>
  </si>
  <si>
    <t>EPIQ 17-4_10</t>
  </si>
  <si>
    <t>PH 380-4_7</t>
  </si>
  <si>
    <t>224454_1</t>
  </si>
  <si>
    <t>717561_46</t>
  </si>
  <si>
    <t>519696_30</t>
  </si>
  <si>
    <t>636308_6</t>
  </si>
  <si>
    <t>101444_6</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</si>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</sst>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sz val="12"/>
      <color theme="1"/>
      <name val="Calibri"/>
      <family val="2"/>
      <scheme val="minor"/>
    </font>
    <font>
      <sz val="12"/>
      <color rgb="FF000000"/>
      <name val="Calibri"/>
      <family val="2"/>
      <scheme val="minor"/>
    </font>
    <font>
      <sz val="12"/>
      <color theme="0"/>
      <name val="Calibri"/>
      <family val="2"/>
      <scheme val="minor"/>
    </font>
    <font>
      <sz val="11"/>
      <color rgb="FF000000"/>
      <name val="Calibri"/>
      <family val="2"/>
      <scheme val="minor"/>
    </font>
    <font>
      <b/>
      <sz val="11"/>
      <name val="Calibri"/>
    </font>
    <font>
      <sz val="8"/>
      <name val="Calibri"/>
      <family val="2"/>
      <scheme val="minor"/>
    </font>
  </fonts>
  <fills count="17">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7"/>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6" tint="-0.499984740745262"/>
        <bgColor indexed="64"/>
      </patternFill>
    </fill>
    <fill>
      <patternFill patternType="solid">
        <fgColor rgb="FF0070C0"/>
        <bgColor indexed="64"/>
      </patternFill>
    </fill>
    <fill>
      <patternFill patternType="solid">
        <fgColor theme="6" tint="0.79998168889431442"/>
        <bgColor indexed="64"/>
      </patternFill>
    </fill>
    <fill>
      <patternFill patternType="solid">
        <fgColor rgb="FFFFFFCC"/>
        <bgColor indexed="64"/>
      </patternFill>
    </fill>
    <fill>
      <patternFill patternType="solid">
        <fgColor rgb="FF969696"/>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96">
    <xf numFmtId="0" fontId="0" fillId="0" borderId="0" xfId="0"/>
    <xf numFmtId="0" fontId="0" fillId="0" borderId="0" xfId="0" applyAlignment="1">
      <alignment horizontal="center"/>
    </xf>
    <xf numFmtId="0" fontId="0" fillId="4" borderId="0" xfId="0" applyFill="1" applyAlignment="1">
      <alignment horizontal="center"/>
    </xf>
    <xf numFmtId="0" fontId="0" fillId="2" borderId="0" xfId="0" applyFill="1" applyAlignment="1">
      <alignment horizontal="center"/>
    </xf>
    <xf numFmtId="0" fontId="0" fillId="5" borderId="0" xfId="0" applyFill="1" applyAlignment="1">
      <alignment horizontal="center"/>
    </xf>
    <xf numFmtId="49" fontId="0" fillId="2" borderId="0" xfId="0" applyNumberFormat="1" applyFill="1" applyAlignment="1">
      <alignment horizontal="center"/>
    </xf>
    <xf numFmtId="49" fontId="0" fillId="4" borderId="0" xfId="0" applyNumberFormat="1" applyFill="1" applyAlignment="1">
      <alignment horizontal="center"/>
    </xf>
    <xf numFmtId="49" fontId="0" fillId="5" borderId="0" xfId="0" applyNumberFormat="1" applyFill="1" applyAlignment="1">
      <alignment horizontal="center"/>
    </xf>
    <xf numFmtId="0" fontId="2" fillId="2" borderId="0" xfId="0" applyFont="1" applyFill="1" applyAlignment="1">
      <alignment horizontal="center"/>
    </xf>
    <xf numFmtId="0" fontId="2" fillId="2" borderId="0" xfId="0" applyFont="1" applyFill="1" applyAlignment="1">
      <alignment horizontal="left"/>
    </xf>
    <xf numFmtId="0" fontId="0" fillId="2" borderId="0" xfId="0" applyFill="1" applyAlignment="1">
      <alignment horizontal="left"/>
    </xf>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applyAlignment="1">
      <alignment horizontal="center"/>
    </xf>
    <xf numFmtId="0" fontId="3" fillId="4" borderId="0" xfId="0" applyFont="1" applyFill="1" applyAlignment="1">
      <alignment horizontal="center" vertical="center" readingOrder="1"/>
    </xf>
    <xf numFmtId="0" fontId="2" fillId="4" borderId="0" xfId="0" applyFont="1" applyFill="1" applyAlignment="1">
      <alignment horizontal="left"/>
    </xf>
    <xf numFmtId="0" fontId="0" fillId="4" borderId="0" xfId="0" applyFill="1" applyAlignment="1">
      <alignment horizontal="left"/>
    </xf>
    <xf numFmtId="0" fontId="0" fillId="6" borderId="0" xfId="0" applyFill="1" applyAlignment="1">
      <alignment horizontal="center"/>
    </xf>
    <xf numFmtId="0" fontId="2" fillId="6" borderId="0" xfId="0" applyFont="1" applyFill="1" applyAlignment="1">
      <alignment horizontal="center"/>
    </xf>
    <xf numFmtId="0" fontId="2" fillId="6" borderId="0" xfId="0" applyFont="1" applyFill="1" applyAlignment="1">
      <alignment horizontal="left"/>
    </xf>
    <xf numFmtId="0" fontId="0" fillId="6" borderId="0" xfId="0" applyFill="1" applyAlignment="1">
      <alignment horizontal="left"/>
    </xf>
    <xf numFmtId="49" fontId="0" fillId="6" borderId="0" xfId="0" applyNumberFormat="1" applyFill="1" applyAlignment="1">
      <alignment horizontal="center"/>
    </xf>
    <xf numFmtId="0" fontId="3" fillId="5" borderId="0" xfId="0" applyFont="1" applyFill="1" applyAlignment="1">
      <alignment horizontal="center" vertical="center" readingOrder="1"/>
    </xf>
    <xf numFmtId="0" fontId="2" fillId="5" borderId="0" xfId="0" applyFont="1" applyFill="1" applyAlignment="1">
      <alignment horizontal="left"/>
    </xf>
    <xf numFmtId="0" fontId="0" fillId="5" borderId="0" xfId="0" applyFill="1" applyAlignment="1">
      <alignment horizontal="left"/>
    </xf>
    <xf numFmtId="0" fontId="0" fillId="3" borderId="0" xfId="0" applyFill="1" applyAlignment="1">
      <alignment horizontal="center"/>
    </xf>
    <xf numFmtId="0" fontId="3" fillId="3" borderId="0" xfId="0" applyFont="1" applyFill="1" applyAlignment="1">
      <alignment horizontal="center" vertical="center" readingOrder="1"/>
    </xf>
    <xf numFmtId="0" fontId="2" fillId="3" borderId="0" xfId="0" applyFont="1" applyFill="1" applyAlignment="1">
      <alignment horizontal="left"/>
    </xf>
    <xf numFmtId="0" fontId="0" fillId="3" borderId="0" xfId="0" applyFill="1" applyAlignment="1">
      <alignment horizontal="left"/>
    </xf>
    <xf numFmtId="49" fontId="0" fillId="3" borderId="0" xfId="0" applyNumberFormat="1" applyFill="1" applyAlignment="1">
      <alignment horizontal="center"/>
    </xf>
    <xf numFmtId="0" fontId="0" fillId="7" borderId="0" xfId="0" applyFill="1" applyAlignment="1">
      <alignment horizontal="center"/>
    </xf>
    <xf numFmtId="0" fontId="3" fillId="7" borderId="0" xfId="0" applyFont="1" applyFill="1" applyAlignment="1">
      <alignment horizontal="center" vertical="center" readingOrder="1"/>
    </xf>
    <xf numFmtId="0" fontId="2" fillId="7" borderId="0" xfId="0" applyFont="1" applyFill="1" applyAlignment="1">
      <alignment horizontal="left"/>
    </xf>
    <xf numFmtId="0" fontId="0" fillId="7" borderId="0" xfId="0" applyFill="1" applyAlignment="1">
      <alignment horizontal="left"/>
    </xf>
    <xf numFmtId="49" fontId="0" fillId="7" borderId="0" xfId="0" applyNumberFormat="1" applyFill="1" applyAlignment="1">
      <alignment horizontal="center"/>
    </xf>
    <xf numFmtId="0" fontId="0" fillId="8" borderId="0" xfId="0" applyFill="1" applyAlignment="1">
      <alignment horizontal="center"/>
    </xf>
    <xf numFmtId="0" fontId="3" fillId="8" borderId="0" xfId="0" applyFont="1" applyFill="1" applyAlignment="1">
      <alignment horizontal="center" vertical="center" readingOrder="1"/>
    </xf>
    <xf numFmtId="0" fontId="2" fillId="8" borderId="0" xfId="0" applyFont="1" applyFill="1" applyAlignment="1">
      <alignment horizontal="left"/>
    </xf>
    <xf numFmtId="0" fontId="0" fillId="8" borderId="0" xfId="0" applyFill="1" applyAlignment="1">
      <alignment horizontal="left"/>
    </xf>
    <xf numFmtId="49" fontId="0" fillId="8" borderId="0" xfId="0" applyNumberFormat="1" applyFill="1" applyAlignment="1">
      <alignment horizontal="center"/>
    </xf>
    <xf numFmtId="0" fontId="0" fillId="9" borderId="0" xfId="0" applyFill="1" applyAlignment="1">
      <alignment horizontal="center"/>
    </xf>
    <xf numFmtId="0" fontId="3" fillId="9" borderId="0" xfId="0" applyFont="1" applyFill="1" applyAlignment="1">
      <alignment horizontal="center" vertical="center" readingOrder="1"/>
    </xf>
    <xf numFmtId="0" fontId="2" fillId="9" borderId="0" xfId="0" applyFont="1" applyFill="1" applyAlignment="1">
      <alignment horizontal="left"/>
    </xf>
    <xf numFmtId="0" fontId="0" fillId="9" borderId="0" xfId="0" applyFill="1" applyAlignment="1">
      <alignment horizontal="left"/>
    </xf>
    <xf numFmtId="49" fontId="0" fillId="9" borderId="0" xfId="0" applyNumberFormat="1" applyFill="1" applyAlignment="1">
      <alignment horizontal="center"/>
    </xf>
    <xf numFmtId="0" fontId="0" fillId="10" borderId="0" xfId="0" applyFill="1" applyAlignment="1">
      <alignment horizontal="center"/>
    </xf>
    <xf numFmtId="0" fontId="0" fillId="10" borderId="0" xfId="0" applyFill="1"/>
    <xf numFmtId="49" fontId="0" fillId="10" borderId="0" xfId="0" applyNumberFormat="1" applyFill="1" applyAlignment="1">
      <alignment horizontal="center"/>
    </xf>
    <xf numFmtId="14" fontId="0" fillId="3" borderId="0" xfId="0" applyNumberFormat="1" applyFill="1" applyAlignment="1">
      <alignment horizontal="center"/>
    </xf>
    <xf numFmtId="0" fontId="0" fillId="11" borderId="0" xfId="0" applyFill="1" applyAlignment="1">
      <alignment horizontal="center"/>
    </xf>
    <xf numFmtId="0" fontId="0" fillId="11" borderId="0" xfId="0" applyFill="1" applyAlignment="1">
      <alignment horizontal="left"/>
    </xf>
    <xf numFmtId="49" fontId="0" fillId="11" borderId="0" xfId="0" applyNumberFormat="1" applyFill="1" applyAlignment="1">
      <alignment horizontal="center"/>
    </xf>
    <xf numFmtId="0" fontId="0" fillId="12" borderId="0" xfId="0" applyFill="1" applyAlignment="1">
      <alignment horizontal="center"/>
    </xf>
    <xf numFmtId="0" fontId="3" fillId="12" borderId="0" xfId="0" applyFont="1" applyFill="1" applyAlignment="1">
      <alignment horizontal="center" vertical="center" readingOrder="1"/>
    </xf>
    <xf numFmtId="0" fontId="0" fillId="12" borderId="0" xfId="0" applyFill="1" applyAlignment="1">
      <alignment horizontal="left"/>
    </xf>
    <xf numFmtId="0" fontId="4" fillId="12" borderId="0" xfId="0" applyFont="1" applyFill="1" applyAlignment="1">
      <alignment horizontal="left"/>
    </xf>
    <xf numFmtId="49" fontId="0" fillId="12" borderId="0" xfId="0" applyNumberFormat="1" applyFill="1" applyAlignment="1">
      <alignment horizontal="center"/>
    </xf>
    <xf numFmtId="0" fontId="0" fillId="0" borderId="0" xfId="0" applyAlignment="1">
      <alignment horizontal="left"/>
    </xf>
    <xf numFmtId="0" fontId="0" fillId="0" borderId="0" xfId="0" applyAlignment="1">
      <alignment horizontal="right"/>
    </xf>
    <xf numFmtId="0" fontId="0" fillId="13" borderId="0" xfId="0" applyFill="1" applyAlignment="1">
      <alignment horizontal="center"/>
    </xf>
    <xf numFmtId="0" fontId="2" fillId="13" borderId="0" xfId="0" applyFont="1" applyFill="1" applyAlignment="1">
      <alignment horizontal="left"/>
    </xf>
    <xf numFmtId="49" fontId="0" fillId="13" borderId="0" xfId="0" applyNumberFormat="1" applyFill="1" applyAlignment="1">
      <alignment horizontal="center"/>
    </xf>
    <xf numFmtId="14" fontId="0" fillId="13" borderId="0" xfId="0" applyNumberFormat="1" applyFill="1" applyAlignment="1">
      <alignment horizontal="center"/>
    </xf>
    <xf numFmtId="0" fontId="5" fillId="0" borderId="0" xfId="0" applyFont="1" applyAlignment="1">
      <alignment horizontal="left" vertical="center" readingOrder="1"/>
    </xf>
    <xf numFmtId="0" fontId="0" fillId="14" borderId="0" xfId="0" applyFill="1" applyAlignment="1">
      <alignment horizontal="center"/>
    </xf>
    <xf numFmtId="0" fontId="0" fillId="14" borderId="0" xfId="0" applyFill="1"/>
    <xf numFmtId="49" fontId="0" fillId="14" borderId="0" xfId="0" applyNumberFormat="1" applyFill="1" applyAlignment="1">
      <alignment horizontal="center"/>
    </xf>
    <xf numFmtId="14" fontId="0" fillId="14" borderId="0" xfId="0" applyNumberFormat="1" applyFill="1" applyAlignment="1">
      <alignment horizontal="center"/>
    </xf>
    <xf numFmtId="0" fontId="0" fillId="15" borderId="0" xfId="0" applyFill="1" applyAlignment="1">
      <alignment horizontal="center"/>
    </xf>
    <xf numFmtId="0" fontId="0" fillId="15" borderId="0" xfId="0" applyFill="1"/>
    <xf numFmtId="49" fontId="0" fillId="15" borderId="0" xfId="0" applyNumberFormat="1" applyFill="1" applyAlignment="1">
      <alignment horizontal="center"/>
    </xf>
    <xf numFmtId="14" fontId="0" fillId="15" borderId="0" xfId="0" applyNumberFormat="1" applyFill="1" applyAlignment="1">
      <alignment horizontal="center"/>
    </xf>
    <xf numFmtId="0" fontId="0" fillId="16" borderId="0" xfId="0" applyFill="1" applyAlignment="1">
      <alignment horizontal="center"/>
    </xf>
    <xf numFmtId="0" fontId="0" fillId="16" borderId="0" xfId="0" applyFill="1"/>
    <xf numFmtId="0" fontId="2" fillId="16" borderId="0" xfId="0" applyFont="1" applyFill="1" applyAlignment="1">
      <alignment horizontal="left"/>
    </xf>
    <xf numFmtId="49" fontId="0" fillId="16" borderId="0" xfId="0" applyNumberFormat="1" applyFill="1" applyAlignment="1">
      <alignment horizontal="center"/>
    </xf>
    <xf numFmtId="14" fontId="0" fillId="16" borderId="0" xfId="0" applyNumberFormat="1" applyFill="1" applyAlignment="1">
      <alignment horizontal="center"/>
    </xf>
    <xf numFmtId="14" fontId="0" fillId="9" borderId="0" xfId="0" applyNumberFormat="1" applyFill="1" applyAlignment="1">
      <alignment horizontal="center"/>
    </xf>
    <xf numFmtId="14" fontId="0" fillId="2" borderId="0" xfId="0" applyNumberFormat="1" applyFill="1" applyAlignment="1">
      <alignment horizontal="center"/>
    </xf>
    <xf numFmtId="0" fontId="0" fillId="0" borderId="2" xfId="0" applyBorder="1" applyAlignment="1">
      <alignment horizontal="center"/>
    </xf>
    <xf numFmtId="14" fontId="0" fillId="7" borderId="0" xfId="0" applyNumberFormat="1" applyFill="1" applyAlignment="1">
      <alignment horizontal="center"/>
    </xf>
    <xf numFmtId="14" fontId="0" fillId="5" borderId="0" xfId="0" applyNumberFormat="1" applyFill="1" applyAlignment="1">
      <alignment horizontal="center"/>
    </xf>
    <xf numFmtId="49" fontId="2" fillId="6" borderId="0" xfId="0" applyNumberFormat="1" applyFont="1" applyFill="1" applyAlignment="1">
      <alignment horizontal="center"/>
    </xf>
    <xf numFmtId="0" fontId="3" fillId="0" borderId="0" xfId="0" applyFont="1" applyAlignment="1">
      <alignment horizontal="center" vertical="center" readingOrder="1"/>
    </xf>
    <xf numFmtId="0" fontId="2" fillId="0" borderId="0" xfId="0" applyFont="1" applyAlignment="1">
      <alignment horizontal="center"/>
    </xf>
    <xf numFmtId="0" fontId="3" fillId="0" borderId="0" xfId="0" applyFont="1" applyAlignment="1">
      <alignment horizontal="left" vertical="center" readingOrder="1"/>
    </xf>
    <xf numFmtId="0" fontId="2" fillId="0" borderId="0" xfId="0" applyFont="1" applyAlignment="1">
      <alignment horizontal="left"/>
    </xf>
    <xf numFmtId="0" fontId="0" fillId="0" borderId="2" xfId="0" applyBorder="1" applyAlignment="1">
      <alignment horizontal="left"/>
    </xf>
    <xf numFmtId="0" fontId="1" fillId="0" borderId="1" xfId="0" applyFont="1" applyBorder="1" applyAlignment="1">
      <alignment horizontal="left" vertical="top"/>
    </xf>
    <xf numFmtId="49" fontId="0" fillId="0" borderId="0" xfId="0" applyNumberFormat="1" applyAlignment="1">
      <alignment horizontal="left"/>
    </xf>
    <xf numFmtId="49" fontId="3" fillId="3" borderId="0" xfId="0" applyNumberFormat="1" applyFont="1" applyFill="1" applyAlignment="1">
      <alignment horizontal="center" vertical="center" readingOrder="1"/>
    </xf>
    <xf numFmtId="14" fontId="0" fillId="0" borderId="0" xfId="0" applyNumberFormat="1" applyAlignment="1">
      <alignment horizontal="center"/>
    </xf>
    <xf numFmtId="49" fontId="3" fillId="0" borderId="0" xfId="0" applyNumberFormat="1" applyFont="1" applyAlignment="1">
      <alignment horizontal="center" vertical="center" readingOrder="1"/>
    </xf>
    <xf numFmtId="49" fontId="0" fillId="0" borderId="0" xfId="0" applyNumberFormat="1"/>
    <xf numFmtId="49" fontId="2" fillId="0" borderId="0" xfId="0" applyNumberFormat="1" applyFont="1" applyAlignment="1">
      <alignment horizontal="center"/>
    </xf>
    <xf numFmtId="0" fontId="6"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colors>
    <mruColors>
      <color rgb="FFCCECFF"/>
      <color rgb="FF969696"/>
      <color rgb="FFFF6699"/>
      <color rgb="FF99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S432"/>
  <sheetViews>
    <sheetView tabSelected="1" workbookViewId="0">
      <pane xSplit="2" ySplit="1" topLeftCell="N301" activePane="bottomRight" state="frozen"/>
      <selection pane="topRight" activeCell="C1" sqref="C1"/>
      <selection pane="bottomLeft" activeCell="A2" sqref="A2"/>
      <selection pane="bottomRight" activeCell="AB319" sqref="AB319"/>
    </sheetView>
  </sheetViews>
  <sheetFormatPr defaultRowHeight="15" x14ac:dyDescent="0.25"/>
  <cols>
    <col min="1" max="1" width="12.7109375" style="1" customWidth="1"/>
    <col min="2" max="3" width="11" style="13" customWidth="1"/>
    <col min="4" max="4" width="15.42578125" style="1" customWidth="1"/>
    <col min="5" max="5" width="14.28515625" style="1" customWidth="1"/>
    <col min="6" max="6" width="15.140625" style="1" customWidth="1"/>
    <col min="7" max="7" width="13.85546875" style="1" customWidth="1"/>
    <col min="8" max="8" width="13.5703125" style="1" customWidth="1"/>
    <col min="9" max="9" width="14.7109375" style="1" customWidth="1"/>
    <col min="10" max="11" width="15.85546875" style="1" customWidth="1"/>
    <col min="12" max="12" width="18.140625" style="1" customWidth="1"/>
    <col min="13" max="13" width="13.5703125" style="1" customWidth="1"/>
    <col min="14" max="14" width="14.7109375" style="1" customWidth="1"/>
    <col min="15" max="16" width="15.85546875" style="1" customWidth="1"/>
    <col min="17" max="17" width="16.7109375" style="1" customWidth="1"/>
    <col min="18" max="18" width="13.5703125" style="1" customWidth="1"/>
    <col min="19" max="19" width="9.140625" style="1"/>
    <col min="20" max="20" width="13.7109375" style="1" customWidth="1"/>
    <col min="21" max="21" width="9.140625" style="1" customWidth="1"/>
    <col min="22" max="22" width="14.42578125" style="1" customWidth="1"/>
    <col min="23" max="24" width="9.140625" style="1"/>
    <col min="25" max="25" width="15.28515625" style="1" customWidth="1"/>
    <col min="26" max="26" width="9.140625" style="1"/>
    <col min="27" max="27" width="9.140625" style="13"/>
    <col min="28" max="28" width="38" style="1" customWidth="1"/>
    <col min="29" max="29" width="85.42578125" style="57" customWidth="1"/>
    <col min="31" max="31" width="24.7109375" style="57" customWidth="1"/>
    <col min="32" max="16384" width="9.140625" style="1"/>
  </cols>
  <sheetData>
    <row r="1" spans="1:331" x14ac:dyDescent="0.25">
      <c r="A1" s="11" t="s">
        <v>0</v>
      </c>
      <c r="B1" s="12" t="s">
        <v>1</v>
      </c>
      <c r="C1" s="12" t="s">
        <v>1645</v>
      </c>
      <c r="D1" s="11" t="s">
        <v>4</v>
      </c>
      <c r="E1" s="11" t="s">
        <v>5</v>
      </c>
      <c r="F1" s="11" t="s">
        <v>6</v>
      </c>
      <c r="G1" s="11" t="s">
        <v>7</v>
      </c>
      <c r="H1" s="11" t="s">
        <v>8</v>
      </c>
      <c r="I1" s="11" t="s">
        <v>9</v>
      </c>
      <c r="J1" s="11" t="s">
        <v>10</v>
      </c>
      <c r="K1" s="11" t="s">
        <v>1652</v>
      </c>
      <c r="L1" s="11" t="s">
        <v>11</v>
      </c>
      <c r="M1" s="11" t="s">
        <v>12</v>
      </c>
      <c r="N1" s="11" t="s">
        <v>13</v>
      </c>
      <c r="O1" s="11" t="s">
        <v>14</v>
      </c>
      <c r="P1" s="11" t="s">
        <v>15</v>
      </c>
      <c r="Q1" s="11" t="s">
        <v>1477</v>
      </c>
      <c r="R1" s="11" t="s">
        <v>16</v>
      </c>
      <c r="S1" s="11" t="s">
        <v>2</v>
      </c>
      <c r="T1" s="11" t="s">
        <v>3</v>
      </c>
      <c r="U1" s="11" t="s">
        <v>1252</v>
      </c>
      <c r="V1" s="11" t="s">
        <v>1253</v>
      </c>
      <c r="W1" s="11" t="s">
        <v>1380</v>
      </c>
      <c r="X1" s="95" t="s">
        <v>1725</v>
      </c>
      <c r="Y1" s="95" t="s">
        <v>1727</v>
      </c>
      <c r="Z1" s="11" t="s">
        <v>17</v>
      </c>
      <c r="AA1" s="12" t="s">
        <v>1381</v>
      </c>
      <c r="AB1" s="1" t="s">
        <v>1261</v>
      </c>
      <c r="AC1" s="88" t="s">
        <v>1917</v>
      </c>
      <c r="AE1" s="57" t="s">
        <v>1836</v>
      </c>
    </row>
    <row r="2" spans="1:331" s="2" customFormat="1" x14ac:dyDescent="0.25">
      <c r="A2" s="2" t="s">
        <v>18</v>
      </c>
      <c r="B2" s="6" t="s">
        <v>19</v>
      </c>
      <c r="C2" s="13" t="s">
        <v>1646</v>
      </c>
      <c r="D2" s="2">
        <v>0</v>
      </c>
      <c r="H2" s="2" t="s">
        <v>20</v>
      </c>
      <c r="I2" s="2" t="s">
        <v>21</v>
      </c>
      <c r="J2" s="2" t="s">
        <v>20</v>
      </c>
      <c r="K2" s="2" t="s">
        <v>20</v>
      </c>
      <c r="L2" s="2">
        <v>1</v>
      </c>
      <c r="M2" s="2" t="s">
        <v>20</v>
      </c>
      <c r="O2" s="2">
        <v>1</v>
      </c>
      <c r="P2" s="2" t="s">
        <v>22</v>
      </c>
      <c r="Q2" s="1" t="s">
        <v>1478</v>
      </c>
      <c r="R2" s="1"/>
      <c r="T2" s="2">
        <v>19</v>
      </c>
      <c r="V2" s="2">
        <v>19</v>
      </c>
      <c r="W2" s="1">
        <v>19</v>
      </c>
      <c r="X2" s="1">
        <v>24</v>
      </c>
      <c r="Y2" s="1" t="s">
        <v>2017</v>
      </c>
      <c r="Z2" s="2">
        <v>2</v>
      </c>
      <c r="AA2" s="13" t="b">
        <v>1</v>
      </c>
      <c r="AB2" s="1"/>
      <c r="AC2" s="57" t="s">
        <v>1254</v>
      </c>
      <c r="AD2" s="1"/>
      <c r="AE2" s="57"/>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row>
    <row r="3" spans="1:331" s="30" customFormat="1" x14ac:dyDescent="0.25">
      <c r="A3" s="30" t="s">
        <v>23</v>
      </c>
      <c r="B3" s="34" t="s">
        <v>24</v>
      </c>
      <c r="C3" s="13" t="s">
        <v>1646</v>
      </c>
      <c r="D3" s="30">
        <v>1</v>
      </c>
      <c r="E3" s="30" t="s">
        <v>25</v>
      </c>
      <c r="H3" s="30" t="s">
        <v>26</v>
      </c>
      <c r="I3" s="30" t="s">
        <v>25</v>
      </c>
      <c r="J3" s="30" t="s">
        <v>27</v>
      </c>
      <c r="K3" s="30" t="s">
        <v>25</v>
      </c>
      <c r="L3" s="30">
        <v>0</v>
      </c>
      <c r="O3" s="30">
        <v>0</v>
      </c>
      <c r="Q3" s="1" t="s">
        <v>1479</v>
      </c>
      <c r="R3" s="1"/>
      <c r="S3" s="30">
        <v>7</v>
      </c>
      <c r="U3" s="30">
        <v>10</v>
      </c>
      <c r="W3" s="1">
        <v>7</v>
      </c>
      <c r="X3" s="1">
        <v>10</v>
      </c>
      <c r="Y3" s="1" t="s">
        <v>2018</v>
      </c>
      <c r="Z3" s="30">
        <v>6</v>
      </c>
      <c r="AA3" s="13" t="b">
        <v>1</v>
      </c>
      <c r="AB3" s="1"/>
      <c r="AC3" s="57" t="s">
        <v>1255</v>
      </c>
      <c r="AD3" s="1"/>
      <c r="AE3" s="57"/>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row>
    <row r="4" spans="1:331" s="35" customFormat="1" x14ac:dyDescent="0.25">
      <c r="A4" s="35" t="s">
        <v>28</v>
      </c>
      <c r="B4" s="39" t="s">
        <v>29</v>
      </c>
      <c r="C4" s="13" t="s">
        <v>1646</v>
      </c>
      <c r="D4" s="35">
        <v>1</v>
      </c>
      <c r="E4" s="35" t="s">
        <v>30</v>
      </c>
      <c r="H4" s="35" t="s">
        <v>27</v>
      </c>
      <c r="I4" s="35" t="s">
        <v>30</v>
      </c>
      <c r="J4" s="35" t="s">
        <v>31</v>
      </c>
      <c r="K4" s="35" t="s">
        <v>26</v>
      </c>
      <c r="L4" s="35">
        <v>0</v>
      </c>
      <c r="O4" s="35">
        <v>1</v>
      </c>
      <c r="P4" s="35" t="s">
        <v>32</v>
      </c>
      <c r="Q4" s="1" t="s">
        <v>1480</v>
      </c>
      <c r="R4" s="1"/>
      <c r="T4" s="35">
        <v>13</v>
      </c>
      <c r="V4" s="35">
        <v>13</v>
      </c>
      <c r="W4" s="1">
        <v>13</v>
      </c>
      <c r="X4" s="1">
        <v>14</v>
      </c>
      <c r="Y4" s="1" t="s">
        <v>2019</v>
      </c>
      <c r="Z4" s="35">
        <v>7</v>
      </c>
      <c r="AA4" s="13" t="b">
        <v>1</v>
      </c>
      <c r="AB4" s="1"/>
      <c r="AC4" s="57" t="s">
        <v>1256</v>
      </c>
      <c r="AD4" s="1"/>
      <c r="AE4" s="57"/>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row>
    <row r="5" spans="1:331" s="35" customFormat="1" x14ac:dyDescent="0.25">
      <c r="A5" s="35" t="s">
        <v>33</v>
      </c>
      <c r="B5" s="39" t="s">
        <v>34</v>
      </c>
      <c r="C5" s="13" t="s">
        <v>1646</v>
      </c>
      <c r="D5" s="35">
        <v>3</v>
      </c>
      <c r="E5" s="35" t="s">
        <v>35</v>
      </c>
      <c r="F5" s="35" t="s">
        <v>35</v>
      </c>
      <c r="G5" s="35" t="s">
        <v>35</v>
      </c>
      <c r="H5" s="35" t="s">
        <v>35</v>
      </c>
      <c r="I5" s="35" t="s">
        <v>35</v>
      </c>
      <c r="J5" s="35" t="s">
        <v>36</v>
      </c>
      <c r="K5" s="35" t="s">
        <v>35</v>
      </c>
      <c r="L5" s="35">
        <v>0</v>
      </c>
      <c r="O5" s="35">
        <v>1</v>
      </c>
      <c r="P5" s="35" t="s">
        <v>36</v>
      </c>
      <c r="Q5" s="1" t="s">
        <v>1481</v>
      </c>
      <c r="R5" s="1"/>
      <c r="S5" s="35">
        <v>30</v>
      </c>
      <c r="U5" s="35">
        <v>28</v>
      </c>
      <c r="W5" s="1">
        <v>30</v>
      </c>
      <c r="X5" s="1">
        <v>18</v>
      </c>
      <c r="Y5" s="1" t="s">
        <v>2020</v>
      </c>
      <c r="Z5" s="35">
        <v>7</v>
      </c>
      <c r="AA5" s="13" t="b">
        <v>1</v>
      </c>
      <c r="AB5" s="1"/>
      <c r="AC5" s="57" t="s">
        <v>1258</v>
      </c>
      <c r="AD5" s="1"/>
      <c r="AE5" s="57"/>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row>
    <row r="6" spans="1:331" s="35" customFormat="1" x14ac:dyDescent="0.25">
      <c r="A6" s="35" t="s">
        <v>37</v>
      </c>
      <c r="B6" s="39" t="s">
        <v>38</v>
      </c>
      <c r="C6" s="13" t="s">
        <v>1646</v>
      </c>
      <c r="D6" s="35">
        <v>1</v>
      </c>
      <c r="E6" s="35" t="s">
        <v>39</v>
      </c>
      <c r="H6" s="35" t="s">
        <v>40</v>
      </c>
      <c r="I6" s="35" t="s">
        <v>41</v>
      </c>
      <c r="J6" s="35" t="s">
        <v>42</v>
      </c>
      <c r="K6" s="35" t="s">
        <v>39</v>
      </c>
      <c r="L6" s="35">
        <v>0</v>
      </c>
      <c r="O6" s="35">
        <v>1</v>
      </c>
      <c r="P6" s="35" t="s">
        <v>43</v>
      </c>
      <c r="Q6" s="1" t="s">
        <v>320</v>
      </c>
      <c r="R6" s="1"/>
      <c r="T6" s="35">
        <v>20</v>
      </c>
      <c r="V6" s="35">
        <v>22</v>
      </c>
      <c r="W6" s="1">
        <v>20</v>
      </c>
      <c r="X6" s="1">
        <v>16</v>
      </c>
      <c r="Y6" s="1" t="s">
        <v>2021</v>
      </c>
      <c r="Z6" s="35">
        <v>7</v>
      </c>
      <c r="AA6" s="13" t="b">
        <v>1</v>
      </c>
      <c r="AB6" s="1"/>
      <c r="AC6" s="57" t="s">
        <v>1259</v>
      </c>
      <c r="AD6" s="1"/>
      <c r="AE6" s="57"/>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row>
    <row r="7" spans="1:331" s="4" customFormat="1" x14ac:dyDescent="0.25">
      <c r="A7" s="4" t="s">
        <v>44</v>
      </c>
      <c r="B7" s="7" t="s">
        <v>45</v>
      </c>
      <c r="C7" s="13" t="s">
        <v>1646</v>
      </c>
      <c r="D7" s="4">
        <v>3</v>
      </c>
      <c r="E7" s="4" t="s">
        <v>46</v>
      </c>
      <c r="F7" s="4" t="s">
        <v>46</v>
      </c>
      <c r="G7" s="4" t="s">
        <v>46</v>
      </c>
      <c r="H7" s="4" t="s">
        <v>46</v>
      </c>
      <c r="I7" s="4" t="s">
        <v>46</v>
      </c>
      <c r="J7" s="81">
        <v>45748</v>
      </c>
      <c r="K7" s="81" t="s">
        <v>46</v>
      </c>
      <c r="L7" s="4">
        <v>1</v>
      </c>
      <c r="M7" s="4" t="s">
        <v>47</v>
      </c>
      <c r="O7" s="4">
        <v>1</v>
      </c>
      <c r="P7" s="4" t="s">
        <v>48</v>
      </c>
      <c r="Q7" s="1"/>
      <c r="R7" s="1" t="s">
        <v>49</v>
      </c>
      <c r="T7" s="4">
        <v>25</v>
      </c>
      <c r="V7" s="4">
        <v>23</v>
      </c>
      <c r="W7" s="1">
        <v>25</v>
      </c>
      <c r="X7" s="1">
        <v>19</v>
      </c>
      <c r="Y7" s="1" t="s">
        <v>2022</v>
      </c>
      <c r="Z7" s="4">
        <v>4</v>
      </c>
      <c r="AA7" s="13" t="b">
        <v>1</v>
      </c>
      <c r="AB7" s="1"/>
      <c r="AC7" s="57" t="s">
        <v>1260</v>
      </c>
      <c r="AD7" s="1"/>
      <c r="AE7" s="57"/>
      <c r="AF7" s="1"/>
      <c r="AG7" s="1"/>
      <c r="AH7" s="1"/>
      <c r="AI7" s="1"/>
      <c r="AJ7" s="1"/>
      <c r="AK7" s="1"/>
      <c r="AL7" s="1"/>
      <c r="AM7" s="1"/>
      <c r="AN7" s="1"/>
      <c r="AO7" s="1"/>
      <c r="AP7" s="1"/>
      <c r="AQ7" s="1"/>
    </row>
    <row r="8" spans="1:331" s="30" customFormat="1" x14ac:dyDescent="0.25">
      <c r="A8" s="30" t="s">
        <v>50</v>
      </c>
      <c r="B8" s="30" t="s">
        <v>51</v>
      </c>
      <c r="C8" s="1" t="s">
        <v>1646</v>
      </c>
      <c r="D8" s="30">
        <v>2</v>
      </c>
      <c r="E8" s="30" t="s">
        <v>52</v>
      </c>
      <c r="F8" s="30" t="s">
        <v>52</v>
      </c>
      <c r="H8" s="30" t="s">
        <v>53</v>
      </c>
      <c r="I8" s="30" t="s">
        <v>52</v>
      </c>
      <c r="J8" s="30" t="s">
        <v>53</v>
      </c>
      <c r="K8" s="30" t="s">
        <v>52</v>
      </c>
      <c r="L8" s="30">
        <v>0</v>
      </c>
      <c r="O8" s="30">
        <v>0</v>
      </c>
      <c r="Q8" s="1" t="s">
        <v>472</v>
      </c>
      <c r="R8" s="1"/>
      <c r="T8" s="30">
        <v>9</v>
      </c>
      <c r="V8" s="30">
        <v>8</v>
      </c>
      <c r="W8" s="1">
        <v>9</v>
      </c>
      <c r="X8" s="1">
        <v>9</v>
      </c>
      <c r="Y8" s="1" t="s">
        <v>2023</v>
      </c>
      <c r="Z8" s="30">
        <v>6</v>
      </c>
      <c r="AA8" s="13" t="b">
        <v>1</v>
      </c>
      <c r="AB8" s="1"/>
      <c r="AC8" s="57" t="s">
        <v>1442</v>
      </c>
      <c r="AD8" s="1"/>
      <c r="AE8" s="57"/>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row>
    <row r="9" spans="1:331" s="35" customFormat="1" x14ac:dyDescent="0.25">
      <c r="A9" s="35" t="s">
        <v>54</v>
      </c>
      <c r="B9" s="35" t="s">
        <v>55</v>
      </c>
      <c r="C9" s="1" t="s">
        <v>1646</v>
      </c>
      <c r="D9" s="35">
        <v>1</v>
      </c>
      <c r="E9" s="35" t="s">
        <v>56</v>
      </c>
      <c r="H9" s="35" t="s">
        <v>57</v>
      </c>
      <c r="I9" s="35" t="s">
        <v>56</v>
      </c>
      <c r="J9" s="35" t="s">
        <v>57</v>
      </c>
      <c r="K9" s="35" t="s">
        <v>56</v>
      </c>
      <c r="L9" s="35">
        <v>0</v>
      </c>
      <c r="O9" s="35">
        <v>1</v>
      </c>
      <c r="Q9" s="1"/>
      <c r="R9" s="1" t="s">
        <v>58</v>
      </c>
      <c r="S9" s="35">
        <v>20</v>
      </c>
      <c r="U9" s="35">
        <v>20</v>
      </c>
      <c r="W9" s="1">
        <v>20</v>
      </c>
      <c r="X9" s="1">
        <v>13</v>
      </c>
      <c r="Y9" s="1" t="s">
        <v>2024</v>
      </c>
      <c r="Z9" s="35">
        <v>7</v>
      </c>
      <c r="AA9" s="13" t="b">
        <v>1</v>
      </c>
      <c r="AB9" s="1"/>
      <c r="AC9" s="57" t="s">
        <v>1262</v>
      </c>
      <c r="AD9" s="1"/>
      <c r="AE9" s="57"/>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row>
    <row r="10" spans="1:331" s="3" customFormat="1" x14ac:dyDescent="0.25">
      <c r="A10" s="3" t="s">
        <v>59</v>
      </c>
      <c r="B10" s="5" t="s">
        <v>60</v>
      </c>
      <c r="C10" s="13" t="s">
        <v>1646</v>
      </c>
      <c r="D10" s="3">
        <v>0</v>
      </c>
      <c r="H10" s="3" t="s">
        <v>61</v>
      </c>
      <c r="I10" s="3" t="s">
        <v>62</v>
      </c>
      <c r="J10" s="3" t="s">
        <v>61</v>
      </c>
      <c r="K10" s="3" t="s">
        <v>869</v>
      </c>
      <c r="L10" s="3">
        <v>1</v>
      </c>
      <c r="M10" s="3" t="s">
        <v>57</v>
      </c>
      <c r="O10" s="3">
        <v>1</v>
      </c>
      <c r="Q10" s="1" t="s">
        <v>1482</v>
      </c>
      <c r="R10" s="1"/>
      <c r="S10" s="3">
        <v>15</v>
      </c>
      <c r="V10" s="3">
        <v>15</v>
      </c>
      <c r="W10" s="1">
        <v>15</v>
      </c>
      <c r="X10" s="1">
        <v>21</v>
      </c>
      <c r="Y10" s="1" t="s">
        <v>2025</v>
      </c>
      <c r="Z10" s="3">
        <v>1</v>
      </c>
      <c r="AA10" s="13" t="b">
        <v>1</v>
      </c>
      <c r="AB10" s="1"/>
      <c r="AC10" s="57" t="s">
        <v>1263</v>
      </c>
      <c r="AD10" s="1"/>
      <c r="AE10" s="57"/>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row>
    <row r="11" spans="1:331" s="35" customFormat="1" x14ac:dyDescent="0.25">
      <c r="A11" s="35" t="s">
        <v>63</v>
      </c>
      <c r="B11" s="35" t="s">
        <v>64</v>
      </c>
      <c r="C11" s="1" t="s">
        <v>1646</v>
      </c>
      <c r="D11" s="35">
        <v>2</v>
      </c>
      <c r="E11" s="35" t="s">
        <v>65</v>
      </c>
      <c r="F11" s="35" t="s">
        <v>65</v>
      </c>
      <c r="H11" s="35" t="s">
        <v>66</v>
      </c>
      <c r="I11" s="35" t="s">
        <v>67</v>
      </c>
      <c r="J11" s="35" t="s">
        <v>68</v>
      </c>
      <c r="K11" s="35" t="s">
        <v>66</v>
      </c>
      <c r="L11" s="35">
        <v>0</v>
      </c>
      <c r="O11" s="35">
        <v>1</v>
      </c>
      <c r="P11" s="35" t="s">
        <v>68</v>
      </c>
      <c r="Q11" s="1" t="s">
        <v>1483</v>
      </c>
      <c r="R11" s="1"/>
      <c r="S11" s="35">
        <v>13</v>
      </c>
      <c r="U11" s="35">
        <v>14</v>
      </c>
      <c r="W11" s="1">
        <v>13</v>
      </c>
      <c r="X11" s="1">
        <v>13</v>
      </c>
      <c r="Y11" s="1" t="s">
        <v>2026</v>
      </c>
      <c r="Z11" s="35">
        <v>7</v>
      </c>
      <c r="AA11" s="13" t="b">
        <v>1</v>
      </c>
      <c r="AB11" s="1"/>
      <c r="AC11" s="57" t="s">
        <v>1264</v>
      </c>
      <c r="AD11" s="1"/>
      <c r="AE11" s="57"/>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row>
    <row r="12" spans="1:331" s="68" customFormat="1" x14ac:dyDescent="0.25">
      <c r="A12" s="68" t="s">
        <v>69</v>
      </c>
      <c r="B12" s="68" t="s">
        <v>70</v>
      </c>
      <c r="C12" s="1" t="s">
        <v>1646</v>
      </c>
      <c r="D12" s="68">
        <v>1</v>
      </c>
      <c r="E12" s="68" t="s">
        <v>71</v>
      </c>
      <c r="H12" s="68" t="s">
        <v>72</v>
      </c>
      <c r="I12" s="68" t="s">
        <v>73</v>
      </c>
      <c r="J12" s="68" t="s">
        <v>74</v>
      </c>
      <c r="K12" s="68" t="s">
        <v>74</v>
      </c>
      <c r="L12" s="68">
        <v>0</v>
      </c>
      <c r="O12" s="68">
        <v>1</v>
      </c>
      <c r="P12" s="68" t="s">
        <v>75</v>
      </c>
      <c r="Q12" s="1"/>
      <c r="R12" s="1" t="s">
        <v>76</v>
      </c>
      <c r="S12" s="68">
        <v>23</v>
      </c>
      <c r="U12" s="68">
        <v>24</v>
      </c>
      <c r="W12" s="1">
        <v>23</v>
      </c>
      <c r="X12" s="1">
        <v>15</v>
      </c>
      <c r="Y12" s="1" t="s">
        <v>2027</v>
      </c>
      <c r="Z12" s="68">
        <v>13</v>
      </c>
      <c r="AA12" s="13" t="b">
        <v>1</v>
      </c>
      <c r="AB12" s="1"/>
      <c r="AC12" s="57" t="s">
        <v>1265</v>
      </c>
      <c r="AD12" s="1"/>
      <c r="AE12" s="57"/>
      <c r="AF12" s="1"/>
      <c r="AG12" s="1"/>
      <c r="AH12" s="1"/>
      <c r="AI12" s="1"/>
      <c r="AJ12" s="1"/>
      <c r="AK12" s="1"/>
      <c r="AL12" s="1"/>
      <c r="AM12" s="1"/>
      <c r="AN12" s="1"/>
      <c r="AO12" s="1"/>
      <c r="AP12" s="1"/>
      <c r="AQ12" s="1"/>
    </row>
    <row r="13" spans="1:331" s="30" customFormat="1" x14ac:dyDescent="0.25">
      <c r="A13" s="30" t="s">
        <v>77</v>
      </c>
      <c r="B13" s="30" t="s">
        <v>78</v>
      </c>
      <c r="C13" s="1" t="s">
        <v>1646</v>
      </c>
      <c r="D13" s="30">
        <v>0</v>
      </c>
      <c r="H13" s="30" t="s">
        <v>79</v>
      </c>
      <c r="I13" s="30" t="s">
        <v>80</v>
      </c>
      <c r="J13" s="30" t="s">
        <v>79</v>
      </c>
      <c r="K13" s="30" t="s">
        <v>1653</v>
      </c>
      <c r="L13" s="30">
        <v>1</v>
      </c>
      <c r="M13" s="30" t="s">
        <v>81</v>
      </c>
      <c r="O13" s="30">
        <v>1</v>
      </c>
      <c r="Q13" s="1" t="s">
        <v>1484</v>
      </c>
      <c r="R13" s="1"/>
      <c r="T13" s="30">
        <v>12</v>
      </c>
      <c r="V13" s="30">
        <v>12</v>
      </c>
      <c r="W13" s="1">
        <v>12</v>
      </c>
      <c r="X13" s="1">
        <v>11</v>
      </c>
      <c r="Y13" s="1" t="s">
        <v>2028</v>
      </c>
      <c r="Z13" s="30">
        <v>6</v>
      </c>
      <c r="AA13" s="13" t="b">
        <v>1</v>
      </c>
      <c r="AB13" s="1"/>
      <c r="AC13" s="57" t="s">
        <v>1358</v>
      </c>
      <c r="AD13" s="1"/>
      <c r="AE13" s="57"/>
      <c r="AF13" s="1"/>
      <c r="AG13" s="1"/>
      <c r="AH13" s="1"/>
      <c r="AI13" s="1"/>
      <c r="AJ13" s="1"/>
      <c r="AK13" s="1"/>
      <c r="AL13" s="1"/>
      <c r="AM13" s="1"/>
      <c r="AN13" s="1"/>
      <c r="AO13" s="1"/>
      <c r="AP13" s="1"/>
      <c r="AQ13" s="1"/>
    </row>
    <row r="14" spans="1:331" s="30" customFormat="1" x14ac:dyDescent="0.25">
      <c r="A14" s="30" t="s">
        <v>82</v>
      </c>
      <c r="B14" s="30" t="s">
        <v>83</v>
      </c>
      <c r="C14" s="1" t="s">
        <v>1646</v>
      </c>
      <c r="D14" s="30">
        <v>3</v>
      </c>
      <c r="E14" s="30" t="s">
        <v>84</v>
      </c>
      <c r="F14" s="30" t="s">
        <v>84</v>
      </c>
      <c r="G14" s="30" t="s">
        <v>84</v>
      </c>
      <c r="H14" s="30" t="s">
        <v>85</v>
      </c>
      <c r="I14" s="30" t="s">
        <v>86</v>
      </c>
      <c r="J14" s="30" t="s">
        <v>87</v>
      </c>
      <c r="K14" s="30" t="s">
        <v>147</v>
      </c>
      <c r="L14" s="30">
        <v>0</v>
      </c>
      <c r="O14" s="30">
        <v>0</v>
      </c>
      <c r="Q14" s="1" t="s">
        <v>1485</v>
      </c>
      <c r="R14" s="1"/>
      <c r="T14" s="30">
        <v>5</v>
      </c>
      <c r="V14" s="30">
        <v>13</v>
      </c>
      <c r="W14" s="1">
        <v>5</v>
      </c>
      <c r="X14" s="1">
        <v>10</v>
      </c>
      <c r="Y14" s="1" t="s">
        <v>2029</v>
      </c>
      <c r="Z14" s="30">
        <v>6</v>
      </c>
      <c r="AA14" s="13" t="b">
        <v>1</v>
      </c>
      <c r="AB14" s="1" t="s">
        <v>1898</v>
      </c>
      <c r="AC14" s="57" t="s">
        <v>1267</v>
      </c>
      <c r="AD14" s="1"/>
      <c r="AE14" s="57"/>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row>
    <row r="15" spans="1:331" s="35" customFormat="1" x14ac:dyDescent="0.25">
      <c r="A15" s="35" t="s">
        <v>88</v>
      </c>
      <c r="B15" s="35" t="s">
        <v>89</v>
      </c>
      <c r="C15" s="1" t="s">
        <v>1646</v>
      </c>
      <c r="D15" s="35">
        <v>1</v>
      </c>
      <c r="E15" s="35" t="s">
        <v>90</v>
      </c>
      <c r="H15" s="35" t="s">
        <v>91</v>
      </c>
      <c r="I15" s="35" t="s">
        <v>92</v>
      </c>
      <c r="J15" s="35" t="s">
        <v>93</v>
      </c>
      <c r="K15" s="35" t="s">
        <v>90</v>
      </c>
      <c r="L15" s="35">
        <v>0</v>
      </c>
      <c r="O15" s="35">
        <v>1</v>
      </c>
      <c r="P15" s="35" t="s">
        <v>94</v>
      </c>
      <c r="Q15" s="1" t="s">
        <v>1486</v>
      </c>
      <c r="R15" s="1"/>
      <c r="T15" s="35">
        <v>8</v>
      </c>
      <c r="W15" s="1">
        <v>8</v>
      </c>
      <c r="X15" s="1">
        <v>10</v>
      </c>
      <c r="Y15" s="1" t="s">
        <v>2030</v>
      </c>
      <c r="Z15" s="35">
        <v>7</v>
      </c>
      <c r="AA15" s="13" t="b">
        <v>1</v>
      </c>
      <c r="AB15" s="1" t="s">
        <v>1890</v>
      </c>
      <c r="AC15" s="57" t="s">
        <v>1266</v>
      </c>
      <c r="AD15" s="1"/>
      <c r="AE15" s="57"/>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row>
    <row r="16" spans="1:331" s="35" customFormat="1" x14ac:dyDescent="0.25">
      <c r="A16" s="35" t="s">
        <v>95</v>
      </c>
      <c r="B16" s="35" t="s">
        <v>96</v>
      </c>
      <c r="C16" s="1" t="s">
        <v>1646</v>
      </c>
      <c r="D16" s="35">
        <v>2</v>
      </c>
      <c r="E16" s="35" t="s">
        <v>62</v>
      </c>
      <c r="F16" s="35" t="s">
        <v>62</v>
      </c>
      <c r="H16" s="35" t="s">
        <v>97</v>
      </c>
      <c r="I16" s="35" t="s">
        <v>98</v>
      </c>
      <c r="J16" s="35" t="s">
        <v>99</v>
      </c>
      <c r="K16" s="35" t="s">
        <v>62</v>
      </c>
      <c r="L16" s="35">
        <v>0</v>
      </c>
      <c r="O16" s="35">
        <v>1</v>
      </c>
      <c r="P16" s="35" t="s">
        <v>100</v>
      </c>
      <c r="Q16" s="1" t="s">
        <v>1487</v>
      </c>
      <c r="R16" s="1"/>
      <c r="S16" s="35">
        <v>15</v>
      </c>
      <c r="V16" s="35">
        <v>16</v>
      </c>
      <c r="W16" s="1">
        <v>15</v>
      </c>
      <c r="X16" s="1">
        <v>11</v>
      </c>
      <c r="Y16" s="1" t="s">
        <v>2031</v>
      </c>
      <c r="Z16" s="35">
        <v>7</v>
      </c>
      <c r="AA16" s="13" t="b">
        <v>1</v>
      </c>
      <c r="AB16" s="1"/>
      <c r="AC16" s="57" t="s">
        <v>1268</v>
      </c>
      <c r="AD16" s="1"/>
      <c r="AE16" s="57"/>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row>
    <row r="17" spans="1:331" s="35" customFormat="1" x14ac:dyDescent="0.25">
      <c r="A17" s="35" t="s">
        <v>101</v>
      </c>
      <c r="B17" s="35" t="s">
        <v>102</v>
      </c>
      <c r="C17" s="1" t="s">
        <v>1646</v>
      </c>
      <c r="D17" s="35">
        <v>2</v>
      </c>
      <c r="E17" s="35" t="s">
        <v>103</v>
      </c>
      <c r="F17" s="35" t="s">
        <v>103</v>
      </c>
      <c r="H17" s="35" t="s">
        <v>104</v>
      </c>
      <c r="I17" s="35" t="s">
        <v>103</v>
      </c>
      <c r="J17" s="35" t="s">
        <v>104</v>
      </c>
      <c r="K17" s="35" t="s">
        <v>104</v>
      </c>
      <c r="L17" s="35">
        <v>0</v>
      </c>
      <c r="O17" s="35">
        <v>1</v>
      </c>
      <c r="P17" s="35" t="s">
        <v>105</v>
      </c>
      <c r="Q17" s="1" t="s">
        <v>1488</v>
      </c>
      <c r="R17" s="1"/>
      <c r="S17" s="35">
        <v>11</v>
      </c>
      <c r="U17" s="35">
        <v>14</v>
      </c>
      <c r="W17" s="1">
        <v>11</v>
      </c>
      <c r="X17" s="1">
        <v>9</v>
      </c>
      <c r="Y17" s="1" t="s">
        <v>2032</v>
      </c>
      <c r="Z17" s="35">
        <v>7</v>
      </c>
      <c r="AA17" s="13" t="b">
        <v>1</v>
      </c>
      <c r="AB17" s="1" t="s">
        <v>1899</v>
      </c>
      <c r="AC17" s="57" t="s">
        <v>1446</v>
      </c>
      <c r="AD17" s="1"/>
      <c r="AE17" s="57"/>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row>
    <row r="18" spans="1:331" s="30" customFormat="1" x14ac:dyDescent="0.25">
      <c r="A18" s="30" t="s">
        <v>106</v>
      </c>
      <c r="B18" s="30" t="s">
        <v>107</v>
      </c>
      <c r="C18" s="1" t="s">
        <v>1646</v>
      </c>
      <c r="D18" s="30">
        <v>0</v>
      </c>
      <c r="H18" s="30" t="s">
        <v>108</v>
      </c>
      <c r="I18" s="30" t="s">
        <v>109</v>
      </c>
      <c r="J18" s="30" t="s">
        <v>110</v>
      </c>
      <c r="K18" s="30" t="s">
        <v>109</v>
      </c>
      <c r="L18" s="30">
        <v>1</v>
      </c>
      <c r="M18" s="30" t="s">
        <v>111</v>
      </c>
      <c r="O18" s="30">
        <v>1</v>
      </c>
      <c r="Q18" s="1" t="s">
        <v>1489</v>
      </c>
      <c r="R18" s="1"/>
      <c r="T18" s="30">
        <v>14</v>
      </c>
      <c r="V18" s="30">
        <v>15</v>
      </c>
      <c r="W18" s="1">
        <v>14</v>
      </c>
      <c r="X18" s="1">
        <v>16</v>
      </c>
      <c r="Y18" s="1" t="s">
        <v>2033</v>
      </c>
      <c r="Z18" s="30">
        <v>6</v>
      </c>
      <c r="AA18" s="13" t="b">
        <v>1</v>
      </c>
      <c r="AB18" s="1"/>
      <c r="AC18" s="57" t="s">
        <v>1269</v>
      </c>
      <c r="AD18" s="1"/>
      <c r="AE18" s="57"/>
      <c r="AF18" s="1"/>
      <c r="AG18" s="1"/>
      <c r="AH18" s="1"/>
      <c r="AI18" s="1"/>
      <c r="AJ18" s="1"/>
      <c r="AK18" s="1"/>
      <c r="AL18" s="1"/>
      <c r="AM18" s="1"/>
      <c r="AN18" s="1"/>
      <c r="AO18" s="1"/>
      <c r="AP18" s="1"/>
      <c r="AQ18" s="1"/>
    </row>
    <row r="19" spans="1:331" s="2" customFormat="1" x14ac:dyDescent="0.25">
      <c r="A19" s="2" t="s">
        <v>112</v>
      </c>
      <c r="B19" s="6">
        <v>2529312</v>
      </c>
      <c r="C19" s="13" t="s">
        <v>1646</v>
      </c>
      <c r="D19" s="2">
        <v>0</v>
      </c>
      <c r="H19" s="2" t="s">
        <v>113</v>
      </c>
      <c r="I19" s="2" t="s">
        <v>114</v>
      </c>
      <c r="J19" s="2" t="s">
        <v>115</v>
      </c>
      <c r="K19" s="2" t="s">
        <v>114</v>
      </c>
      <c r="L19" s="2">
        <v>2</v>
      </c>
      <c r="M19" s="2" t="s">
        <v>115</v>
      </c>
      <c r="N19" s="2" t="s">
        <v>115</v>
      </c>
      <c r="O19" s="2">
        <v>1</v>
      </c>
      <c r="Q19" s="1" t="s">
        <v>1490</v>
      </c>
      <c r="R19" s="1"/>
      <c r="T19" s="2">
        <v>5</v>
      </c>
      <c r="V19" s="2">
        <v>11</v>
      </c>
      <c r="W19" s="1">
        <v>5</v>
      </c>
      <c r="X19" s="1">
        <v>5</v>
      </c>
      <c r="Y19" s="1" t="s">
        <v>2034</v>
      </c>
      <c r="Z19" s="2">
        <v>2</v>
      </c>
      <c r="AA19" s="13" t="b">
        <v>1</v>
      </c>
      <c r="AB19" s="1" t="s">
        <v>1890</v>
      </c>
      <c r="AC19" s="57" t="s">
        <v>1271</v>
      </c>
      <c r="AD19" s="1"/>
      <c r="AE19" s="57"/>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row>
    <row r="20" spans="1:331" s="35" customFormat="1" x14ac:dyDescent="0.25">
      <c r="A20" s="35" t="s">
        <v>116</v>
      </c>
      <c r="B20" s="35" t="s">
        <v>117</v>
      </c>
      <c r="C20" s="1" t="s">
        <v>1646</v>
      </c>
      <c r="D20" s="35">
        <v>2</v>
      </c>
      <c r="E20" s="35" t="s">
        <v>118</v>
      </c>
      <c r="F20" s="35" t="s">
        <v>118</v>
      </c>
      <c r="H20" s="35" t="s">
        <v>118</v>
      </c>
      <c r="I20" s="35" t="s">
        <v>118</v>
      </c>
      <c r="J20" s="35" t="s">
        <v>119</v>
      </c>
      <c r="K20" s="35" t="s">
        <v>118</v>
      </c>
      <c r="L20" s="35">
        <v>0</v>
      </c>
      <c r="O20" s="35">
        <v>1</v>
      </c>
      <c r="P20" s="35" t="s">
        <v>119</v>
      </c>
      <c r="Q20" s="1" t="s">
        <v>1491</v>
      </c>
      <c r="R20" s="1"/>
      <c r="T20" s="35">
        <v>13</v>
      </c>
      <c r="V20" s="35">
        <v>14</v>
      </c>
      <c r="W20" s="1">
        <v>13</v>
      </c>
      <c r="X20" s="1">
        <v>16</v>
      </c>
      <c r="Y20" s="1" t="s">
        <v>2035</v>
      </c>
      <c r="Z20" s="35">
        <v>7</v>
      </c>
      <c r="AA20" s="13" t="b">
        <v>1</v>
      </c>
      <c r="AB20" s="1"/>
      <c r="AC20" s="57" t="s">
        <v>1270</v>
      </c>
      <c r="AD20" s="1"/>
      <c r="AE20" s="57"/>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row>
    <row r="21" spans="1:331" s="4" customFormat="1" x14ac:dyDescent="0.25">
      <c r="A21" s="4" t="s">
        <v>120</v>
      </c>
      <c r="B21" s="4" t="s">
        <v>121</v>
      </c>
      <c r="C21" s="1" t="s">
        <v>1646</v>
      </c>
      <c r="D21" s="4">
        <v>0</v>
      </c>
      <c r="H21" s="4" t="s">
        <v>122</v>
      </c>
      <c r="I21" s="4" t="s">
        <v>47</v>
      </c>
      <c r="J21" s="4" t="s">
        <v>123</v>
      </c>
      <c r="K21" s="4" t="s">
        <v>47</v>
      </c>
      <c r="L21" s="4">
        <v>1</v>
      </c>
      <c r="M21" s="4" t="s">
        <v>124</v>
      </c>
      <c r="O21" s="4">
        <v>1</v>
      </c>
      <c r="P21" s="4" t="s">
        <v>125</v>
      </c>
      <c r="Q21" s="1" t="s">
        <v>1492</v>
      </c>
      <c r="R21" s="1"/>
      <c r="S21" s="4">
        <v>8</v>
      </c>
      <c r="U21" s="4">
        <v>12</v>
      </c>
      <c r="W21" s="1">
        <v>8</v>
      </c>
      <c r="X21" s="1">
        <v>10</v>
      </c>
      <c r="Y21" s="1" t="s">
        <v>2036</v>
      </c>
      <c r="Z21" s="4">
        <v>4</v>
      </c>
      <c r="AA21" s="13" t="b">
        <v>1</v>
      </c>
      <c r="AB21" s="1" t="s">
        <v>1898</v>
      </c>
      <c r="AC21" s="57" t="s">
        <v>1235</v>
      </c>
      <c r="AD21" s="1"/>
      <c r="AE21" s="57"/>
      <c r="AF21" s="1"/>
      <c r="AG21" s="1"/>
      <c r="AH21" s="1"/>
      <c r="AI21" s="1"/>
      <c r="AJ21" s="1"/>
      <c r="AK21" s="1"/>
      <c r="AL21" s="1"/>
      <c r="AM21" s="1"/>
      <c r="AN21" s="1"/>
      <c r="AO21" s="1"/>
      <c r="AP21" s="1"/>
      <c r="AQ21" s="1"/>
    </row>
    <row r="22" spans="1:331" s="40" customFormat="1" x14ac:dyDescent="0.25">
      <c r="A22" s="40" t="s">
        <v>126</v>
      </c>
      <c r="B22" s="44" t="s">
        <v>127</v>
      </c>
      <c r="C22" s="13" t="s">
        <v>1646</v>
      </c>
      <c r="D22" s="40">
        <v>0</v>
      </c>
      <c r="H22" s="40" t="s">
        <v>128</v>
      </c>
      <c r="I22" s="40" t="s">
        <v>129</v>
      </c>
      <c r="J22" s="40" t="s">
        <v>130</v>
      </c>
      <c r="K22" s="40" t="s">
        <v>129</v>
      </c>
      <c r="L22" s="40">
        <v>0</v>
      </c>
      <c r="O22" s="40">
        <v>1</v>
      </c>
      <c r="P22" s="40" t="s">
        <v>131</v>
      </c>
      <c r="Q22" s="1"/>
      <c r="R22" s="1" t="s">
        <v>132</v>
      </c>
      <c r="T22" s="40">
        <v>24</v>
      </c>
      <c r="V22" s="40">
        <v>17</v>
      </c>
      <c r="W22" s="1">
        <v>24</v>
      </c>
      <c r="X22" s="1">
        <v>18</v>
      </c>
      <c r="Y22" s="1" t="s">
        <v>2037</v>
      </c>
      <c r="Z22" s="40">
        <v>8</v>
      </c>
      <c r="AA22" s="13" t="b">
        <v>1</v>
      </c>
      <c r="AB22" s="1" t="s">
        <v>1898</v>
      </c>
      <c r="AC22" s="57" t="s">
        <v>1272</v>
      </c>
      <c r="AD22" s="1"/>
      <c r="AE22" s="57"/>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row>
    <row r="23" spans="1:331" s="35" customFormat="1" x14ac:dyDescent="0.25">
      <c r="A23" s="35" t="s">
        <v>133</v>
      </c>
      <c r="B23" s="35" t="s">
        <v>134</v>
      </c>
      <c r="C23" s="1" t="s">
        <v>1646</v>
      </c>
      <c r="D23" s="35">
        <v>1</v>
      </c>
      <c r="E23" s="35" t="s">
        <v>135</v>
      </c>
      <c r="H23" s="35" t="s">
        <v>136</v>
      </c>
      <c r="I23" s="35" t="s">
        <v>135</v>
      </c>
      <c r="J23" s="35" t="s">
        <v>136</v>
      </c>
      <c r="K23" s="35" t="s">
        <v>135</v>
      </c>
      <c r="L23" s="35">
        <v>0</v>
      </c>
      <c r="O23" s="35">
        <v>1</v>
      </c>
      <c r="Q23" s="1"/>
      <c r="R23" s="1" t="s">
        <v>137</v>
      </c>
      <c r="T23" s="35">
        <v>9</v>
      </c>
      <c r="V23" s="35">
        <v>12</v>
      </c>
      <c r="W23" s="1">
        <v>9</v>
      </c>
      <c r="X23" s="1">
        <v>12</v>
      </c>
      <c r="Y23" s="1" t="s">
        <v>2038</v>
      </c>
      <c r="Z23" s="35">
        <v>7</v>
      </c>
      <c r="AA23" s="13" t="b">
        <v>1</v>
      </c>
      <c r="AB23" s="1" t="b">
        <v>1</v>
      </c>
      <c r="AC23" s="57" t="s">
        <v>1273</v>
      </c>
      <c r="AD23" s="1"/>
      <c r="AE23" t="s">
        <v>1863</v>
      </c>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row>
    <row r="24" spans="1:331" s="4" customFormat="1" x14ac:dyDescent="0.25">
      <c r="A24" s="4" t="s">
        <v>138</v>
      </c>
      <c r="B24" s="7" t="s">
        <v>139</v>
      </c>
      <c r="C24" s="13" t="s">
        <v>1646</v>
      </c>
      <c r="D24" s="4">
        <v>0</v>
      </c>
      <c r="H24" s="4" t="s">
        <v>140</v>
      </c>
      <c r="I24" s="4" t="s">
        <v>122</v>
      </c>
      <c r="J24" s="4" t="s">
        <v>141</v>
      </c>
      <c r="K24" s="4" t="s">
        <v>122</v>
      </c>
      <c r="L24" s="4">
        <v>1</v>
      </c>
      <c r="M24" s="4" t="s">
        <v>142</v>
      </c>
      <c r="O24" s="4">
        <v>1</v>
      </c>
      <c r="P24" s="4" t="s">
        <v>125</v>
      </c>
      <c r="Q24" s="1" t="s">
        <v>714</v>
      </c>
      <c r="R24" s="1"/>
      <c r="S24" s="4">
        <v>33</v>
      </c>
      <c r="U24" s="4">
        <v>30</v>
      </c>
      <c r="W24" s="1">
        <v>33</v>
      </c>
      <c r="X24" s="1">
        <v>15</v>
      </c>
      <c r="Y24" s="1" t="s">
        <v>2039</v>
      </c>
      <c r="Z24" s="4">
        <v>4</v>
      </c>
      <c r="AA24" s="13" t="b">
        <v>1</v>
      </c>
      <c r="AB24" s="1" t="s">
        <v>1893</v>
      </c>
      <c r="AC24" s="57" t="s">
        <v>1450</v>
      </c>
      <c r="AD24" s="1"/>
      <c r="AE24" s="57"/>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row>
    <row r="25" spans="1:331" s="35" customFormat="1" x14ac:dyDescent="0.25">
      <c r="A25" s="35" t="s">
        <v>143</v>
      </c>
      <c r="B25" s="35">
        <v>1441420</v>
      </c>
      <c r="C25" s="1" t="s">
        <v>1646</v>
      </c>
      <c r="D25" s="35">
        <v>1</v>
      </c>
      <c r="E25" s="35" t="s">
        <v>144</v>
      </c>
      <c r="H25" s="35" t="s">
        <v>145</v>
      </c>
      <c r="I25" s="35" t="s">
        <v>144</v>
      </c>
      <c r="J25" s="35" t="s">
        <v>145</v>
      </c>
      <c r="K25" s="35" t="s">
        <v>1654</v>
      </c>
      <c r="L25" s="35">
        <v>0</v>
      </c>
      <c r="O25" s="35">
        <v>1</v>
      </c>
      <c r="Q25" s="1"/>
      <c r="R25" s="13" t="s">
        <v>1960</v>
      </c>
      <c r="T25" s="35">
        <v>15</v>
      </c>
      <c r="V25" s="35">
        <v>16</v>
      </c>
      <c r="W25" s="1">
        <v>15</v>
      </c>
      <c r="X25" s="1">
        <v>19</v>
      </c>
      <c r="Y25" s="1" t="s">
        <v>2040</v>
      </c>
      <c r="Z25" s="35">
        <v>7</v>
      </c>
      <c r="AA25" s="13" t="b">
        <v>1</v>
      </c>
      <c r="AB25" s="1" t="s">
        <v>1893</v>
      </c>
      <c r="AC25" s="57" t="s">
        <v>1961</v>
      </c>
      <c r="AD25" s="1"/>
      <c r="AE25" s="57"/>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row>
    <row r="26" spans="1:331" s="45" customFormat="1" x14ac:dyDescent="0.25">
      <c r="A26" s="45" t="s">
        <v>146</v>
      </c>
      <c r="B26" s="47"/>
      <c r="C26" s="13" t="s">
        <v>1646</v>
      </c>
      <c r="D26" s="45">
        <v>3</v>
      </c>
      <c r="E26" s="45" t="s">
        <v>147</v>
      </c>
      <c r="F26" s="45" t="s">
        <v>147</v>
      </c>
      <c r="G26" s="45" t="s">
        <v>147</v>
      </c>
      <c r="H26" s="45" t="s">
        <v>148</v>
      </c>
      <c r="I26" s="45" t="s">
        <v>147</v>
      </c>
      <c r="J26" s="45" t="s">
        <v>87</v>
      </c>
      <c r="K26" s="45" t="s">
        <v>147</v>
      </c>
      <c r="L26" s="45">
        <v>0</v>
      </c>
      <c r="O26" s="45">
        <v>0</v>
      </c>
      <c r="Q26" s="1" t="s">
        <v>1493</v>
      </c>
      <c r="R26" s="1"/>
      <c r="T26" s="45">
        <v>8</v>
      </c>
      <c r="W26" s="1"/>
      <c r="X26" s="1"/>
      <c r="Y26" s="1"/>
      <c r="Z26" s="45">
        <v>-1</v>
      </c>
      <c r="AA26" s="13" t="b">
        <v>0</v>
      </c>
      <c r="AB26" s="1"/>
      <c r="AC26" s="57" t="s">
        <v>1232</v>
      </c>
      <c r="AD26" s="1"/>
      <c r="AE26" s="57"/>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row>
    <row r="27" spans="1:331" s="40" customFormat="1" x14ac:dyDescent="0.25">
      <c r="A27" s="40" t="s">
        <v>149</v>
      </c>
      <c r="B27" s="40" t="s">
        <v>150</v>
      </c>
      <c r="C27" s="1" t="s">
        <v>1646</v>
      </c>
      <c r="D27" s="40">
        <v>0</v>
      </c>
      <c r="H27" s="40" t="s">
        <v>151</v>
      </c>
      <c r="I27" s="40" t="s">
        <v>152</v>
      </c>
      <c r="J27" s="40" t="s">
        <v>153</v>
      </c>
      <c r="K27" s="40" t="s">
        <v>151</v>
      </c>
      <c r="L27" s="40">
        <v>0</v>
      </c>
      <c r="O27" s="40">
        <v>1</v>
      </c>
      <c r="P27" s="40" t="s">
        <v>154</v>
      </c>
      <c r="Q27" s="1" t="s">
        <v>1494</v>
      </c>
      <c r="R27" s="1"/>
      <c r="S27" s="40">
        <v>13</v>
      </c>
      <c r="U27" s="40">
        <v>12</v>
      </c>
      <c r="W27" s="1">
        <v>13</v>
      </c>
      <c r="X27" s="1">
        <v>12</v>
      </c>
      <c r="Y27" s="1" t="s">
        <v>2041</v>
      </c>
      <c r="Z27" s="40">
        <v>8</v>
      </c>
      <c r="AA27" s="13" t="b">
        <v>1</v>
      </c>
      <c r="AB27" s="1"/>
      <c r="AC27" s="57" t="s">
        <v>1275</v>
      </c>
      <c r="AD27" s="1"/>
      <c r="AE27" s="57"/>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row>
    <row r="28" spans="1:331" s="25" customFormat="1" x14ac:dyDescent="0.25">
      <c r="A28" s="25" t="s">
        <v>155</v>
      </c>
      <c r="B28" s="29" t="s">
        <v>156</v>
      </c>
      <c r="C28" s="13" t="s">
        <v>1646</v>
      </c>
      <c r="D28" s="25">
        <v>0</v>
      </c>
      <c r="H28" s="25" t="s">
        <v>157</v>
      </c>
      <c r="I28" s="25" t="s">
        <v>158</v>
      </c>
      <c r="J28" s="25" t="s">
        <v>157</v>
      </c>
      <c r="K28" s="25" t="s">
        <v>158</v>
      </c>
      <c r="L28" s="25">
        <v>0</v>
      </c>
      <c r="O28" s="25">
        <v>1</v>
      </c>
      <c r="Q28" s="1" t="s">
        <v>1495</v>
      </c>
      <c r="R28" s="1"/>
      <c r="T28" s="25">
        <v>3</v>
      </c>
      <c r="W28" s="1">
        <v>3</v>
      </c>
      <c r="X28" s="1">
        <v>16</v>
      </c>
      <c r="Y28" s="1" t="s">
        <v>2042</v>
      </c>
      <c r="Z28" s="25">
        <v>5</v>
      </c>
      <c r="AA28" s="13" t="b">
        <v>1</v>
      </c>
      <c r="AB28" s="1"/>
      <c r="AC28" s="57" t="s">
        <v>1276</v>
      </c>
      <c r="AD28" s="1"/>
      <c r="AE28" s="57"/>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row>
    <row r="29" spans="1:331" s="40" customFormat="1" x14ac:dyDescent="0.25">
      <c r="A29" s="40" t="s">
        <v>159</v>
      </c>
      <c r="B29" s="40" t="s">
        <v>160</v>
      </c>
      <c r="C29" s="1" t="s">
        <v>1646</v>
      </c>
      <c r="D29" s="40">
        <v>0</v>
      </c>
      <c r="H29" s="40" t="s">
        <v>161</v>
      </c>
      <c r="I29" s="40" t="s">
        <v>162</v>
      </c>
      <c r="J29" s="40" t="s">
        <v>163</v>
      </c>
      <c r="K29" s="40" t="s">
        <v>1655</v>
      </c>
      <c r="L29" s="40">
        <v>0</v>
      </c>
      <c r="O29" s="40">
        <v>1</v>
      </c>
      <c r="P29" s="40" t="s">
        <v>163</v>
      </c>
      <c r="Q29" s="1" t="s">
        <v>606</v>
      </c>
      <c r="R29" s="1"/>
      <c r="T29" s="40">
        <v>20</v>
      </c>
      <c r="W29" s="1">
        <v>20</v>
      </c>
      <c r="X29" s="1">
        <v>17</v>
      </c>
      <c r="Y29" s="1" t="s">
        <v>2043</v>
      </c>
      <c r="Z29" s="40">
        <v>8</v>
      </c>
      <c r="AA29" s="13" t="b">
        <v>1</v>
      </c>
      <c r="AB29" s="1" t="s">
        <v>1894</v>
      </c>
      <c r="AC29" s="57" t="s">
        <v>1277</v>
      </c>
      <c r="AD29" s="1"/>
      <c r="AE29" s="57"/>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row>
    <row r="30" spans="1:331" s="40" customFormat="1" x14ac:dyDescent="0.25">
      <c r="A30" s="40" t="s">
        <v>164</v>
      </c>
      <c r="B30" s="40" t="s">
        <v>165</v>
      </c>
      <c r="C30" s="1" t="s">
        <v>1646</v>
      </c>
      <c r="D30" s="40">
        <v>0</v>
      </c>
      <c r="H30" s="40" t="s">
        <v>166</v>
      </c>
      <c r="I30" s="40" t="s">
        <v>167</v>
      </c>
      <c r="J30" s="40" t="s">
        <v>168</v>
      </c>
      <c r="K30" s="40" t="s">
        <v>166</v>
      </c>
      <c r="L30" s="40">
        <v>0</v>
      </c>
      <c r="O30" s="40">
        <v>1</v>
      </c>
      <c r="P30" s="40" t="s">
        <v>169</v>
      </c>
      <c r="Q30" s="1"/>
      <c r="R30" s="1" t="s">
        <v>170</v>
      </c>
      <c r="S30" s="40">
        <v>15</v>
      </c>
      <c r="U30" s="40">
        <v>15</v>
      </c>
      <c r="W30" s="1">
        <v>15</v>
      </c>
      <c r="X30" s="1">
        <v>15</v>
      </c>
      <c r="Y30" s="1" t="s">
        <v>2044</v>
      </c>
      <c r="Z30" s="40">
        <v>8</v>
      </c>
      <c r="AA30" s="13" t="b">
        <v>1</v>
      </c>
      <c r="AB30" s="1"/>
      <c r="AC30" s="57" t="s">
        <v>1278</v>
      </c>
      <c r="AD30" s="1"/>
      <c r="AE30" s="57"/>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row>
    <row r="31" spans="1:331" s="40" customFormat="1" x14ac:dyDescent="0.25">
      <c r="A31" s="40" t="s">
        <v>171</v>
      </c>
      <c r="B31" s="40" t="s">
        <v>172</v>
      </c>
      <c r="C31" s="1" t="s">
        <v>1646</v>
      </c>
      <c r="D31" s="40">
        <v>0</v>
      </c>
      <c r="H31" s="40" t="s">
        <v>173</v>
      </c>
      <c r="I31" s="40" t="s">
        <v>174</v>
      </c>
      <c r="J31" s="40" t="s">
        <v>173</v>
      </c>
      <c r="K31" s="40" t="s">
        <v>173</v>
      </c>
      <c r="L31" s="40">
        <v>0</v>
      </c>
      <c r="O31" s="40">
        <v>1</v>
      </c>
      <c r="P31" s="40" t="s">
        <v>175</v>
      </c>
      <c r="Q31" s="1" t="s">
        <v>509</v>
      </c>
      <c r="R31" s="1"/>
      <c r="S31" s="40">
        <v>6</v>
      </c>
      <c r="T31" s="40">
        <v>22</v>
      </c>
      <c r="V31" s="40">
        <v>21</v>
      </c>
      <c r="W31" s="1">
        <v>22</v>
      </c>
      <c r="X31" s="1">
        <v>17</v>
      </c>
      <c r="Y31" s="1" t="s">
        <v>2045</v>
      </c>
      <c r="Z31" s="40">
        <v>8</v>
      </c>
      <c r="AA31" s="13" t="b">
        <v>1</v>
      </c>
      <c r="AB31" s="1"/>
      <c r="AC31" s="57" t="s">
        <v>1279</v>
      </c>
      <c r="AD31" s="1"/>
      <c r="AE31" s="57"/>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row>
    <row r="32" spans="1:331" s="45" customFormat="1" x14ac:dyDescent="0.25">
      <c r="A32" s="45" t="s">
        <v>176</v>
      </c>
      <c r="B32" s="45" t="s">
        <v>177</v>
      </c>
      <c r="C32" s="1" t="s">
        <v>1646</v>
      </c>
      <c r="D32" s="45">
        <v>0</v>
      </c>
      <c r="H32" s="45" t="s">
        <v>178</v>
      </c>
      <c r="I32" s="45" t="s">
        <v>179</v>
      </c>
      <c r="J32" s="45" t="s">
        <v>180</v>
      </c>
      <c r="K32" s="45" t="s">
        <v>179</v>
      </c>
      <c r="L32" s="45">
        <v>0</v>
      </c>
      <c r="O32" s="45">
        <v>1</v>
      </c>
      <c r="P32" s="45" t="s">
        <v>180</v>
      </c>
      <c r="Q32" s="1" t="s">
        <v>174</v>
      </c>
      <c r="R32" s="1"/>
      <c r="S32" s="45">
        <v>18</v>
      </c>
      <c r="W32" s="1"/>
      <c r="X32" s="1"/>
      <c r="Y32" s="1"/>
      <c r="Z32" s="45">
        <v>-1</v>
      </c>
      <c r="AA32" s="13" t="b">
        <v>0</v>
      </c>
      <c r="AB32" s="1" t="s">
        <v>1890</v>
      </c>
      <c r="AC32" s="57" t="s">
        <v>1923</v>
      </c>
      <c r="AD32" s="1"/>
      <c r="AE32" s="57"/>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row>
    <row r="33" spans="1:331" s="40" customFormat="1" x14ac:dyDescent="0.25">
      <c r="A33" s="40" t="s">
        <v>181</v>
      </c>
      <c r="B33" s="40" t="s">
        <v>182</v>
      </c>
      <c r="C33" s="1" t="s">
        <v>1646</v>
      </c>
      <c r="D33" s="40">
        <v>0</v>
      </c>
      <c r="H33" s="40" t="s">
        <v>183</v>
      </c>
      <c r="I33" s="40" t="s">
        <v>184</v>
      </c>
      <c r="J33" s="40" t="s">
        <v>185</v>
      </c>
      <c r="K33" s="40" t="s">
        <v>184</v>
      </c>
      <c r="L33" s="40">
        <v>0</v>
      </c>
      <c r="O33" s="40">
        <v>1</v>
      </c>
      <c r="P33" s="40" t="s">
        <v>186</v>
      </c>
      <c r="Q33" s="1" t="s">
        <v>1496</v>
      </c>
      <c r="R33" s="1"/>
      <c r="S33" s="40">
        <v>12</v>
      </c>
      <c r="U33" s="40">
        <v>14</v>
      </c>
      <c r="W33" s="1">
        <v>12</v>
      </c>
      <c r="X33" s="1">
        <v>13</v>
      </c>
      <c r="Y33" s="1" t="s">
        <v>2046</v>
      </c>
      <c r="Z33" s="40">
        <v>8</v>
      </c>
      <c r="AA33" s="13" t="b">
        <v>1</v>
      </c>
      <c r="AB33" s="1"/>
      <c r="AC33" s="57" t="s">
        <v>1280</v>
      </c>
      <c r="AD33" s="1"/>
      <c r="AE33" s="57"/>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row>
    <row r="34" spans="1:331" s="49" customFormat="1" x14ac:dyDescent="0.25">
      <c r="A34" s="49" t="s">
        <v>187</v>
      </c>
      <c r="B34" s="49" t="s">
        <v>188</v>
      </c>
      <c r="C34" s="1" t="s">
        <v>1646</v>
      </c>
      <c r="D34" s="49">
        <v>0</v>
      </c>
      <c r="H34" s="49" t="s">
        <v>189</v>
      </c>
      <c r="I34" s="49" t="s">
        <v>189</v>
      </c>
      <c r="J34" s="49" t="s">
        <v>189</v>
      </c>
      <c r="K34" s="49" t="s">
        <v>189</v>
      </c>
      <c r="L34" s="49">
        <v>0</v>
      </c>
      <c r="O34" s="49">
        <v>1</v>
      </c>
      <c r="Q34" s="1"/>
      <c r="R34" s="1" t="s">
        <v>190</v>
      </c>
      <c r="S34" s="49">
        <v>10</v>
      </c>
      <c r="U34" s="49">
        <v>10</v>
      </c>
      <c r="W34" s="1">
        <v>10</v>
      </c>
      <c r="X34" s="1">
        <v>10</v>
      </c>
      <c r="Y34" s="1" t="s">
        <v>2047</v>
      </c>
      <c r="Z34" s="49">
        <v>9</v>
      </c>
      <c r="AA34" s="13" t="b">
        <v>1</v>
      </c>
      <c r="AB34" s="1"/>
      <c r="AC34" s="57" t="s">
        <v>1281</v>
      </c>
      <c r="AD34" s="1"/>
      <c r="AE34" s="57"/>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row>
    <row r="35" spans="1:331" s="40" customFormat="1" x14ac:dyDescent="0.25">
      <c r="A35" s="40" t="s">
        <v>191</v>
      </c>
      <c r="B35" s="40" t="s">
        <v>192</v>
      </c>
      <c r="C35" s="1" t="s">
        <v>1646</v>
      </c>
      <c r="D35" s="40">
        <v>0</v>
      </c>
      <c r="H35" s="40" t="s">
        <v>193</v>
      </c>
      <c r="I35" s="40" t="s">
        <v>193</v>
      </c>
      <c r="J35" s="40" t="s">
        <v>194</v>
      </c>
      <c r="K35" s="40" t="s">
        <v>193</v>
      </c>
      <c r="L35" s="40">
        <v>0</v>
      </c>
      <c r="O35" s="40">
        <v>1</v>
      </c>
      <c r="P35" s="40" t="s">
        <v>194</v>
      </c>
      <c r="Q35" s="1" t="s">
        <v>178</v>
      </c>
      <c r="R35" s="1"/>
      <c r="S35" s="40">
        <v>8</v>
      </c>
      <c r="U35" s="40">
        <v>18</v>
      </c>
      <c r="W35" s="1">
        <v>8</v>
      </c>
      <c r="X35" s="1">
        <v>12</v>
      </c>
      <c r="Y35" s="1" t="s">
        <v>2048</v>
      </c>
      <c r="Z35" s="40">
        <v>8</v>
      </c>
      <c r="AA35" s="13" t="b">
        <v>1</v>
      </c>
      <c r="AB35" s="1" t="s">
        <v>1898</v>
      </c>
      <c r="AC35" s="57" t="s">
        <v>1303</v>
      </c>
      <c r="AD35" s="1"/>
      <c r="AE35" s="57"/>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row>
    <row r="36" spans="1:331" s="40" customFormat="1" x14ac:dyDescent="0.25">
      <c r="A36" s="40" t="s">
        <v>195</v>
      </c>
      <c r="B36" s="40" t="s">
        <v>196</v>
      </c>
      <c r="C36" s="1" t="s">
        <v>1646</v>
      </c>
      <c r="D36" s="40">
        <v>0</v>
      </c>
      <c r="H36" s="40" t="s">
        <v>197</v>
      </c>
      <c r="I36" s="40" t="s">
        <v>197</v>
      </c>
      <c r="J36" s="40" t="s">
        <v>197</v>
      </c>
      <c r="K36" s="40" t="s">
        <v>197</v>
      </c>
      <c r="L36" s="40">
        <v>0</v>
      </c>
      <c r="O36" s="40">
        <v>1</v>
      </c>
      <c r="P36" s="40" t="s">
        <v>198</v>
      </c>
      <c r="Q36" s="1" t="s">
        <v>1497</v>
      </c>
      <c r="R36" s="1"/>
      <c r="S36" s="40">
        <v>18</v>
      </c>
      <c r="U36" s="40">
        <v>15</v>
      </c>
      <c r="W36" s="1">
        <v>18</v>
      </c>
      <c r="X36" s="1">
        <v>22</v>
      </c>
      <c r="Y36" s="1" t="s">
        <v>2049</v>
      </c>
      <c r="Z36" s="40">
        <v>8</v>
      </c>
      <c r="AA36" s="13" t="b">
        <v>1</v>
      </c>
      <c r="AB36" s="1"/>
      <c r="AC36" s="57" t="s">
        <v>1285</v>
      </c>
      <c r="AD36" s="1"/>
      <c r="AE36" s="57"/>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row>
    <row r="37" spans="1:331" s="40" customFormat="1" x14ac:dyDescent="0.25">
      <c r="A37" s="40" t="s">
        <v>199</v>
      </c>
      <c r="B37" s="40" t="s">
        <v>200</v>
      </c>
      <c r="C37" s="1" t="s">
        <v>1646</v>
      </c>
      <c r="D37" s="40">
        <v>0</v>
      </c>
      <c r="H37" s="40" t="s">
        <v>201</v>
      </c>
      <c r="I37" s="40" t="s">
        <v>201</v>
      </c>
      <c r="J37" s="40" t="s">
        <v>201</v>
      </c>
      <c r="K37" s="40" t="s">
        <v>201</v>
      </c>
      <c r="L37" s="40">
        <v>0</v>
      </c>
      <c r="O37" s="40">
        <v>1</v>
      </c>
      <c r="P37" s="40" t="s">
        <v>202</v>
      </c>
      <c r="Q37" s="1" t="s">
        <v>1498</v>
      </c>
      <c r="R37" s="1"/>
      <c r="S37" s="40">
        <v>16</v>
      </c>
      <c r="U37" s="40">
        <v>8</v>
      </c>
      <c r="W37" s="1">
        <v>16</v>
      </c>
      <c r="X37" s="1">
        <v>8</v>
      </c>
      <c r="Y37" s="1" t="s">
        <v>2050</v>
      </c>
      <c r="Z37" s="40">
        <v>8</v>
      </c>
      <c r="AA37" s="13" t="b">
        <v>1</v>
      </c>
      <c r="AB37" s="1" t="s">
        <v>1898</v>
      </c>
      <c r="AC37" s="57" t="s">
        <v>1305</v>
      </c>
      <c r="AD37" s="1"/>
      <c r="AE37" s="57"/>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row>
    <row r="38" spans="1:331" s="40" customFormat="1" x14ac:dyDescent="0.25">
      <c r="A38" s="40" t="s">
        <v>203</v>
      </c>
      <c r="B38" s="40" t="s">
        <v>204</v>
      </c>
      <c r="C38" s="1" t="s">
        <v>1646</v>
      </c>
      <c r="D38" s="40">
        <v>0</v>
      </c>
      <c r="H38" s="40" t="s">
        <v>205</v>
      </c>
      <c r="I38" s="40" t="s">
        <v>205</v>
      </c>
      <c r="J38" s="40" t="s">
        <v>206</v>
      </c>
      <c r="K38" s="40" t="s">
        <v>205</v>
      </c>
      <c r="L38" s="40">
        <v>0</v>
      </c>
      <c r="O38" s="40">
        <v>1</v>
      </c>
      <c r="P38" s="40" t="s">
        <v>207</v>
      </c>
      <c r="Q38" s="1" t="s">
        <v>1499</v>
      </c>
      <c r="R38" s="1"/>
      <c r="S38" s="40">
        <v>16</v>
      </c>
      <c r="U38" s="40">
        <v>10</v>
      </c>
      <c r="W38" s="1">
        <v>16</v>
      </c>
      <c r="X38" s="1">
        <v>16</v>
      </c>
      <c r="Y38" s="1" t="s">
        <v>2051</v>
      </c>
      <c r="Z38" s="40">
        <v>8</v>
      </c>
      <c r="AA38" s="13" t="b">
        <v>1</v>
      </c>
      <c r="AB38" s="1" t="s">
        <v>1898</v>
      </c>
      <c r="AC38" s="57" t="s">
        <v>1306</v>
      </c>
      <c r="AD38" s="1"/>
      <c r="AE38" s="57"/>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row>
    <row r="39" spans="1:331" s="25" customFormat="1" x14ac:dyDescent="0.25">
      <c r="A39" s="25" t="s">
        <v>208</v>
      </c>
      <c r="B39" s="29" t="s">
        <v>209</v>
      </c>
      <c r="C39" s="13" t="s">
        <v>1646</v>
      </c>
      <c r="D39" s="25">
        <v>0</v>
      </c>
      <c r="H39" s="25" t="s">
        <v>210</v>
      </c>
      <c r="I39" s="25" t="s">
        <v>211</v>
      </c>
      <c r="J39" s="25" t="s">
        <v>210</v>
      </c>
      <c r="K39" s="25" t="s">
        <v>775</v>
      </c>
      <c r="L39" s="25">
        <v>0</v>
      </c>
      <c r="O39" s="25">
        <v>1</v>
      </c>
      <c r="Q39" s="1" t="s">
        <v>1500</v>
      </c>
      <c r="R39" s="1"/>
      <c r="T39" s="25">
        <v>10</v>
      </c>
      <c r="V39" s="25">
        <v>11</v>
      </c>
      <c r="W39" s="1">
        <v>10</v>
      </c>
      <c r="X39" s="1">
        <v>14</v>
      </c>
      <c r="Y39" s="1" t="s">
        <v>2052</v>
      </c>
      <c r="Z39" s="25">
        <v>5</v>
      </c>
      <c r="AA39" s="13" t="b">
        <v>1</v>
      </c>
      <c r="AB39" s="1"/>
      <c r="AC39" s="57" t="s">
        <v>1307</v>
      </c>
      <c r="AD39" s="1"/>
      <c r="AE39" s="57"/>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row>
    <row r="40" spans="1:331" s="25" customFormat="1" x14ac:dyDescent="0.25">
      <c r="A40" s="25" t="s">
        <v>212</v>
      </c>
      <c r="B40" s="29" t="s">
        <v>213</v>
      </c>
      <c r="C40" s="13" t="s">
        <v>1646</v>
      </c>
      <c r="D40" s="25">
        <v>0</v>
      </c>
      <c r="H40" s="25" t="s">
        <v>214</v>
      </c>
      <c r="I40" s="25" t="s">
        <v>214</v>
      </c>
      <c r="J40" s="25" t="s">
        <v>214</v>
      </c>
      <c r="K40" s="25" t="s">
        <v>214</v>
      </c>
      <c r="L40" s="25">
        <v>0</v>
      </c>
      <c r="O40" s="25">
        <v>0</v>
      </c>
      <c r="Q40" s="1" t="s">
        <v>1501</v>
      </c>
      <c r="R40" s="1"/>
      <c r="S40" s="25">
        <v>28</v>
      </c>
      <c r="W40" s="1">
        <v>28</v>
      </c>
      <c r="X40" s="1">
        <v>8</v>
      </c>
      <c r="Y40" s="1" t="s">
        <v>2053</v>
      </c>
      <c r="Z40" s="25">
        <v>5</v>
      </c>
      <c r="AA40" s="13" t="b">
        <v>1</v>
      </c>
      <c r="AB40" s="1" t="s">
        <v>1901</v>
      </c>
      <c r="AC40" s="57" t="s">
        <v>1304</v>
      </c>
      <c r="AD40" s="1"/>
      <c r="AE40" s="57"/>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row>
    <row r="41" spans="1:331" s="25" customFormat="1" x14ac:dyDescent="0.25">
      <c r="A41" s="25" t="s">
        <v>215</v>
      </c>
      <c r="B41" s="29" t="s">
        <v>216</v>
      </c>
      <c r="C41" s="13" t="s">
        <v>1646</v>
      </c>
      <c r="D41" s="25">
        <v>0</v>
      </c>
      <c r="H41" s="25" t="s">
        <v>217</v>
      </c>
      <c r="I41" s="25" t="s">
        <v>218</v>
      </c>
      <c r="J41" s="25" t="s">
        <v>217</v>
      </c>
      <c r="K41" s="25" t="s">
        <v>218</v>
      </c>
      <c r="L41" s="25">
        <v>0</v>
      </c>
      <c r="O41" s="25">
        <v>1</v>
      </c>
      <c r="Q41" s="1" t="s">
        <v>1502</v>
      </c>
      <c r="R41" s="1"/>
      <c r="S41" s="25">
        <v>8</v>
      </c>
      <c r="U41" s="25">
        <v>10</v>
      </c>
      <c r="W41" s="1">
        <v>8</v>
      </c>
      <c r="X41" s="1">
        <v>11</v>
      </c>
      <c r="Y41" s="1" t="s">
        <v>2054</v>
      </c>
      <c r="Z41" s="25">
        <v>5</v>
      </c>
      <c r="AA41" s="13" t="b">
        <v>1</v>
      </c>
      <c r="AB41" s="1"/>
      <c r="AC41" s="57" t="s">
        <v>1308</v>
      </c>
      <c r="AD41" s="1"/>
      <c r="AE41" s="57"/>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row>
    <row r="42" spans="1:331" s="40" customFormat="1" x14ac:dyDescent="0.25">
      <c r="A42" s="40" t="s">
        <v>219</v>
      </c>
      <c r="B42" s="40">
        <v>2715450</v>
      </c>
      <c r="C42" s="1" t="s">
        <v>1646</v>
      </c>
      <c r="D42" s="40">
        <v>0</v>
      </c>
      <c r="H42" s="40" t="s">
        <v>220</v>
      </c>
      <c r="I42" s="40" t="s">
        <v>221</v>
      </c>
      <c r="J42" s="40" t="s">
        <v>222</v>
      </c>
      <c r="K42" s="40" t="s">
        <v>1656</v>
      </c>
      <c r="L42" s="40">
        <v>0</v>
      </c>
      <c r="O42" s="40">
        <v>1</v>
      </c>
      <c r="P42" s="40" t="s">
        <v>223</v>
      </c>
      <c r="Q42" s="1" t="s">
        <v>1503</v>
      </c>
      <c r="R42" s="1"/>
      <c r="S42" s="40">
        <v>10</v>
      </c>
      <c r="U42" s="40">
        <v>10</v>
      </c>
      <c r="W42" s="1">
        <v>10</v>
      </c>
      <c r="X42" s="1">
        <v>11</v>
      </c>
      <c r="Y42" s="1" t="s">
        <v>2055</v>
      </c>
      <c r="Z42" s="40">
        <v>8</v>
      </c>
      <c r="AA42" s="13" t="b">
        <v>1</v>
      </c>
      <c r="AB42" s="1"/>
      <c r="AC42" s="57" t="s">
        <v>1309</v>
      </c>
      <c r="AD42" s="1"/>
      <c r="AE42" s="57"/>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row>
    <row r="43" spans="1:331" s="3" customFormat="1" x14ac:dyDescent="0.25">
      <c r="A43" s="3" t="s">
        <v>224</v>
      </c>
      <c r="B43" s="5" t="s">
        <v>225</v>
      </c>
      <c r="C43" s="13" t="s">
        <v>1646</v>
      </c>
      <c r="D43" s="3">
        <v>0</v>
      </c>
      <c r="H43" s="3" t="s">
        <v>226</v>
      </c>
      <c r="I43" s="3" t="s">
        <v>221</v>
      </c>
      <c r="J43" s="3" t="s">
        <v>227</v>
      </c>
      <c r="K43" s="3" t="s">
        <v>221</v>
      </c>
      <c r="L43" s="3">
        <v>1</v>
      </c>
      <c r="M43" s="3" t="s">
        <v>221</v>
      </c>
      <c r="O43" s="3">
        <v>0</v>
      </c>
      <c r="Q43" s="1" t="s">
        <v>1504</v>
      </c>
      <c r="R43" s="1"/>
      <c r="T43" s="3">
        <v>11</v>
      </c>
      <c r="V43" s="3">
        <v>11</v>
      </c>
      <c r="W43" s="1">
        <v>11</v>
      </c>
      <c r="X43" s="1">
        <v>11</v>
      </c>
      <c r="Y43" s="1" t="s">
        <v>2056</v>
      </c>
      <c r="Z43" s="3">
        <v>1</v>
      </c>
      <c r="AA43" s="13" t="b">
        <v>1</v>
      </c>
      <c r="AB43" s="1"/>
      <c r="AC43" s="57" t="s">
        <v>1307</v>
      </c>
      <c r="AD43" s="1"/>
      <c r="AE43" s="57"/>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row>
    <row r="44" spans="1:331" s="49" customFormat="1" x14ac:dyDescent="0.25">
      <c r="A44" s="49" t="s">
        <v>228</v>
      </c>
      <c r="B44" s="49" t="s">
        <v>229</v>
      </c>
      <c r="C44" s="1" t="s">
        <v>1646</v>
      </c>
      <c r="D44" s="49">
        <v>0</v>
      </c>
      <c r="H44" s="49" t="s">
        <v>230</v>
      </c>
      <c r="I44" s="49" t="s">
        <v>231</v>
      </c>
      <c r="J44" s="49" t="s">
        <v>230</v>
      </c>
      <c r="K44" s="49" t="s">
        <v>231</v>
      </c>
      <c r="L44" s="49">
        <v>0</v>
      </c>
      <c r="O44" s="49">
        <v>1</v>
      </c>
      <c r="Q44" s="1"/>
      <c r="R44" s="1" t="s">
        <v>232</v>
      </c>
      <c r="S44" s="49">
        <v>7</v>
      </c>
      <c r="U44" s="49">
        <v>7</v>
      </c>
      <c r="W44" s="1">
        <v>7</v>
      </c>
      <c r="X44" s="1">
        <v>8</v>
      </c>
      <c r="Y44" s="1" t="s">
        <v>2057</v>
      </c>
      <c r="Z44" s="49">
        <v>9</v>
      </c>
      <c r="AA44" s="13" t="b">
        <v>1</v>
      </c>
      <c r="AB44" s="1"/>
      <c r="AC44" s="57" t="s">
        <v>1310</v>
      </c>
      <c r="AD44" s="1"/>
      <c r="AE44" s="57"/>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row>
    <row r="45" spans="1:331" s="40" customFormat="1" x14ac:dyDescent="0.25">
      <c r="A45" s="40" t="s">
        <v>233</v>
      </c>
      <c r="B45" s="40" t="s">
        <v>234</v>
      </c>
      <c r="C45" s="1" t="s">
        <v>1646</v>
      </c>
      <c r="D45" s="40">
        <v>0</v>
      </c>
      <c r="H45" s="40" t="s">
        <v>235</v>
      </c>
      <c r="I45" s="40" t="s">
        <v>236</v>
      </c>
      <c r="J45" s="40" t="s">
        <v>235</v>
      </c>
      <c r="K45" s="40" t="s">
        <v>1657</v>
      </c>
      <c r="L45" s="40">
        <v>0</v>
      </c>
      <c r="O45" s="40">
        <v>1</v>
      </c>
      <c r="P45" s="40" t="s">
        <v>231</v>
      </c>
      <c r="Q45" s="1" t="s">
        <v>1505</v>
      </c>
      <c r="R45" s="1"/>
      <c r="S45" s="40">
        <v>5</v>
      </c>
      <c r="U45" s="40">
        <v>7</v>
      </c>
      <c r="W45" s="1">
        <v>5</v>
      </c>
      <c r="X45" s="1">
        <v>15</v>
      </c>
      <c r="Y45" s="1" t="s">
        <v>2058</v>
      </c>
      <c r="Z45" s="40">
        <v>8</v>
      </c>
      <c r="AA45" s="13" t="b">
        <v>1</v>
      </c>
      <c r="AB45" s="1"/>
      <c r="AC45" s="57" t="s">
        <v>1312</v>
      </c>
      <c r="AD45" s="1"/>
      <c r="AE45" s="57"/>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row>
    <row r="46" spans="1:331" s="72" customFormat="1" x14ac:dyDescent="0.25">
      <c r="A46" s="72" t="s">
        <v>237</v>
      </c>
      <c r="B46" s="72" t="s">
        <v>238</v>
      </c>
      <c r="C46" s="1" t="s">
        <v>1646</v>
      </c>
      <c r="D46" s="72">
        <v>0</v>
      </c>
      <c r="H46" s="72" t="s">
        <v>239</v>
      </c>
      <c r="I46" s="72" t="s">
        <v>210</v>
      </c>
      <c r="J46" s="72" t="s">
        <v>240</v>
      </c>
      <c r="K46" s="72" t="s">
        <v>210</v>
      </c>
      <c r="L46" s="72">
        <v>0</v>
      </c>
      <c r="O46" s="72">
        <v>1</v>
      </c>
      <c r="P46" s="72" t="s">
        <v>241</v>
      </c>
      <c r="Q46" s="1"/>
      <c r="R46" s="1" t="s">
        <v>242</v>
      </c>
      <c r="T46" s="72">
        <v>13</v>
      </c>
      <c r="V46" s="72">
        <v>13</v>
      </c>
      <c r="W46" s="1">
        <v>13</v>
      </c>
      <c r="X46" s="1">
        <v>14</v>
      </c>
      <c r="Y46" s="1" t="s">
        <v>2059</v>
      </c>
      <c r="Z46" s="72">
        <v>14</v>
      </c>
      <c r="AA46" s="13" t="b">
        <v>1</v>
      </c>
      <c r="AB46" s="1"/>
      <c r="AC46" s="57" t="s">
        <v>1313</v>
      </c>
      <c r="AD46" s="1"/>
      <c r="AE46" s="57"/>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row>
    <row r="47" spans="1:331" s="2" customFormat="1" x14ac:dyDescent="0.25">
      <c r="A47" s="2" t="s">
        <v>243</v>
      </c>
      <c r="B47" s="6" t="s">
        <v>244</v>
      </c>
      <c r="C47" s="13" t="s">
        <v>1646</v>
      </c>
      <c r="D47" s="2">
        <v>0</v>
      </c>
      <c r="H47" s="2" t="s">
        <v>245</v>
      </c>
      <c r="I47" s="2" t="s">
        <v>246</v>
      </c>
      <c r="J47" s="2" t="s">
        <v>247</v>
      </c>
      <c r="K47" s="2" t="s">
        <v>246</v>
      </c>
      <c r="L47" s="2">
        <v>2</v>
      </c>
      <c r="M47" s="2" t="s">
        <v>247</v>
      </c>
      <c r="N47" s="2" t="s">
        <v>247</v>
      </c>
      <c r="O47" s="2">
        <v>1</v>
      </c>
      <c r="P47" s="2" t="s">
        <v>247</v>
      </c>
      <c r="Q47" s="1" t="s">
        <v>236</v>
      </c>
      <c r="R47" s="1"/>
      <c r="S47" s="2">
        <v>14</v>
      </c>
      <c r="U47" s="2">
        <v>14</v>
      </c>
      <c r="W47" s="1">
        <v>14</v>
      </c>
      <c r="X47" s="1">
        <v>17</v>
      </c>
      <c r="Y47" s="1" t="s">
        <v>2060</v>
      </c>
      <c r="Z47" s="2">
        <v>2</v>
      </c>
      <c r="AA47" s="13" t="b">
        <v>1</v>
      </c>
      <c r="AB47" s="1"/>
      <c r="AC47" s="57" t="s">
        <v>1314</v>
      </c>
      <c r="AD47" s="1"/>
      <c r="AE47" s="57"/>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row>
    <row r="48" spans="1:331" s="40" customFormat="1" x14ac:dyDescent="0.25">
      <c r="A48" s="40" t="s">
        <v>248</v>
      </c>
      <c r="B48" s="40" t="s">
        <v>249</v>
      </c>
      <c r="C48" s="1" t="s">
        <v>1646</v>
      </c>
      <c r="D48" s="40">
        <v>0</v>
      </c>
      <c r="H48" s="40" t="s">
        <v>239</v>
      </c>
      <c r="I48" s="40" t="s">
        <v>119</v>
      </c>
      <c r="J48" s="40" t="s">
        <v>239</v>
      </c>
      <c r="K48" s="40" t="s">
        <v>119</v>
      </c>
      <c r="L48" s="40">
        <v>0</v>
      </c>
      <c r="O48" s="40">
        <v>1</v>
      </c>
      <c r="P48" s="40" t="s">
        <v>239</v>
      </c>
      <c r="Q48" s="1" t="s">
        <v>1506</v>
      </c>
      <c r="R48" s="1"/>
      <c r="S48" s="40">
        <v>20</v>
      </c>
      <c r="U48" s="40">
        <v>15</v>
      </c>
      <c r="W48" s="1">
        <v>20</v>
      </c>
      <c r="X48" s="1">
        <v>12</v>
      </c>
      <c r="Y48" s="1" t="s">
        <v>2061</v>
      </c>
      <c r="Z48" s="40">
        <v>8</v>
      </c>
      <c r="AA48" s="13" t="b">
        <v>1</v>
      </c>
      <c r="AB48" s="1" t="s">
        <v>1898</v>
      </c>
      <c r="AC48" s="57" t="s">
        <v>1315</v>
      </c>
      <c r="AD48" s="1"/>
      <c r="AE48" s="57"/>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row>
    <row r="49" spans="1:331" s="30" customFormat="1" x14ac:dyDescent="0.25">
      <c r="A49" s="30" t="s">
        <v>250</v>
      </c>
      <c r="B49" s="30">
        <v>2238250</v>
      </c>
      <c r="C49" s="1" t="s">
        <v>1646</v>
      </c>
      <c r="D49" s="30">
        <v>1</v>
      </c>
      <c r="E49" s="30" t="s">
        <v>251</v>
      </c>
      <c r="H49" s="30" t="s">
        <v>252</v>
      </c>
      <c r="I49" s="30" t="s">
        <v>251</v>
      </c>
      <c r="J49" s="30" t="s">
        <v>252</v>
      </c>
      <c r="K49" s="30" t="s">
        <v>252</v>
      </c>
      <c r="L49" s="30">
        <v>0</v>
      </c>
      <c r="O49" s="30">
        <v>0</v>
      </c>
      <c r="Q49" s="1" t="s">
        <v>1507</v>
      </c>
      <c r="R49" s="1"/>
      <c r="T49" s="30">
        <v>10</v>
      </c>
      <c r="V49" s="30">
        <v>11</v>
      </c>
      <c r="W49" s="1">
        <v>10</v>
      </c>
      <c r="X49" s="1">
        <v>9</v>
      </c>
      <c r="Y49" s="1" t="s">
        <v>2062</v>
      </c>
      <c r="Z49" s="30">
        <v>6</v>
      </c>
      <c r="AA49" s="13" t="b">
        <v>1</v>
      </c>
      <c r="AB49" s="1"/>
      <c r="AC49" s="57" t="s">
        <v>1443</v>
      </c>
      <c r="AD49" s="1"/>
      <c r="AE49" s="57"/>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row>
    <row r="50" spans="1:331" s="25" customFormat="1" x14ac:dyDescent="0.25">
      <c r="A50" s="25" t="s">
        <v>253</v>
      </c>
      <c r="B50" s="29" t="s">
        <v>254</v>
      </c>
      <c r="C50" s="13" t="s">
        <v>1646</v>
      </c>
      <c r="D50" s="25">
        <v>0</v>
      </c>
      <c r="H50" s="25" t="s">
        <v>255</v>
      </c>
      <c r="I50" s="25" t="s">
        <v>118</v>
      </c>
      <c r="J50" s="25" t="s">
        <v>255</v>
      </c>
      <c r="K50" s="25" t="s">
        <v>118</v>
      </c>
      <c r="L50" s="25">
        <v>0</v>
      </c>
      <c r="O50" s="25">
        <v>0</v>
      </c>
      <c r="Q50" s="1" t="s">
        <v>240</v>
      </c>
      <c r="R50" s="1"/>
      <c r="T50" s="25">
        <v>3</v>
      </c>
      <c r="V50" s="25">
        <v>3</v>
      </c>
      <c r="W50" s="1">
        <v>3</v>
      </c>
      <c r="X50" s="1">
        <v>5</v>
      </c>
      <c r="Y50" s="1" t="s">
        <v>2063</v>
      </c>
      <c r="Z50" s="25">
        <v>5</v>
      </c>
      <c r="AA50" s="13" t="b">
        <v>1</v>
      </c>
      <c r="AB50" s="1"/>
      <c r="AC50" s="57" t="s">
        <v>1298</v>
      </c>
      <c r="AD50" s="1"/>
      <c r="AE50" s="57"/>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row>
    <row r="51" spans="1:331" s="35" customFormat="1" x14ac:dyDescent="0.25">
      <c r="A51" s="35" t="s">
        <v>256</v>
      </c>
      <c r="B51" s="35" t="s">
        <v>257</v>
      </c>
      <c r="C51" s="1" t="s">
        <v>1646</v>
      </c>
      <c r="D51" s="35">
        <v>5</v>
      </c>
      <c r="E51" s="35" t="s">
        <v>258</v>
      </c>
      <c r="F51" s="35" t="s">
        <v>258</v>
      </c>
      <c r="G51" s="35" t="s">
        <v>258</v>
      </c>
      <c r="H51" s="35" t="s">
        <v>259</v>
      </c>
      <c r="I51" s="35" t="s">
        <v>258</v>
      </c>
      <c r="J51" s="35" t="s">
        <v>259</v>
      </c>
      <c r="K51" s="35" t="s">
        <v>258</v>
      </c>
      <c r="L51" s="35">
        <v>0</v>
      </c>
      <c r="O51" s="35">
        <v>1</v>
      </c>
      <c r="Q51" s="1"/>
      <c r="R51" s="1" t="s">
        <v>260</v>
      </c>
      <c r="T51" s="35">
        <v>43</v>
      </c>
      <c r="V51" s="35">
        <v>39</v>
      </c>
      <c r="W51" s="1">
        <v>43</v>
      </c>
      <c r="X51" s="1">
        <v>22</v>
      </c>
      <c r="Y51" s="1" t="s">
        <v>2064</v>
      </c>
      <c r="Z51" s="35">
        <v>7</v>
      </c>
      <c r="AA51" s="13" t="b">
        <v>1</v>
      </c>
      <c r="AB51" s="1"/>
      <c r="AC51" s="57" t="s">
        <v>1448</v>
      </c>
      <c r="AD51" s="1"/>
      <c r="AE51" s="57"/>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row>
    <row r="52" spans="1:331" s="3" customFormat="1" x14ac:dyDescent="0.25">
      <c r="A52" s="3" t="s">
        <v>1316</v>
      </c>
      <c r="B52" s="3" t="s">
        <v>1919</v>
      </c>
      <c r="C52" s="1" t="s">
        <v>1646</v>
      </c>
      <c r="D52" s="3">
        <v>0</v>
      </c>
      <c r="H52" s="3" t="s">
        <v>722</v>
      </c>
      <c r="I52" s="3" t="s">
        <v>722</v>
      </c>
      <c r="J52" s="3" t="s">
        <v>701</v>
      </c>
      <c r="K52" s="3" t="s">
        <v>722</v>
      </c>
      <c r="L52" s="3">
        <v>2</v>
      </c>
      <c r="M52" s="3" t="s">
        <v>1322</v>
      </c>
      <c r="N52" s="3" t="s">
        <v>1323</v>
      </c>
      <c r="O52" s="3">
        <v>1</v>
      </c>
      <c r="P52" s="3" t="s">
        <v>701</v>
      </c>
      <c r="Q52" s="1" t="s">
        <v>1508</v>
      </c>
      <c r="R52" s="1"/>
      <c r="T52" s="3">
        <v>37</v>
      </c>
      <c r="V52" s="3">
        <v>20</v>
      </c>
      <c r="W52" s="1">
        <v>37</v>
      </c>
      <c r="X52" s="1">
        <v>29</v>
      </c>
      <c r="Y52" s="1" t="s">
        <v>2065</v>
      </c>
      <c r="Z52" s="3">
        <v>1</v>
      </c>
      <c r="AA52" s="13" t="b">
        <v>1</v>
      </c>
      <c r="AB52" s="1" t="s">
        <v>1890</v>
      </c>
      <c r="AC52" s="57" t="s">
        <v>1950</v>
      </c>
      <c r="AD52" s="1"/>
      <c r="AE52" s="57"/>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row>
    <row r="53" spans="1:331" s="4" customFormat="1" x14ac:dyDescent="0.25">
      <c r="A53" s="4" t="s">
        <v>1317</v>
      </c>
      <c r="B53" s="4" t="s">
        <v>1324</v>
      </c>
      <c r="C53" s="1" t="s">
        <v>1646</v>
      </c>
      <c r="D53" s="4">
        <v>1</v>
      </c>
      <c r="E53" s="4" t="s">
        <v>696</v>
      </c>
      <c r="H53" s="4" t="s">
        <v>721</v>
      </c>
      <c r="I53" s="4" t="s">
        <v>1325</v>
      </c>
      <c r="J53" s="4" t="s">
        <v>1326</v>
      </c>
      <c r="K53" s="4" t="s">
        <v>721</v>
      </c>
      <c r="L53" s="4">
        <v>1</v>
      </c>
      <c r="M53" s="4" t="s">
        <v>1327</v>
      </c>
      <c r="O53" s="4">
        <v>1</v>
      </c>
      <c r="P53" s="4" t="s">
        <v>1328</v>
      </c>
      <c r="Q53" s="1" t="s">
        <v>1509</v>
      </c>
      <c r="R53" s="1"/>
      <c r="S53" s="4">
        <v>24</v>
      </c>
      <c r="W53" s="1">
        <v>24</v>
      </c>
      <c r="X53" s="1">
        <v>4</v>
      </c>
      <c r="Y53" s="1" t="s">
        <v>2066</v>
      </c>
      <c r="Z53" s="4">
        <v>4</v>
      </c>
      <c r="AA53" s="13" t="b">
        <v>1</v>
      </c>
      <c r="AB53" s="1" t="s">
        <v>1890</v>
      </c>
      <c r="AC53" s="57" t="s">
        <v>1452</v>
      </c>
      <c r="AD53" s="1"/>
      <c r="AE53" s="57"/>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row>
    <row r="54" spans="1:331" s="40" customFormat="1" x14ac:dyDescent="0.25">
      <c r="A54" s="40" t="s">
        <v>1470</v>
      </c>
      <c r="B54" s="40" t="s">
        <v>1785</v>
      </c>
      <c r="C54" s="1" t="s">
        <v>1646</v>
      </c>
      <c r="D54" s="40">
        <v>0</v>
      </c>
      <c r="H54" s="40" t="s">
        <v>1471</v>
      </c>
      <c r="I54" s="40" t="s">
        <v>1472</v>
      </c>
      <c r="J54" s="40" t="s">
        <v>1473</v>
      </c>
      <c r="K54" s="40" t="s">
        <v>1658</v>
      </c>
      <c r="L54" s="40">
        <v>0</v>
      </c>
      <c r="O54" s="40">
        <v>1</v>
      </c>
      <c r="P54" s="40" t="s">
        <v>1474</v>
      </c>
      <c r="Q54" s="1" t="s">
        <v>697</v>
      </c>
      <c r="R54" s="1"/>
      <c r="S54" s="40">
        <v>10</v>
      </c>
      <c r="U54" s="40">
        <v>10</v>
      </c>
      <c r="W54" s="1">
        <v>10</v>
      </c>
      <c r="X54" s="1">
        <v>15</v>
      </c>
      <c r="Y54" s="1" t="s">
        <v>2067</v>
      </c>
      <c r="Z54" s="40">
        <v>8</v>
      </c>
      <c r="AA54" s="13" t="b">
        <v>1</v>
      </c>
      <c r="AB54" s="1"/>
      <c r="AC54" s="57" t="s">
        <v>1921</v>
      </c>
      <c r="AD54" s="1"/>
      <c r="AE54" s="57"/>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row>
    <row r="55" spans="1:331" s="2" customFormat="1" x14ac:dyDescent="0.25">
      <c r="A55" s="2" t="s">
        <v>1475</v>
      </c>
      <c r="B55" s="2" t="s">
        <v>1786</v>
      </c>
      <c r="C55" s="1" t="s">
        <v>1646</v>
      </c>
      <c r="D55" s="2">
        <v>0</v>
      </c>
      <c r="H55" s="2" t="s">
        <v>1474</v>
      </c>
      <c r="I55" s="2" t="s">
        <v>1473</v>
      </c>
      <c r="J55" s="2" t="s">
        <v>1474</v>
      </c>
      <c r="K55" s="2" t="s">
        <v>1473</v>
      </c>
      <c r="L55" s="2">
        <v>1</v>
      </c>
      <c r="M55" s="2" t="s">
        <v>1474</v>
      </c>
      <c r="O55" s="2">
        <v>1</v>
      </c>
      <c r="Q55" s="1"/>
      <c r="R55" s="1" t="s">
        <v>1476</v>
      </c>
      <c r="T55" s="2">
        <v>26</v>
      </c>
      <c r="V55" s="2">
        <v>30</v>
      </c>
      <c r="W55" s="1">
        <v>26</v>
      </c>
      <c r="X55" s="1">
        <v>27</v>
      </c>
      <c r="Y55" s="1" t="s">
        <v>2068</v>
      </c>
      <c r="Z55" s="2">
        <v>2</v>
      </c>
      <c r="AA55" s="13" t="b">
        <v>1</v>
      </c>
      <c r="AB55" s="1"/>
      <c r="AC55" s="57" t="s">
        <v>1922</v>
      </c>
      <c r="AD55" s="1"/>
      <c r="AE55" s="57"/>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row>
    <row r="56" spans="1:331" s="68" customFormat="1" x14ac:dyDescent="0.25">
      <c r="A56" s="68" t="s">
        <v>1929</v>
      </c>
      <c r="B56" s="68">
        <v>1115222</v>
      </c>
      <c r="C56" s="1" t="s">
        <v>1646</v>
      </c>
      <c r="D56" s="68">
        <v>1</v>
      </c>
      <c r="E56" s="68" t="s">
        <v>1824</v>
      </c>
      <c r="H56" s="68" t="s">
        <v>1819</v>
      </c>
      <c r="I56" s="68" t="s">
        <v>1824</v>
      </c>
      <c r="J56" s="68" t="s">
        <v>1931</v>
      </c>
      <c r="K56" s="68" t="s">
        <v>1819</v>
      </c>
      <c r="L56" s="68">
        <v>0</v>
      </c>
      <c r="O56" s="68">
        <v>1</v>
      </c>
      <c r="P56" s="68" t="s">
        <v>1932</v>
      </c>
      <c r="Q56" s="1"/>
      <c r="R56" s="1" t="s">
        <v>1933</v>
      </c>
      <c r="T56" s="68">
        <v>13</v>
      </c>
      <c r="W56" s="1">
        <v>13</v>
      </c>
      <c r="X56" s="1">
        <v>16</v>
      </c>
      <c r="Y56" s="1" t="s">
        <v>2069</v>
      </c>
      <c r="Z56" s="68">
        <v>13</v>
      </c>
      <c r="AA56" s="13" t="b">
        <v>1</v>
      </c>
      <c r="AB56" s="1"/>
      <c r="AC56" s="57" t="s">
        <v>1944</v>
      </c>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row>
    <row r="57" spans="1:331" s="3" customFormat="1" x14ac:dyDescent="0.25">
      <c r="A57" s="3" t="s">
        <v>1930</v>
      </c>
      <c r="B57" s="3">
        <v>2773991</v>
      </c>
      <c r="C57" s="1" t="s">
        <v>1646</v>
      </c>
      <c r="D57" s="3">
        <v>0</v>
      </c>
      <c r="H57" s="3" t="s">
        <v>1934</v>
      </c>
      <c r="I57" s="3" t="s">
        <v>1935</v>
      </c>
      <c r="J57" s="3" t="s">
        <v>1936</v>
      </c>
      <c r="K57" s="3" t="s">
        <v>1674</v>
      </c>
      <c r="L57" s="3">
        <v>1</v>
      </c>
      <c r="M57" s="3" t="s">
        <v>1931</v>
      </c>
      <c r="O57" s="3">
        <v>1</v>
      </c>
      <c r="Q57" s="13" t="s">
        <v>1833</v>
      </c>
      <c r="R57" s="1"/>
      <c r="S57" s="3">
        <v>9</v>
      </c>
      <c r="W57" s="1">
        <v>9</v>
      </c>
      <c r="X57" s="1">
        <v>10</v>
      </c>
      <c r="Y57" s="1" t="s">
        <v>2070</v>
      </c>
      <c r="Z57" s="3">
        <v>1</v>
      </c>
      <c r="AA57" s="13" t="b">
        <v>1</v>
      </c>
      <c r="AB57" s="1"/>
      <c r="AC57" s="57" t="s">
        <v>1943</v>
      </c>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row>
    <row r="58" spans="1:331" s="35" customFormat="1" x14ac:dyDescent="0.25">
      <c r="A58" s="35" t="s">
        <v>262</v>
      </c>
      <c r="B58" s="39" t="s">
        <v>263</v>
      </c>
      <c r="C58" s="13" t="s">
        <v>1647</v>
      </c>
      <c r="D58" s="35">
        <v>1</v>
      </c>
      <c r="E58" s="35" t="s">
        <v>264</v>
      </c>
      <c r="H58" s="35" t="s">
        <v>265</v>
      </c>
      <c r="I58" s="35" t="s">
        <v>265</v>
      </c>
      <c r="J58" s="35" t="s">
        <v>266</v>
      </c>
      <c r="K58" s="35" t="s">
        <v>1659</v>
      </c>
      <c r="L58" s="35">
        <v>0</v>
      </c>
      <c r="O58" s="35">
        <v>1</v>
      </c>
      <c r="P58" s="35" t="s">
        <v>267</v>
      </c>
      <c r="Q58" s="1" t="s">
        <v>321</v>
      </c>
      <c r="R58" s="1"/>
      <c r="T58" s="35">
        <v>13</v>
      </c>
      <c r="V58" s="35">
        <v>12</v>
      </c>
      <c r="W58" s="1">
        <v>13</v>
      </c>
      <c r="X58" s="1">
        <v>17</v>
      </c>
      <c r="Y58" s="1" t="s">
        <v>2071</v>
      </c>
      <c r="Z58" s="35">
        <v>7</v>
      </c>
      <c r="AA58" s="13" t="b">
        <v>1</v>
      </c>
      <c r="AB58" s="1"/>
      <c r="AC58" s="57" t="s">
        <v>1390</v>
      </c>
      <c r="AD58" s="1"/>
      <c r="AE58" s="57"/>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row>
    <row r="59" spans="1:331" s="35" customFormat="1" x14ac:dyDescent="0.25">
      <c r="A59" s="35" t="s">
        <v>268</v>
      </c>
      <c r="B59" s="39" t="s">
        <v>269</v>
      </c>
      <c r="C59" s="13" t="s">
        <v>1647</v>
      </c>
      <c r="D59" s="35">
        <v>1</v>
      </c>
      <c r="E59" s="35" t="s">
        <v>40</v>
      </c>
      <c r="H59" s="35" t="s">
        <v>40</v>
      </c>
      <c r="I59" s="35" t="s">
        <v>40</v>
      </c>
      <c r="J59" s="35" t="s">
        <v>270</v>
      </c>
      <c r="K59" s="35" t="s">
        <v>40</v>
      </c>
      <c r="L59" s="35">
        <v>0</v>
      </c>
      <c r="O59" s="35">
        <v>1</v>
      </c>
      <c r="P59" s="35" t="s">
        <v>271</v>
      </c>
      <c r="Q59" s="1" t="s">
        <v>131</v>
      </c>
      <c r="R59" s="1"/>
      <c r="T59" s="35">
        <v>9</v>
      </c>
      <c r="V59" s="35">
        <v>11</v>
      </c>
      <c r="W59" s="1">
        <v>9</v>
      </c>
      <c r="X59" s="1">
        <v>13</v>
      </c>
      <c r="Y59" s="1" t="s">
        <v>2072</v>
      </c>
      <c r="Z59" s="35">
        <v>7</v>
      </c>
      <c r="AA59" s="13" t="b">
        <v>1</v>
      </c>
      <c r="AB59" s="1"/>
      <c r="AC59" s="57" t="s">
        <v>1391</v>
      </c>
      <c r="AD59" s="1"/>
      <c r="AE59" s="57"/>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row>
    <row r="60" spans="1:331" s="40" customFormat="1" x14ac:dyDescent="0.25">
      <c r="A60" s="40" t="s">
        <v>272</v>
      </c>
      <c r="B60" s="44" t="s">
        <v>273</v>
      </c>
      <c r="C60" s="13" t="s">
        <v>1647</v>
      </c>
      <c r="D60" s="40">
        <v>0</v>
      </c>
      <c r="H60" s="40" t="s">
        <v>274</v>
      </c>
      <c r="I60" s="40" t="s">
        <v>275</v>
      </c>
      <c r="J60" s="40" t="s">
        <v>275</v>
      </c>
      <c r="K60" s="40" t="s">
        <v>1660</v>
      </c>
      <c r="L60" s="40">
        <v>0</v>
      </c>
      <c r="O60" s="40">
        <v>1</v>
      </c>
      <c r="P60" s="40" t="s">
        <v>275</v>
      </c>
      <c r="Q60" s="1" t="s">
        <v>1510</v>
      </c>
      <c r="R60" s="1"/>
      <c r="S60" s="40">
        <v>6</v>
      </c>
      <c r="T60" s="40">
        <v>12</v>
      </c>
      <c r="W60" s="1">
        <v>12</v>
      </c>
      <c r="X60" s="1">
        <v>12</v>
      </c>
      <c r="Y60" s="1" t="s">
        <v>2073</v>
      </c>
      <c r="Z60" s="40">
        <v>8</v>
      </c>
      <c r="AA60" s="13" t="b">
        <v>1</v>
      </c>
      <c r="AB60" s="1"/>
      <c r="AC60" s="57" t="s">
        <v>1398</v>
      </c>
      <c r="AD60" s="1"/>
      <c r="AE60" s="57"/>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row>
    <row r="61" spans="1:331" s="35" customFormat="1" x14ac:dyDescent="0.25">
      <c r="A61" s="35" t="s">
        <v>276</v>
      </c>
      <c r="B61" s="39" t="s">
        <v>277</v>
      </c>
      <c r="C61" s="13" t="s">
        <v>1647</v>
      </c>
      <c r="D61" s="35">
        <v>1</v>
      </c>
      <c r="E61" s="35" t="s">
        <v>278</v>
      </c>
      <c r="H61" s="35" t="s">
        <v>21</v>
      </c>
      <c r="I61" s="35" t="s">
        <v>279</v>
      </c>
      <c r="J61" s="35" t="s">
        <v>153</v>
      </c>
      <c r="K61" s="35" t="s">
        <v>21</v>
      </c>
      <c r="L61" s="35">
        <v>0</v>
      </c>
      <c r="O61" s="35">
        <v>1</v>
      </c>
      <c r="P61" s="35" t="s">
        <v>154</v>
      </c>
      <c r="Q61" s="1" t="s">
        <v>1511</v>
      </c>
      <c r="R61" s="1"/>
      <c r="S61" s="35">
        <v>10</v>
      </c>
      <c r="V61" s="35">
        <v>12</v>
      </c>
      <c r="W61" s="1">
        <v>10</v>
      </c>
      <c r="X61" s="1">
        <v>9</v>
      </c>
      <c r="Y61" s="1" t="s">
        <v>2074</v>
      </c>
      <c r="Z61" s="35">
        <v>7</v>
      </c>
      <c r="AA61" s="13" t="b">
        <v>1</v>
      </c>
      <c r="AB61" s="1"/>
      <c r="AC61" s="57" t="s">
        <v>1392</v>
      </c>
      <c r="AD61" s="1"/>
      <c r="AE61" s="57"/>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row>
    <row r="62" spans="1:331" s="40" customFormat="1" x14ac:dyDescent="0.25">
      <c r="A62" s="40" t="s">
        <v>280</v>
      </c>
      <c r="B62" s="44" t="s">
        <v>281</v>
      </c>
      <c r="C62" s="13" t="s">
        <v>1647</v>
      </c>
      <c r="D62" s="40">
        <v>0</v>
      </c>
      <c r="H62" s="40" t="s">
        <v>282</v>
      </c>
      <c r="I62" s="40" t="s">
        <v>283</v>
      </c>
      <c r="J62" s="40" t="s">
        <v>282</v>
      </c>
      <c r="K62" s="40" t="s">
        <v>283</v>
      </c>
      <c r="L62" s="40">
        <v>0</v>
      </c>
      <c r="O62" s="40">
        <v>1</v>
      </c>
      <c r="P62" s="40" t="s">
        <v>284</v>
      </c>
      <c r="Q62" s="1" t="s">
        <v>503</v>
      </c>
      <c r="R62" s="1"/>
      <c r="S62" s="40">
        <v>12</v>
      </c>
      <c r="U62" s="40">
        <v>11</v>
      </c>
      <c r="W62" s="1">
        <v>12</v>
      </c>
      <c r="X62" s="1">
        <v>8</v>
      </c>
      <c r="Y62" s="1" t="s">
        <v>2075</v>
      </c>
      <c r="Z62" s="40">
        <v>8</v>
      </c>
      <c r="AA62" s="13" t="b">
        <v>1</v>
      </c>
      <c r="AB62" s="1"/>
      <c r="AC62" s="57" t="s">
        <v>1372</v>
      </c>
      <c r="AD62" s="1"/>
      <c r="AE62" s="57"/>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row>
    <row r="63" spans="1:331" s="40" customFormat="1" x14ac:dyDescent="0.25">
      <c r="A63" s="40" t="s">
        <v>285</v>
      </c>
      <c r="B63" s="44" t="s">
        <v>286</v>
      </c>
      <c r="C63" s="13" t="s">
        <v>1647</v>
      </c>
      <c r="D63" s="40">
        <v>1</v>
      </c>
      <c r="H63" s="40" t="s">
        <v>287</v>
      </c>
      <c r="I63" s="40" t="s">
        <v>288</v>
      </c>
      <c r="J63" s="40" t="s">
        <v>289</v>
      </c>
      <c r="K63" s="40" t="s">
        <v>1661</v>
      </c>
      <c r="L63" s="40">
        <v>0</v>
      </c>
      <c r="O63" s="40">
        <v>1</v>
      </c>
      <c r="P63" s="40" t="s">
        <v>20</v>
      </c>
      <c r="Q63" s="1" t="s">
        <v>1512</v>
      </c>
      <c r="R63" s="1"/>
      <c r="S63" s="40">
        <v>12</v>
      </c>
      <c r="U63" s="40">
        <v>12</v>
      </c>
      <c r="W63" s="1">
        <v>12</v>
      </c>
      <c r="X63" s="1">
        <v>12</v>
      </c>
      <c r="Y63" s="1" t="s">
        <v>2076</v>
      </c>
      <c r="Z63" s="40">
        <v>8</v>
      </c>
      <c r="AA63" s="13" t="b">
        <v>1</v>
      </c>
      <c r="AB63" s="1"/>
      <c r="AC63" s="57" t="s">
        <v>1399</v>
      </c>
      <c r="AD63" s="1"/>
      <c r="AE63" s="57"/>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row>
    <row r="64" spans="1:331" s="35" customFormat="1" x14ac:dyDescent="0.25">
      <c r="A64" s="35" t="s">
        <v>290</v>
      </c>
      <c r="B64" s="39" t="s">
        <v>291</v>
      </c>
      <c r="C64" s="13" t="s">
        <v>1647</v>
      </c>
      <c r="D64" s="35">
        <v>1</v>
      </c>
      <c r="E64" s="35" t="s">
        <v>292</v>
      </c>
      <c r="H64" s="35" t="s">
        <v>174</v>
      </c>
      <c r="I64" s="35" t="s">
        <v>174</v>
      </c>
      <c r="J64" s="35" t="s">
        <v>174</v>
      </c>
      <c r="K64" s="35" t="s">
        <v>292</v>
      </c>
      <c r="L64" s="35">
        <v>0</v>
      </c>
      <c r="O64" s="35">
        <v>1</v>
      </c>
      <c r="P64" s="35" t="s">
        <v>173</v>
      </c>
      <c r="Q64" s="1" t="s">
        <v>1513</v>
      </c>
      <c r="R64" s="1"/>
      <c r="S64" s="35">
        <v>30</v>
      </c>
      <c r="U64" s="35">
        <v>20</v>
      </c>
      <c r="W64" s="1">
        <v>30</v>
      </c>
      <c r="X64" s="1">
        <v>17</v>
      </c>
      <c r="Y64" s="1" t="s">
        <v>2077</v>
      </c>
      <c r="Z64" s="35">
        <v>7</v>
      </c>
      <c r="AA64" s="13" t="b">
        <v>1</v>
      </c>
      <c r="AB64" s="1" t="s">
        <v>1898</v>
      </c>
      <c r="AC64" s="57" t="s">
        <v>1393</v>
      </c>
      <c r="AD64" s="1"/>
      <c r="AE64" s="57"/>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row>
    <row r="65" spans="1:331" s="40" customFormat="1" x14ac:dyDescent="0.25">
      <c r="A65" s="40" t="s">
        <v>293</v>
      </c>
      <c r="B65" s="44" t="s">
        <v>294</v>
      </c>
      <c r="C65" s="13" t="s">
        <v>1647</v>
      </c>
      <c r="D65" s="40">
        <v>0</v>
      </c>
      <c r="H65" s="40" t="s">
        <v>295</v>
      </c>
      <c r="I65" s="40" t="s">
        <v>296</v>
      </c>
      <c r="J65" s="40" t="s">
        <v>297</v>
      </c>
      <c r="K65" s="40" t="s">
        <v>1662</v>
      </c>
      <c r="L65" s="40">
        <v>0</v>
      </c>
      <c r="O65" s="40">
        <v>1</v>
      </c>
      <c r="P65" s="40" t="s">
        <v>298</v>
      </c>
      <c r="Q65" s="1" t="s">
        <v>1514</v>
      </c>
      <c r="R65" s="1"/>
      <c r="T65" s="40">
        <v>8</v>
      </c>
      <c r="W65" s="1">
        <v>8</v>
      </c>
      <c r="X65" s="1">
        <v>14</v>
      </c>
      <c r="Y65" s="1" t="s">
        <v>2078</v>
      </c>
      <c r="Z65" s="40">
        <v>8</v>
      </c>
      <c r="AA65" s="13" t="b">
        <v>1</v>
      </c>
      <c r="AB65" s="1"/>
      <c r="AC65" s="57" t="s">
        <v>1462</v>
      </c>
      <c r="AD65" s="1"/>
      <c r="AE65" s="57"/>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row>
    <row r="66" spans="1:331" s="40" customFormat="1" x14ac:dyDescent="0.25">
      <c r="A66" s="40" t="s">
        <v>299</v>
      </c>
      <c r="B66" s="44" t="s">
        <v>300</v>
      </c>
      <c r="C66" s="13" t="s">
        <v>1647</v>
      </c>
      <c r="D66" s="40">
        <v>0</v>
      </c>
      <c r="H66" s="40" t="s">
        <v>180</v>
      </c>
      <c r="I66" s="40" t="s">
        <v>179</v>
      </c>
      <c r="J66" s="40" t="s">
        <v>301</v>
      </c>
      <c r="K66" s="40" t="s">
        <v>180</v>
      </c>
      <c r="L66" s="40">
        <v>0</v>
      </c>
      <c r="O66" s="40">
        <v>1</v>
      </c>
      <c r="P66" s="40" t="s">
        <v>302</v>
      </c>
      <c r="Q66" s="1" t="s">
        <v>278</v>
      </c>
      <c r="R66" s="1"/>
      <c r="S66" s="40">
        <v>5</v>
      </c>
      <c r="T66" s="40">
        <v>15</v>
      </c>
      <c r="V66" s="40">
        <v>16</v>
      </c>
      <c r="W66" s="1">
        <v>15</v>
      </c>
      <c r="X66" s="1">
        <v>20</v>
      </c>
      <c r="Y66" s="1" t="s">
        <v>2079</v>
      </c>
      <c r="Z66" s="40">
        <v>8</v>
      </c>
      <c r="AA66" s="13" t="b">
        <v>1</v>
      </c>
      <c r="AB66" s="1"/>
      <c r="AC66" s="57" t="s">
        <v>1400</v>
      </c>
      <c r="AD66" s="1"/>
      <c r="AE66" s="57"/>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row>
    <row r="67" spans="1:331" s="35" customFormat="1" x14ac:dyDescent="0.25">
      <c r="A67" s="35" t="s">
        <v>303</v>
      </c>
      <c r="B67" s="39" t="s">
        <v>304</v>
      </c>
      <c r="C67" s="13" t="s">
        <v>1647</v>
      </c>
      <c r="D67" s="35">
        <v>1</v>
      </c>
      <c r="E67" s="35" t="s">
        <v>305</v>
      </c>
      <c r="H67" s="35" t="s">
        <v>306</v>
      </c>
      <c r="I67" s="35" t="s">
        <v>305</v>
      </c>
      <c r="J67" s="35" t="s">
        <v>36</v>
      </c>
      <c r="K67" s="35" t="s">
        <v>1663</v>
      </c>
      <c r="L67" s="35">
        <v>0</v>
      </c>
      <c r="O67" s="35">
        <v>1</v>
      </c>
      <c r="P67" s="35" t="s">
        <v>307</v>
      </c>
      <c r="Q67" s="1" t="s">
        <v>302</v>
      </c>
      <c r="R67" s="1"/>
      <c r="T67" s="35">
        <v>21</v>
      </c>
      <c r="V67" s="35">
        <v>20</v>
      </c>
      <c r="W67" s="1">
        <v>21</v>
      </c>
      <c r="X67" s="1">
        <v>22</v>
      </c>
      <c r="Y67" s="1" t="s">
        <v>2080</v>
      </c>
      <c r="Z67" s="35">
        <v>7</v>
      </c>
      <c r="AA67" s="13" t="b">
        <v>1</v>
      </c>
      <c r="AB67" s="1"/>
      <c r="AC67" s="57" t="s">
        <v>1394</v>
      </c>
      <c r="AD67" s="1"/>
      <c r="AE67" s="57"/>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row>
    <row r="68" spans="1:331" s="72" customFormat="1" x14ac:dyDescent="0.25">
      <c r="A68" s="72" t="s">
        <v>308</v>
      </c>
      <c r="B68" s="75" t="s">
        <v>309</v>
      </c>
      <c r="C68" s="13" t="s">
        <v>1647</v>
      </c>
      <c r="D68" s="72">
        <v>0</v>
      </c>
      <c r="H68" s="72" t="s">
        <v>193</v>
      </c>
      <c r="I68" s="72" t="s">
        <v>310</v>
      </c>
      <c r="J68" s="72" t="s">
        <v>194</v>
      </c>
      <c r="K68" s="72" t="s">
        <v>310</v>
      </c>
      <c r="L68" s="72">
        <v>0</v>
      </c>
      <c r="O68" s="72">
        <v>1</v>
      </c>
      <c r="P68" s="72" t="s">
        <v>311</v>
      </c>
      <c r="Q68" s="1"/>
      <c r="R68" s="1" t="s">
        <v>1790</v>
      </c>
      <c r="T68" s="72">
        <v>9.4</v>
      </c>
      <c r="V68" s="72">
        <v>12</v>
      </c>
      <c r="W68" s="1">
        <v>9.4</v>
      </c>
      <c r="X68" s="1">
        <v>16</v>
      </c>
      <c r="Y68" s="1" t="s">
        <v>2081</v>
      </c>
      <c r="Z68" s="72">
        <v>14</v>
      </c>
      <c r="AA68" s="13" t="b">
        <v>1</v>
      </c>
      <c r="AB68" s="1"/>
      <c r="AC68" s="57" t="s">
        <v>1401</v>
      </c>
      <c r="AD68" s="1"/>
      <c r="AE68" s="57"/>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331" s="40" customFormat="1" x14ac:dyDescent="0.25">
      <c r="A69" s="40" t="s">
        <v>312</v>
      </c>
      <c r="B69" s="44" t="s">
        <v>313</v>
      </c>
      <c r="C69" s="13" t="s">
        <v>1647</v>
      </c>
      <c r="D69" s="40">
        <v>0</v>
      </c>
      <c r="H69" s="40" t="s">
        <v>129</v>
      </c>
      <c r="I69" s="40" t="s">
        <v>314</v>
      </c>
      <c r="J69" s="40" t="s">
        <v>315</v>
      </c>
      <c r="K69" s="40" t="s">
        <v>384</v>
      </c>
      <c r="L69" s="40">
        <v>0</v>
      </c>
      <c r="O69" s="40">
        <v>1</v>
      </c>
      <c r="P69" s="40" t="s">
        <v>316</v>
      </c>
      <c r="Q69" s="1" t="s">
        <v>1515</v>
      </c>
      <c r="R69" s="1"/>
      <c r="S69" s="40">
        <v>10</v>
      </c>
      <c r="U69" s="40">
        <v>11</v>
      </c>
      <c r="W69" s="1">
        <v>10</v>
      </c>
      <c r="X69" s="1">
        <v>13</v>
      </c>
      <c r="Y69" s="1" t="s">
        <v>2082</v>
      </c>
      <c r="Z69" s="40">
        <v>8</v>
      </c>
      <c r="AA69" s="13" t="b">
        <v>1</v>
      </c>
      <c r="AB69" s="1"/>
      <c r="AC69" s="57" t="s">
        <v>1402</v>
      </c>
      <c r="AD69" s="1"/>
      <c r="AE69" s="57"/>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row>
    <row r="70" spans="1:331" s="25" customFormat="1" x14ac:dyDescent="0.25">
      <c r="A70" s="25" t="s">
        <v>317</v>
      </c>
      <c r="B70" s="29" t="s">
        <v>318</v>
      </c>
      <c r="C70" s="13" t="s">
        <v>1647</v>
      </c>
      <c r="D70" s="25">
        <v>0</v>
      </c>
      <c r="H70" s="25" t="s">
        <v>319</v>
      </c>
      <c r="I70" s="25" t="s">
        <v>320</v>
      </c>
      <c r="J70" s="25" t="s">
        <v>321</v>
      </c>
      <c r="K70" s="25" t="s">
        <v>496</v>
      </c>
      <c r="L70" s="25">
        <v>0</v>
      </c>
      <c r="O70" s="25">
        <v>1</v>
      </c>
      <c r="Q70" s="1" t="s">
        <v>1516</v>
      </c>
      <c r="R70" s="1"/>
      <c r="T70" s="25">
        <v>6</v>
      </c>
      <c r="V70" s="25">
        <v>8</v>
      </c>
      <c r="W70" s="1">
        <v>6</v>
      </c>
      <c r="X70" s="1">
        <v>13</v>
      </c>
      <c r="Y70" s="1" t="s">
        <v>2083</v>
      </c>
      <c r="Z70" s="25">
        <v>5</v>
      </c>
      <c r="AA70" s="13" t="b">
        <v>1</v>
      </c>
      <c r="AB70" s="1"/>
      <c r="AC70" s="57" t="s">
        <v>1282</v>
      </c>
      <c r="AD70" s="1"/>
      <c r="AE70" s="57"/>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row>
    <row r="71" spans="1:331" s="25" customFormat="1" x14ac:dyDescent="0.25">
      <c r="A71" s="25" t="s">
        <v>322</v>
      </c>
      <c r="B71" s="29" t="s">
        <v>323</v>
      </c>
      <c r="C71" s="13" t="s">
        <v>1647</v>
      </c>
      <c r="D71" s="25">
        <v>0</v>
      </c>
      <c r="H71" s="25" t="s">
        <v>324</v>
      </c>
      <c r="I71" s="25" t="s">
        <v>325</v>
      </c>
      <c r="J71" s="25" t="s">
        <v>324</v>
      </c>
      <c r="K71" s="25" t="s">
        <v>1664</v>
      </c>
      <c r="L71" s="25">
        <v>0</v>
      </c>
      <c r="O71" s="25">
        <v>0</v>
      </c>
      <c r="Q71" s="1" t="s">
        <v>522</v>
      </c>
      <c r="R71" s="1"/>
      <c r="S71" s="25">
        <v>8.4</v>
      </c>
      <c r="V71" s="25">
        <v>9</v>
      </c>
      <c r="W71" s="1">
        <v>8</v>
      </c>
      <c r="X71" s="1">
        <v>13</v>
      </c>
      <c r="Y71" s="1" t="s">
        <v>2084</v>
      </c>
      <c r="Z71" s="25">
        <v>5</v>
      </c>
      <c r="AA71" s="13" t="b">
        <v>1</v>
      </c>
      <c r="AB71" s="1"/>
      <c r="AC71" s="57" t="s">
        <v>1318</v>
      </c>
      <c r="AD71" s="1"/>
      <c r="AE71" s="57"/>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row>
    <row r="72" spans="1:331" s="3" customFormat="1" x14ac:dyDescent="0.25">
      <c r="A72" s="3" t="s">
        <v>326</v>
      </c>
      <c r="B72" s="5" t="s">
        <v>327</v>
      </c>
      <c r="C72" s="13" t="s">
        <v>1647</v>
      </c>
      <c r="D72" s="3">
        <v>0</v>
      </c>
      <c r="H72" s="3" t="s">
        <v>328</v>
      </c>
      <c r="I72" s="3" t="s">
        <v>329</v>
      </c>
      <c r="J72" s="3" t="s">
        <v>330</v>
      </c>
      <c r="K72" s="3" t="s">
        <v>328</v>
      </c>
      <c r="L72" s="3">
        <v>1</v>
      </c>
      <c r="M72" s="3" t="s">
        <v>331</v>
      </c>
      <c r="O72" s="3">
        <v>1</v>
      </c>
      <c r="P72" s="3" t="s">
        <v>332</v>
      </c>
      <c r="Q72" s="1" t="s">
        <v>614</v>
      </c>
      <c r="R72" s="1"/>
      <c r="S72" s="3">
        <v>8</v>
      </c>
      <c r="V72" s="3">
        <v>12</v>
      </c>
      <c r="W72" s="1">
        <v>8</v>
      </c>
      <c r="X72" s="1">
        <v>12</v>
      </c>
      <c r="Y72" s="1" t="s">
        <v>2085</v>
      </c>
      <c r="Z72" s="3">
        <v>1</v>
      </c>
      <c r="AA72" s="13" t="b">
        <v>1</v>
      </c>
      <c r="AB72" s="1" t="s">
        <v>1898</v>
      </c>
      <c r="AC72" s="57" t="s">
        <v>1319</v>
      </c>
      <c r="AD72" s="1"/>
      <c r="AE72" s="57"/>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row>
    <row r="73" spans="1:331" s="30" customFormat="1" x14ac:dyDescent="0.25">
      <c r="A73" s="30" t="s">
        <v>333</v>
      </c>
      <c r="B73" s="30" t="s">
        <v>334</v>
      </c>
      <c r="C73" s="1" t="s">
        <v>1647</v>
      </c>
      <c r="D73" s="30">
        <v>0</v>
      </c>
      <c r="H73" s="30" t="s">
        <v>335</v>
      </c>
      <c r="I73" s="30" t="s">
        <v>230</v>
      </c>
      <c r="J73" s="30" t="s">
        <v>335</v>
      </c>
      <c r="K73" s="30" t="s">
        <v>230</v>
      </c>
      <c r="L73" s="30">
        <v>1</v>
      </c>
      <c r="M73" s="30" t="s">
        <v>336</v>
      </c>
      <c r="O73" s="30">
        <v>0</v>
      </c>
      <c r="Q73" s="1" t="s">
        <v>1517</v>
      </c>
      <c r="R73" s="1"/>
      <c r="T73" s="30">
        <v>15</v>
      </c>
      <c r="V73" s="30">
        <v>14</v>
      </c>
      <c r="W73" s="1">
        <v>15</v>
      </c>
      <c r="X73" s="1">
        <v>13</v>
      </c>
      <c r="Y73" s="1" t="s">
        <v>2086</v>
      </c>
      <c r="Z73" s="30">
        <v>6</v>
      </c>
      <c r="AA73" s="13" t="b">
        <v>1</v>
      </c>
      <c r="AB73" s="1"/>
      <c r="AC73" s="57" t="s">
        <v>1320</v>
      </c>
      <c r="AD73" s="1"/>
      <c r="AE73" s="57"/>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row r="74" spans="1:331" s="40" customFormat="1" x14ac:dyDescent="0.25">
      <c r="A74" s="40" t="s">
        <v>337</v>
      </c>
      <c r="B74" s="40" t="s">
        <v>338</v>
      </c>
      <c r="C74" s="1" t="s">
        <v>1647</v>
      </c>
      <c r="D74" s="40">
        <v>0</v>
      </c>
      <c r="H74" s="40" t="s">
        <v>339</v>
      </c>
      <c r="I74" s="40" t="s">
        <v>340</v>
      </c>
      <c r="J74" s="40" t="s">
        <v>339</v>
      </c>
      <c r="K74" s="40" t="s">
        <v>1665</v>
      </c>
      <c r="L74" s="40">
        <v>0</v>
      </c>
      <c r="O74" s="40">
        <v>1</v>
      </c>
      <c r="P74" s="40" t="s">
        <v>341</v>
      </c>
      <c r="Q74" s="1" t="s">
        <v>1518</v>
      </c>
      <c r="R74" s="1"/>
      <c r="S74" s="40">
        <v>3</v>
      </c>
      <c r="W74" s="1">
        <v>3</v>
      </c>
      <c r="X74" s="1">
        <v>12</v>
      </c>
      <c r="Y74" s="1" t="s">
        <v>2087</v>
      </c>
      <c r="Z74" s="40">
        <v>8</v>
      </c>
      <c r="AA74" s="13" t="b">
        <v>1</v>
      </c>
      <c r="AB74" s="1"/>
      <c r="AC74" s="57" t="s">
        <v>1283</v>
      </c>
      <c r="AD74" s="1"/>
      <c r="AE74" s="57"/>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row>
    <row r="75" spans="1:331" s="40" customFormat="1" x14ac:dyDescent="0.25">
      <c r="A75" s="40" t="s">
        <v>342</v>
      </c>
      <c r="B75" s="40" t="s">
        <v>343</v>
      </c>
      <c r="C75" s="1" t="s">
        <v>1647</v>
      </c>
      <c r="D75" s="40">
        <v>0</v>
      </c>
      <c r="H75" s="40" t="s">
        <v>344</v>
      </c>
      <c r="I75" s="40" t="s">
        <v>345</v>
      </c>
      <c r="J75" s="40" t="s">
        <v>346</v>
      </c>
      <c r="K75" s="40" t="s">
        <v>526</v>
      </c>
      <c r="L75" s="40">
        <v>0</v>
      </c>
      <c r="O75" s="40">
        <v>1</v>
      </c>
      <c r="P75" s="40" t="s">
        <v>347</v>
      </c>
      <c r="Q75" s="1" t="s">
        <v>210</v>
      </c>
      <c r="R75" s="1"/>
      <c r="S75" s="40">
        <v>16</v>
      </c>
      <c r="W75" s="1">
        <v>16</v>
      </c>
      <c r="X75" s="1">
        <v>15</v>
      </c>
      <c r="Y75" s="1" t="s">
        <v>2088</v>
      </c>
      <c r="Z75" s="40">
        <v>8</v>
      </c>
      <c r="AA75" s="13" t="b">
        <v>1</v>
      </c>
      <c r="AB75" s="1"/>
      <c r="AC75" s="57" t="s">
        <v>1403</v>
      </c>
      <c r="AD75" s="1"/>
      <c r="AE75" s="57"/>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row>
    <row r="76" spans="1:331" s="59" customFormat="1" x14ac:dyDescent="0.25">
      <c r="A76" s="59" t="s">
        <v>348</v>
      </c>
      <c r="B76" s="61">
        <v>483418</v>
      </c>
      <c r="C76" s="13" t="s">
        <v>1647</v>
      </c>
      <c r="D76" s="59">
        <v>1</v>
      </c>
      <c r="H76" s="59" t="s">
        <v>349</v>
      </c>
      <c r="I76" s="59" t="s">
        <v>350</v>
      </c>
      <c r="J76" s="59" t="s">
        <v>349</v>
      </c>
      <c r="K76" s="59" t="s">
        <v>1643</v>
      </c>
      <c r="L76" s="59">
        <v>1</v>
      </c>
      <c r="M76" s="59" t="s">
        <v>351</v>
      </c>
      <c r="O76" s="59">
        <v>1</v>
      </c>
      <c r="Q76" s="1"/>
      <c r="R76" s="1" t="s">
        <v>1791</v>
      </c>
      <c r="S76" s="59">
        <v>12.27</v>
      </c>
      <c r="U76" s="59">
        <v>13</v>
      </c>
      <c r="W76" s="1">
        <v>12</v>
      </c>
      <c r="X76" s="1">
        <v>12</v>
      </c>
      <c r="Y76" s="1" t="s">
        <v>2089</v>
      </c>
      <c r="Z76" s="59">
        <v>11</v>
      </c>
      <c r="AA76" s="13" t="b">
        <v>1</v>
      </c>
      <c r="AB76" s="1"/>
      <c r="AC76" s="57" t="s">
        <v>1906</v>
      </c>
      <c r="AD76" s="1"/>
      <c r="AE76" s="57"/>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row>
    <row r="77" spans="1:331" s="3" customFormat="1" x14ac:dyDescent="0.25">
      <c r="A77" s="3" t="s">
        <v>352</v>
      </c>
      <c r="B77" s="3" t="s">
        <v>353</v>
      </c>
      <c r="C77" s="1" t="s">
        <v>1647</v>
      </c>
      <c r="D77" s="3">
        <v>1</v>
      </c>
      <c r="E77" s="3" t="s">
        <v>354</v>
      </c>
      <c r="H77" s="3" t="s">
        <v>355</v>
      </c>
      <c r="I77" s="3" t="s">
        <v>355</v>
      </c>
      <c r="J77" s="3" t="s">
        <v>356</v>
      </c>
      <c r="K77" s="3" t="s">
        <v>355</v>
      </c>
      <c r="L77" s="3">
        <v>0</v>
      </c>
      <c r="O77" s="3">
        <v>1</v>
      </c>
      <c r="P77" s="3" t="s">
        <v>252</v>
      </c>
      <c r="Q77" s="1" t="s">
        <v>1519</v>
      </c>
      <c r="R77" s="1"/>
      <c r="S77" s="3">
        <v>25</v>
      </c>
      <c r="U77" s="3">
        <v>34</v>
      </c>
      <c r="V77" s="3">
        <v>24</v>
      </c>
      <c r="W77" s="1">
        <v>25</v>
      </c>
      <c r="X77" s="1">
        <v>26</v>
      </c>
      <c r="Y77" s="1" t="s">
        <v>2090</v>
      </c>
      <c r="Z77" s="3">
        <v>1</v>
      </c>
      <c r="AA77" s="13" t="b">
        <v>1</v>
      </c>
      <c r="AB77" s="1"/>
      <c r="AC77" s="57" t="s">
        <v>1717</v>
      </c>
      <c r="AD77" s="1"/>
      <c r="AE77" s="57"/>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row>
    <row r="78" spans="1:331" s="25" customFormat="1" x14ac:dyDescent="0.25">
      <c r="A78" s="25" t="s">
        <v>357</v>
      </c>
      <c r="B78" s="25" t="s">
        <v>358</v>
      </c>
      <c r="C78" s="1" t="s">
        <v>1647</v>
      </c>
      <c r="D78" s="25">
        <v>0</v>
      </c>
      <c r="H78" s="25" t="s">
        <v>359</v>
      </c>
      <c r="I78" s="25" t="s">
        <v>360</v>
      </c>
      <c r="J78" s="25" t="s">
        <v>359</v>
      </c>
      <c r="K78" s="25" t="s">
        <v>359</v>
      </c>
      <c r="L78" s="25">
        <v>0</v>
      </c>
      <c r="O78" s="25">
        <v>1</v>
      </c>
      <c r="Q78" s="1" t="s">
        <v>783</v>
      </c>
      <c r="R78" s="1"/>
      <c r="S78" s="25">
        <v>7</v>
      </c>
      <c r="W78" s="1">
        <v>7</v>
      </c>
      <c r="X78" s="1">
        <v>4</v>
      </c>
      <c r="Y78" s="1" t="s">
        <v>2091</v>
      </c>
      <c r="Z78" s="25">
        <v>5</v>
      </c>
      <c r="AA78" s="13" t="b">
        <v>1</v>
      </c>
      <c r="AB78" s="1"/>
      <c r="AC78" s="57" t="s">
        <v>1284</v>
      </c>
      <c r="AD78" s="1"/>
      <c r="AE78" s="57"/>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row>
    <row r="79" spans="1:331" s="40" customFormat="1" x14ac:dyDescent="0.25">
      <c r="A79" s="40" t="s">
        <v>361</v>
      </c>
      <c r="B79" s="40" t="s">
        <v>362</v>
      </c>
      <c r="C79" s="1" t="s">
        <v>1647</v>
      </c>
      <c r="D79" s="40">
        <v>0</v>
      </c>
      <c r="H79" s="40" t="s">
        <v>363</v>
      </c>
      <c r="I79" s="40" t="s">
        <v>364</v>
      </c>
      <c r="J79" s="40" t="s">
        <v>364</v>
      </c>
      <c r="K79" s="40" t="s">
        <v>1666</v>
      </c>
      <c r="L79" s="40">
        <v>0</v>
      </c>
      <c r="O79" s="40">
        <v>1</v>
      </c>
      <c r="P79" s="40" t="s">
        <v>365</v>
      </c>
      <c r="Q79" s="1" t="s">
        <v>1520</v>
      </c>
      <c r="R79" s="1"/>
      <c r="S79" s="40">
        <v>15</v>
      </c>
      <c r="T79" s="40">
        <v>18</v>
      </c>
      <c r="W79" s="1">
        <v>15</v>
      </c>
      <c r="X79" s="1">
        <v>22</v>
      </c>
      <c r="Y79" s="1" t="s">
        <v>2092</v>
      </c>
      <c r="Z79" s="40">
        <v>8</v>
      </c>
      <c r="AA79" s="13" t="b">
        <v>1</v>
      </c>
      <c r="AB79" s="1"/>
      <c r="AC79" s="57" t="s">
        <v>1404</v>
      </c>
      <c r="AD79" s="1"/>
      <c r="AE79" s="57"/>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row>
    <row r="80" spans="1:331" s="25" customFormat="1" x14ac:dyDescent="0.25">
      <c r="A80" s="25" t="s">
        <v>366</v>
      </c>
      <c r="B80" s="29" t="s">
        <v>367</v>
      </c>
      <c r="C80" s="13" t="s">
        <v>1647</v>
      </c>
      <c r="D80" s="25">
        <v>0</v>
      </c>
      <c r="H80" s="25" t="s">
        <v>368</v>
      </c>
      <c r="I80" s="25" t="s">
        <v>369</v>
      </c>
      <c r="J80" s="25" t="s">
        <v>368</v>
      </c>
      <c r="K80" s="25" t="s">
        <v>369</v>
      </c>
      <c r="L80" s="25">
        <v>0</v>
      </c>
      <c r="O80" s="25">
        <v>0</v>
      </c>
      <c r="Q80" s="1" t="s">
        <v>1521</v>
      </c>
      <c r="R80" s="1"/>
      <c r="S80" s="25">
        <v>15</v>
      </c>
      <c r="W80" s="1">
        <v>15</v>
      </c>
      <c r="X80" s="1">
        <v>14</v>
      </c>
      <c r="Y80" s="1" t="s">
        <v>2093</v>
      </c>
      <c r="Z80" s="25">
        <v>5</v>
      </c>
      <c r="AA80" s="13" t="b">
        <v>1</v>
      </c>
      <c r="AB80" s="1" t="s">
        <v>1894</v>
      </c>
      <c r="AC80" s="57" t="s">
        <v>1311</v>
      </c>
      <c r="AD80" s="1"/>
      <c r="AE80" s="57"/>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row>
    <row r="81" spans="1:331" s="35" customFormat="1" x14ac:dyDescent="0.25">
      <c r="A81" s="35" t="s">
        <v>370</v>
      </c>
      <c r="B81" s="35" t="s">
        <v>370</v>
      </c>
      <c r="C81" s="1" t="s">
        <v>1647</v>
      </c>
      <c r="D81" s="35">
        <v>1</v>
      </c>
      <c r="E81" s="35" t="s">
        <v>371</v>
      </c>
      <c r="H81" s="35" t="s">
        <v>372</v>
      </c>
      <c r="I81" s="35" t="s">
        <v>373</v>
      </c>
      <c r="J81" s="35" t="s">
        <v>374</v>
      </c>
      <c r="K81" s="35" t="s">
        <v>373</v>
      </c>
      <c r="L81" s="35">
        <v>0</v>
      </c>
      <c r="O81" s="35">
        <v>1</v>
      </c>
      <c r="P81" s="35" t="s">
        <v>375</v>
      </c>
      <c r="Q81" s="1" t="s">
        <v>380</v>
      </c>
      <c r="R81" s="1"/>
      <c r="T81" s="35">
        <v>11</v>
      </c>
      <c r="V81" s="35">
        <v>14</v>
      </c>
      <c r="W81" s="1">
        <v>11</v>
      </c>
      <c r="X81" s="1">
        <v>15</v>
      </c>
      <c r="Y81" s="1" t="s">
        <v>2094</v>
      </c>
      <c r="Z81" s="35">
        <v>7</v>
      </c>
      <c r="AA81" s="13" t="b">
        <v>1</v>
      </c>
      <c r="AB81" s="1"/>
      <c r="AC81" s="57" t="s">
        <v>1395</v>
      </c>
      <c r="AD81" s="1"/>
      <c r="AE81" s="57"/>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row>
    <row r="82" spans="1:331" s="25" customFormat="1" x14ac:dyDescent="0.25">
      <c r="A82" s="25" t="s">
        <v>376</v>
      </c>
      <c r="B82" s="29" t="s">
        <v>377</v>
      </c>
      <c r="C82" s="13" t="s">
        <v>1647</v>
      </c>
      <c r="D82" s="25">
        <v>0</v>
      </c>
      <c r="H82" s="25" t="s">
        <v>378</v>
      </c>
      <c r="I82" s="25" t="s">
        <v>185</v>
      </c>
      <c r="J82" s="25" t="s">
        <v>378</v>
      </c>
      <c r="K82" s="25" t="s">
        <v>185</v>
      </c>
      <c r="L82" s="25">
        <v>0</v>
      </c>
      <c r="O82" s="25">
        <v>1</v>
      </c>
      <c r="Q82" s="1" t="s">
        <v>1522</v>
      </c>
      <c r="R82" s="1"/>
      <c r="T82" s="25">
        <v>11</v>
      </c>
      <c r="V82" s="25">
        <v>11</v>
      </c>
      <c r="W82" s="1">
        <v>11</v>
      </c>
      <c r="X82" s="1">
        <v>14</v>
      </c>
      <c r="Y82" s="1" t="s">
        <v>2095</v>
      </c>
      <c r="Z82" s="25">
        <v>5</v>
      </c>
      <c r="AA82" s="13" t="b">
        <v>1</v>
      </c>
      <c r="AB82" s="1"/>
      <c r="AC82" s="57" t="s">
        <v>1321</v>
      </c>
      <c r="AD82" s="1"/>
      <c r="AE82" s="57"/>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row>
    <row r="83" spans="1:331" s="40" customFormat="1" x14ac:dyDescent="0.25">
      <c r="A83" s="40" t="s">
        <v>379</v>
      </c>
      <c r="B83" s="44" t="s">
        <v>379</v>
      </c>
      <c r="C83" s="13" t="s">
        <v>1647</v>
      </c>
      <c r="D83" s="40">
        <v>0</v>
      </c>
      <c r="H83" s="40" t="s">
        <v>25</v>
      </c>
      <c r="I83" s="40" t="s">
        <v>380</v>
      </c>
      <c r="J83" s="40" t="s">
        <v>25</v>
      </c>
      <c r="K83" s="40" t="s">
        <v>25</v>
      </c>
      <c r="L83" s="40">
        <v>0</v>
      </c>
      <c r="O83" s="40">
        <v>1</v>
      </c>
      <c r="P83" s="40" t="s">
        <v>381</v>
      </c>
      <c r="Q83" s="1" t="s">
        <v>316</v>
      </c>
      <c r="R83" s="1"/>
      <c r="S83" s="40">
        <v>7</v>
      </c>
      <c r="U83" s="40">
        <v>10</v>
      </c>
      <c r="W83" s="1">
        <v>7</v>
      </c>
      <c r="X83" s="1">
        <v>20</v>
      </c>
      <c r="Y83" s="1" t="s">
        <v>2096</v>
      </c>
      <c r="Z83" s="40">
        <v>8</v>
      </c>
      <c r="AA83" s="13" t="b">
        <v>1</v>
      </c>
      <c r="AB83" s="1"/>
      <c r="AC83" s="57" t="s">
        <v>1402</v>
      </c>
      <c r="AD83" s="1"/>
      <c r="AE83" s="57"/>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row>
    <row r="84" spans="1:331" s="72" customFormat="1" x14ac:dyDescent="0.25">
      <c r="A84" s="72" t="s">
        <v>382</v>
      </c>
      <c r="B84" s="75" t="s">
        <v>382</v>
      </c>
      <c r="C84" s="13" t="s">
        <v>1647</v>
      </c>
      <c r="D84" s="72">
        <v>0</v>
      </c>
      <c r="H84" s="72" t="s">
        <v>383</v>
      </c>
      <c r="I84" s="72" t="s">
        <v>31</v>
      </c>
      <c r="J84" s="72" t="s">
        <v>383</v>
      </c>
      <c r="K84" s="72" t="s">
        <v>32</v>
      </c>
      <c r="L84" s="72">
        <v>0</v>
      </c>
      <c r="O84" s="72">
        <v>1</v>
      </c>
      <c r="P84" s="72" t="s">
        <v>384</v>
      </c>
      <c r="Q84" s="1"/>
      <c r="R84" s="1" t="s">
        <v>1792</v>
      </c>
      <c r="S84" s="72">
        <v>7</v>
      </c>
      <c r="U84" s="72">
        <v>8</v>
      </c>
      <c r="W84" s="1">
        <v>7</v>
      </c>
      <c r="X84" s="1">
        <v>8</v>
      </c>
      <c r="Y84" s="1" t="s">
        <v>2097</v>
      </c>
      <c r="Z84" s="72">
        <v>14</v>
      </c>
      <c r="AA84" s="13" t="b">
        <v>1</v>
      </c>
      <c r="AB84" s="1"/>
      <c r="AC84" s="57" t="s">
        <v>1405</v>
      </c>
      <c r="AD84" s="1"/>
      <c r="AE84" s="57"/>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row>
    <row r="85" spans="1:331" s="25" customFormat="1" x14ac:dyDescent="0.25">
      <c r="A85" s="25" t="s">
        <v>385</v>
      </c>
      <c r="B85" s="29" t="s">
        <v>385</v>
      </c>
      <c r="C85" s="13" t="s">
        <v>1647</v>
      </c>
      <c r="D85" s="25">
        <v>0</v>
      </c>
      <c r="H85" s="25" t="s">
        <v>35</v>
      </c>
      <c r="I85" s="25" t="s">
        <v>386</v>
      </c>
      <c r="J85" s="25" t="s">
        <v>35</v>
      </c>
      <c r="K85" s="25" t="s">
        <v>1546</v>
      </c>
      <c r="L85" s="25">
        <v>0</v>
      </c>
      <c r="O85" s="25">
        <v>0</v>
      </c>
      <c r="Q85" s="1" t="s">
        <v>974</v>
      </c>
      <c r="R85" s="1"/>
      <c r="S85" s="25">
        <v>7</v>
      </c>
      <c r="U85" s="25">
        <v>6</v>
      </c>
      <c r="W85" s="1">
        <v>7</v>
      </c>
      <c r="X85" s="1">
        <v>0</v>
      </c>
      <c r="Y85" s="1" t="s">
        <v>2098</v>
      </c>
      <c r="Z85" s="25">
        <v>5</v>
      </c>
      <c r="AA85" s="13" t="b">
        <v>1</v>
      </c>
      <c r="AB85" s="1"/>
      <c r="AC85" s="57" t="s">
        <v>1329</v>
      </c>
      <c r="AD85" s="1"/>
      <c r="AE85" s="57"/>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row>
    <row r="86" spans="1:331" s="30" customFormat="1" x14ac:dyDescent="0.25">
      <c r="A86" s="30" t="s">
        <v>387</v>
      </c>
      <c r="B86" s="30" t="s">
        <v>387</v>
      </c>
      <c r="C86" s="1" t="s">
        <v>1647</v>
      </c>
      <c r="D86" s="30">
        <v>1</v>
      </c>
      <c r="H86" s="30" t="s">
        <v>388</v>
      </c>
      <c r="I86" s="30" t="s">
        <v>389</v>
      </c>
      <c r="J86" s="30" t="s">
        <v>388</v>
      </c>
      <c r="K86" s="30" t="s">
        <v>1667</v>
      </c>
      <c r="L86" s="30">
        <v>0</v>
      </c>
      <c r="O86" s="30">
        <v>0</v>
      </c>
      <c r="Q86" s="1" t="s">
        <v>1514</v>
      </c>
      <c r="R86" s="1"/>
      <c r="T86" s="30">
        <v>16</v>
      </c>
      <c r="W86" s="1">
        <v>16</v>
      </c>
      <c r="X86" s="1">
        <v>17</v>
      </c>
      <c r="Y86" s="1" t="s">
        <v>2099</v>
      </c>
      <c r="Z86" s="30">
        <v>6</v>
      </c>
      <c r="AA86" s="13" t="b">
        <v>1</v>
      </c>
      <c r="AB86" s="1" t="s">
        <v>1890</v>
      </c>
      <c r="AC86" s="57" t="s">
        <v>1924</v>
      </c>
      <c r="AD86" s="1"/>
      <c r="AE86" s="57"/>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row>
    <row r="87" spans="1:331" s="25" customFormat="1" x14ac:dyDescent="0.25">
      <c r="A87" s="25" t="s">
        <v>390</v>
      </c>
      <c r="B87" s="29" t="s">
        <v>390</v>
      </c>
      <c r="C87" s="13" t="s">
        <v>1647</v>
      </c>
      <c r="D87" s="25">
        <v>0</v>
      </c>
      <c r="H87" s="25" t="s">
        <v>391</v>
      </c>
      <c r="I87" s="25" t="s">
        <v>392</v>
      </c>
      <c r="J87" s="25" t="s">
        <v>391</v>
      </c>
      <c r="K87" s="25" t="s">
        <v>1668</v>
      </c>
      <c r="L87" s="25">
        <v>0</v>
      </c>
      <c r="O87" s="25">
        <v>0</v>
      </c>
      <c r="Q87" s="1" t="s">
        <v>1523</v>
      </c>
      <c r="R87" s="1"/>
      <c r="S87" s="25">
        <v>7</v>
      </c>
      <c r="U87" s="25">
        <v>8</v>
      </c>
      <c r="W87" s="1">
        <v>7</v>
      </c>
      <c r="X87" s="1">
        <v>14</v>
      </c>
      <c r="Y87" s="1" t="s">
        <v>2100</v>
      </c>
      <c r="Z87" s="25">
        <v>5</v>
      </c>
      <c r="AA87" s="13" t="b">
        <v>1</v>
      </c>
      <c r="AB87" s="1"/>
      <c r="AC87" s="57" t="s">
        <v>1330</v>
      </c>
      <c r="AD87" s="1"/>
      <c r="AE87" s="57"/>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row>
    <row r="88" spans="1:331" s="25" customFormat="1" x14ac:dyDescent="0.25">
      <c r="A88" s="25" t="s">
        <v>393</v>
      </c>
      <c r="B88" s="25" t="s">
        <v>394</v>
      </c>
      <c r="C88" s="1" t="s">
        <v>1647</v>
      </c>
      <c r="D88" s="25">
        <v>0</v>
      </c>
      <c r="H88" s="25" t="s">
        <v>39</v>
      </c>
      <c r="I88" s="25" t="s">
        <v>395</v>
      </c>
      <c r="J88" s="25" t="s">
        <v>39</v>
      </c>
      <c r="K88" s="25" t="s">
        <v>395</v>
      </c>
      <c r="L88" s="25">
        <v>0</v>
      </c>
      <c r="O88" s="25">
        <v>0</v>
      </c>
      <c r="Q88" s="1" t="s">
        <v>1524</v>
      </c>
      <c r="R88" s="1"/>
      <c r="T88" s="25">
        <v>12</v>
      </c>
      <c r="V88" s="25">
        <v>12</v>
      </c>
      <c r="W88" s="1">
        <v>12</v>
      </c>
      <c r="X88" s="1">
        <v>14</v>
      </c>
      <c r="Y88" s="1" t="s">
        <v>2101</v>
      </c>
      <c r="Z88" s="25">
        <v>5</v>
      </c>
      <c r="AA88" s="13" t="b">
        <v>1</v>
      </c>
      <c r="AB88" s="1"/>
      <c r="AC88" s="57" t="s">
        <v>1331</v>
      </c>
      <c r="AD88" s="1"/>
      <c r="AE88" s="57"/>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row>
    <row r="89" spans="1:331" s="17" customFormat="1" x14ac:dyDescent="0.25">
      <c r="A89" s="17" t="s">
        <v>396</v>
      </c>
      <c r="B89" s="21" t="s">
        <v>397</v>
      </c>
      <c r="C89" s="13" t="s">
        <v>1647</v>
      </c>
      <c r="D89" s="17">
        <v>3</v>
      </c>
      <c r="E89" s="17" t="s">
        <v>43</v>
      </c>
      <c r="F89" s="17" t="s">
        <v>398</v>
      </c>
      <c r="G89" s="17" t="s">
        <v>398</v>
      </c>
      <c r="H89" s="17" t="s">
        <v>399</v>
      </c>
      <c r="I89" s="17" t="s">
        <v>43</v>
      </c>
      <c r="J89" s="17" t="s">
        <v>399</v>
      </c>
      <c r="K89" s="17" t="s">
        <v>398</v>
      </c>
      <c r="L89" s="17">
        <v>1</v>
      </c>
      <c r="M89" s="17" t="s">
        <v>400</v>
      </c>
      <c r="O89" s="17">
        <v>1</v>
      </c>
      <c r="P89" s="17" t="s">
        <v>401</v>
      </c>
      <c r="Q89" s="1" t="s">
        <v>1525</v>
      </c>
      <c r="R89" s="1"/>
      <c r="T89" s="17">
        <v>7</v>
      </c>
      <c r="V89" s="17">
        <v>9</v>
      </c>
      <c r="W89" s="1">
        <v>7</v>
      </c>
      <c r="X89" s="1">
        <v>14</v>
      </c>
      <c r="Y89" s="1" t="s">
        <v>2102</v>
      </c>
      <c r="Z89" s="17">
        <v>3</v>
      </c>
      <c r="AA89" s="13" t="b">
        <v>1</v>
      </c>
      <c r="AB89" s="1" t="s">
        <v>1890</v>
      </c>
      <c r="AC89" s="57" t="s">
        <v>1332</v>
      </c>
      <c r="AD89" s="1"/>
      <c r="AE89" s="57"/>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row>
    <row r="90" spans="1:331" s="25" customFormat="1" x14ac:dyDescent="0.25">
      <c r="A90" s="25" t="s">
        <v>402</v>
      </c>
      <c r="B90" s="29" t="s">
        <v>403</v>
      </c>
      <c r="C90" s="13" t="s">
        <v>1647</v>
      </c>
      <c r="D90" s="25">
        <v>0</v>
      </c>
      <c r="H90" s="25" t="s">
        <v>404</v>
      </c>
      <c r="I90" s="25" t="s">
        <v>405</v>
      </c>
      <c r="J90" s="25" t="s">
        <v>404</v>
      </c>
      <c r="K90" s="25" t="s">
        <v>405</v>
      </c>
      <c r="L90" s="25">
        <v>0</v>
      </c>
      <c r="O90" s="25">
        <v>0</v>
      </c>
      <c r="Q90" s="1" t="s">
        <v>1526</v>
      </c>
      <c r="R90" s="1"/>
      <c r="T90" s="25">
        <v>8</v>
      </c>
      <c r="V90" s="25">
        <v>8</v>
      </c>
      <c r="W90" s="1">
        <v>8</v>
      </c>
      <c r="X90" s="1">
        <v>8</v>
      </c>
      <c r="Y90" s="1" t="s">
        <v>2103</v>
      </c>
      <c r="Z90" s="25">
        <v>5</v>
      </c>
      <c r="AA90" s="13" t="b">
        <v>1</v>
      </c>
      <c r="AB90" s="1"/>
      <c r="AC90" s="57" t="s">
        <v>1333</v>
      </c>
      <c r="AD90" s="1"/>
      <c r="AE90" s="57"/>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row>
    <row r="91" spans="1:331" s="25" customFormat="1" x14ac:dyDescent="0.25">
      <c r="A91" s="25" t="s">
        <v>406</v>
      </c>
      <c r="B91" s="29" t="s">
        <v>407</v>
      </c>
      <c r="C91" s="13" t="s">
        <v>1647</v>
      </c>
      <c r="D91" s="25">
        <v>0</v>
      </c>
      <c r="H91" s="25" t="s">
        <v>408</v>
      </c>
      <c r="I91" s="25" t="s">
        <v>409</v>
      </c>
      <c r="J91" s="25" t="s">
        <v>408</v>
      </c>
      <c r="K91" s="25" t="s">
        <v>409</v>
      </c>
      <c r="L91" s="25">
        <v>0</v>
      </c>
      <c r="O91" s="25">
        <v>0</v>
      </c>
      <c r="Q91" s="1" t="s">
        <v>478</v>
      </c>
      <c r="R91" s="1"/>
      <c r="S91" s="25">
        <v>7</v>
      </c>
      <c r="W91" s="1">
        <v>7</v>
      </c>
      <c r="X91" s="1">
        <v>7</v>
      </c>
      <c r="Y91" s="1" t="s">
        <v>2104</v>
      </c>
      <c r="Z91" s="25">
        <v>5</v>
      </c>
      <c r="AA91" s="13" t="b">
        <v>1</v>
      </c>
      <c r="AB91" s="1" t="s">
        <v>1893</v>
      </c>
      <c r="AC91" s="57" t="s">
        <v>1859</v>
      </c>
      <c r="AD91" s="1"/>
      <c r="AE91" s="57"/>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row>
    <row r="92" spans="1:331" s="25" customFormat="1" x14ac:dyDescent="0.25">
      <c r="A92" s="25" t="s">
        <v>410</v>
      </c>
      <c r="B92" s="29" t="s">
        <v>410</v>
      </c>
      <c r="C92" s="13" t="s">
        <v>1647</v>
      </c>
      <c r="D92" s="25">
        <v>0</v>
      </c>
      <c r="H92" s="25" t="s">
        <v>411</v>
      </c>
      <c r="I92" s="25" t="s">
        <v>412</v>
      </c>
      <c r="J92" s="25" t="s">
        <v>411</v>
      </c>
      <c r="K92" s="25" t="s">
        <v>412</v>
      </c>
      <c r="L92" s="25">
        <v>0</v>
      </c>
      <c r="O92" s="25">
        <v>1</v>
      </c>
      <c r="Q92" s="1" t="s">
        <v>1527</v>
      </c>
      <c r="R92" s="1"/>
      <c r="S92" s="25">
        <v>11</v>
      </c>
      <c r="U92" s="25">
        <v>11</v>
      </c>
      <c r="W92" s="1">
        <v>11</v>
      </c>
      <c r="X92" s="1">
        <v>13</v>
      </c>
      <c r="Y92" s="1" t="s">
        <v>2105</v>
      </c>
      <c r="Z92" s="25">
        <v>5</v>
      </c>
      <c r="AA92" s="13" t="b">
        <v>1</v>
      </c>
      <c r="AB92" s="1"/>
      <c r="AC92" s="57" t="s">
        <v>1334</v>
      </c>
      <c r="AD92" s="1"/>
      <c r="AE92" s="57"/>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row>
    <row r="93" spans="1:331" s="49" customFormat="1" x14ac:dyDescent="0.25">
      <c r="A93" s="49" t="s">
        <v>413</v>
      </c>
      <c r="B93" s="49" t="s">
        <v>413</v>
      </c>
      <c r="C93" s="1" t="s">
        <v>1647</v>
      </c>
      <c r="D93" s="49">
        <v>0</v>
      </c>
      <c r="H93" s="49" t="s">
        <v>414</v>
      </c>
      <c r="I93" s="49" t="s">
        <v>415</v>
      </c>
      <c r="J93" s="49" t="s">
        <v>416</v>
      </c>
      <c r="K93" s="49" t="s">
        <v>180</v>
      </c>
      <c r="L93" s="49">
        <v>0</v>
      </c>
      <c r="O93" s="49">
        <v>1</v>
      </c>
      <c r="Q93" s="1"/>
      <c r="R93" s="1" t="s">
        <v>1793</v>
      </c>
      <c r="T93" s="49">
        <v>15</v>
      </c>
      <c r="W93" s="1">
        <v>15</v>
      </c>
      <c r="X93" s="1">
        <v>27</v>
      </c>
      <c r="Y93" s="1" t="s">
        <v>2106</v>
      </c>
      <c r="Z93" s="49">
        <v>9</v>
      </c>
      <c r="AA93" s="13" t="b">
        <v>1</v>
      </c>
      <c r="AB93" s="1"/>
      <c r="AC93" s="57" t="s">
        <v>1286</v>
      </c>
      <c r="AD93" s="1"/>
      <c r="AE93" s="57"/>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row>
    <row r="94" spans="1:331" s="3" customFormat="1" x14ac:dyDescent="0.25">
      <c r="A94" s="3" t="s">
        <v>417</v>
      </c>
      <c r="B94" s="5" t="s">
        <v>417</v>
      </c>
      <c r="C94" s="13" t="s">
        <v>1647</v>
      </c>
      <c r="D94" s="3">
        <v>0</v>
      </c>
      <c r="H94" s="3" t="s">
        <v>332</v>
      </c>
      <c r="I94" s="3" t="s">
        <v>418</v>
      </c>
      <c r="J94" s="3" t="s">
        <v>332</v>
      </c>
      <c r="K94" s="3" t="s">
        <v>185</v>
      </c>
      <c r="L94" s="3">
        <v>1</v>
      </c>
      <c r="M94" s="3" t="s">
        <v>27</v>
      </c>
      <c r="O94" s="3">
        <v>0</v>
      </c>
      <c r="Q94" s="1" t="s">
        <v>383</v>
      </c>
      <c r="R94" s="1"/>
      <c r="T94" s="3">
        <v>11</v>
      </c>
      <c r="V94" s="3">
        <v>11</v>
      </c>
      <c r="W94" s="1">
        <v>11</v>
      </c>
      <c r="X94" s="1">
        <v>11</v>
      </c>
      <c r="Y94" s="1" t="s">
        <v>2107</v>
      </c>
      <c r="Z94" s="3">
        <v>1</v>
      </c>
      <c r="AA94" s="13" t="b">
        <v>1</v>
      </c>
      <c r="AB94" s="1"/>
      <c r="AC94" s="57" t="s">
        <v>1335</v>
      </c>
      <c r="AD94" s="1"/>
      <c r="AE94" s="57"/>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row>
    <row r="95" spans="1:331" s="40" customFormat="1" x14ac:dyDescent="0.25">
      <c r="A95" s="40" t="s">
        <v>419</v>
      </c>
      <c r="B95" s="44" t="s">
        <v>419</v>
      </c>
      <c r="C95" s="13" t="s">
        <v>1647</v>
      </c>
      <c r="D95" s="40">
        <v>0</v>
      </c>
      <c r="H95" s="40" t="s">
        <v>420</v>
      </c>
      <c r="I95" s="40" t="s">
        <v>421</v>
      </c>
      <c r="J95" s="40" t="s">
        <v>422</v>
      </c>
      <c r="K95" s="40" t="s">
        <v>420</v>
      </c>
      <c r="L95" s="40">
        <v>0</v>
      </c>
      <c r="O95" s="40">
        <v>1</v>
      </c>
      <c r="P95" s="40" t="s">
        <v>423</v>
      </c>
      <c r="Q95" s="1" t="s">
        <v>437</v>
      </c>
      <c r="R95" s="1"/>
      <c r="T95" s="40">
        <v>12</v>
      </c>
      <c r="V95" s="40">
        <v>13</v>
      </c>
      <c r="W95" s="1">
        <v>12</v>
      </c>
      <c r="X95" s="1">
        <v>19</v>
      </c>
      <c r="Y95" s="1" t="s">
        <v>2108</v>
      </c>
      <c r="Z95" s="40">
        <v>8</v>
      </c>
      <c r="AA95" s="13" t="b">
        <v>1</v>
      </c>
      <c r="AB95" s="1"/>
      <c r="AC95" s="57" t="s">
        <v>1406</v>
      </c>
      <c r="AD95" s="1"/>
      <c r="AE95" s="57"/>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row>
    <row r="96" spans="1:331" s="40" customFormat="1" x14ac:dyDescent="0.25">
      <c r="A96" s="40" t="s">
        <v>424</v>
      </c>
      <c r="B96" s="44" t="s">
        <v>424</v>
      </c>
      <c r="C96" s="13" t="s">
        <v>1647</v>
      </c>
      <c r="D96" s="40">
        <v>0</v>
      </c>
      <c r="H96" s="40" t="s">
        <v>425</v>
      </c>
      <c r="I96" s="40" t="s">
        <v>426</v>
      </c>
      <c r="J96" s="40" t="s">
        <v>427</v>
      </c>
      <c r="K96" s="40" t="s">
        <v>425</v>
      </c>
      <c r="L96" s="40">
        <v>0</v>
      </c>
      <c r="O96" s="40">
        <v>1</v>
      </c>
      <c r="P96" s="40" t="s">
        <v>428</v>
      </c>
      <c r="Q96" s="1" t="s">
        <v>645</v>
      </c>
      <c r="R96" s="1"/>
      <c r="T96" s="40">
        <v>16</v>
      </c>
      <c r="V96" s="40">
        <v>17</v>
      </c>
      <c r="W96" s="1">
        <v>16</v>
      </c>
      <c r="X96" s="1">
        <v>11</v>
      </c>
      <c r="Y96" s="1" t="s">
        <v>2109</v>
      </c>
      <c r="Z96" s="40">
        <v>8</v>
      </c>
      <c r="AA96" s="13" t="b">
        <v>1</v>
      </c>
      <c r="AB96" s="1"/>
      <c r="AC96" s="57" t="s">
        <v>1395</v>
      </c>
      <c r="AD96" s="1"/>
      <c r="AE96" s="57"/>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row>
    <row r="97" spans="1:331" s="25" customFormat="1" x14ac:dyDescent="0.25">
      <c r="A97" s="25" t="s">
        <v>429</v>
      </c>
      <c r="B97" s="29" t="s">
        <v>429</v>
      </c>
      <c r="C97" s="13" t="s">
        <v>1647</v>
      </c>
      <c r="D97" s="25">
        <v>0</v>
      </c>
      <c r="H97" s="25" t="s">
        <v>430</v>
      </c>
      <c r="I97" s="25" t="s">
        <v>431</v>
      </c>
      <c r="J97" s="25" t="s">
        <v>430</v>
      </c>
      <c r="K97" s="25" t="s">
        <v>431</v>
      </c>
      <c r="L97" s="25">
        <v>0</v>
      </c>
      <c r="O97" s="25">
        <v>1</v>
      </c>
      <c r="Q97" s="1" t="s">
        <v>438</v>
      </c>
      <c r="R97" s="1"/>
      <c r="T97" s="25">
        <v>11</v>
      </c>
      <c r="V97" s="25">
        <v>11</v>
      </c>
      <c r="W97" s="1">
        <v>11</v>
      </c>
      <c r="X97" s="1">
        <v>17</v>
      </c>
      <c r="Y97" s="1" t="s">
        <v>2110</v>
      </c>
      <c r="Z97" s="25">
        <v>5</v>
      </c>
      <c r="AA97" s="13" t="b">
        <v>1</v>
      </c>
      <c r="AB97" s="1"/>
      <c r="AC97" s="57" t="s">
        <v>1336</v>
      </c>
      <c r="AD97" s="1"/>
      <c r="AE97" s="57"/>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row>
    <row r="98" spans="1:331" s="40" customFormat="1" x14ac:dyDescent="0.25">
      <c r="A98" s="40" t="s">
        <v>432</v>
      </c>
      <c r="B98" s="44" t="s">
        <v>432</v>
      </c>
      <c r="C98" s="13" t="s">
        <v>1647</v>
      </c>
      <c r="D98" s="40">
        <v>0</v>
      </c>
      <c r="H98" s="40" t="s">
        <v>433</v>
      </c>
      <c r="I98" s="40" t="s">
        <v>428</v>
      </c>
      <c r="J98" s="40" t="s">
        <v>433</v>
      </c>
      <c r="K98" s="40" t="s">
        <v>1669</v>
      </c>
      <c r="L98" s="40">
        <v>0</v>
      </c>
      <c r="O98" s="40">
        <v>1</v>
      </c>
      <c r="P98" s="40" t="s">
        <v>434</v>
      </c>
      <c r="Q98" s="1" t="s">
        <v>1528</v>
      </c>
      <c r="R98" s="1"/>
      <c r="T98" s="40">
        <v>7</v>
      </c>
      <c r="V98" s="40">
        <v>8</v>
      </c>
      <c r="W98" s="1">
        <v>7</v>
      </c>
      <c r="X98" s="1">
        <v>14</v>
      </c>
      <c r="Y98" s="1" t="s">
        <v>2111</v>
      </c>
      <c r="Z98" s="40">
        <v>8</v>
      </c>
      <c r="AA98" s="13" t="b">
        <v>1</v>
      </c>
      <c r="AB98" s="1"/>
      <c r="AC98" s="57" t="s">
        <v>1407</v>
      </c>
      <c r="AD98" s="1"/>
      <c r="AE98" s="57"/>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row>
    <row r="99" spans="1:331" s="25" customFormat="1" x14ac:dyDescent="0.25">
      <c r="A99" s="25" t="s">
        <v>435</v>
      </c>
      <c r="B99" s="29" t="s">
        <v>435</v>
      </c>
      <c r="C99" s="13" t="s">
        <v>1647</v>
      </c>
      <c r="D99" s="25">
        <v>0</v>
      </c>
      <c r="H99" s="25" t="s">
        <v>436</v>
      </c>
      <c r="I99" s="25" t="s">
        <v>437</v>
      </c>
      <c r="J99" s="25" t="s">
        <v>438</v>
      </c>
      <c r="K99" s="25" t="s">
        <v>437</v>
      </c>
      <c r="L99" s="25">
        <v>0</v>
      </c>
      <c r="O99" s="25">
        <v>0</v>
      </c>
      <c r="Q99" s="1" t="s">
        <v>1529</v>
      </c>
      <c r="R99" s="1"/>
      <c r="S99" s="25">
        <v>6</v>
      </c>
      <c r="U99" s="25">
        <v>7</v>
      </c>
      <c r="W99" s="1">
        <v>6</v>
      </c>
      <c r="X99" s="1">
        <v>12</v>
      </c>
      <c r="Y99" s="1" t="s">
        <v>2112</v>
      </c>
      <c r="Z99" s="25">
        <v>5</v>
      </c>
      <c r="AA99" s="13" t="b">
        <v>1</v>
      </c>
      <c r="AB99" s="1"/>
      <c r="AC99" s="57" t="s">
        <v>1298</v>
      </c>
      <c r="AD99" s="1"/>
      <c r="AE99" s="57"/>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row>
    <row r="100" spans="1:331" s="30" customFormat="1" x14ac:dyDescent="0.25">
      <c r="A100" s="30" t="s">
        <v>439</v>
      </c>
      <c r="B100" s="30" t="s">
        <v>439</v>
      </c>
      <c r="C100" s="1" t="s">
        <v>1647</v>
      </c>
      <c r="D100" s="30">
        <v>1</v>
      </c>
      <c r="E100" s="30" t="s">
        <v>440</v>
      </c>
      <c r="H100" s="30" t="s">
        <v>441</v>
      </c>
      <c r="I100" s="30" t="s">
        <v>440</v>
      </c>
      <c r="J100" s="30" t="s">
        <v>441</v>
      </c>
      <c r="K100" s="30" t="s">
        <v>441</v>
      </c>
      <c r="L100" s="30">
        <v>0</v>
      </c>
      <c r="O100" s="30">
        <v>1</v>
      </c>
      <c r="Q100" s="1" t="s">
        <v>1530</v>
      </c>
      <c r="R100" s="1"/>
      <c r="S100" s="30">
        <v>9</v>
      </c>
      <c r="W100" s="1">
        <v>9</v>
      </c>
      <c r="X100" s="1">
        <v>16</v>
      </c>
      <c r="Y100" s="1" t="s">
        <v>2113</v>
      </c>
      <c r="Z100" s="30">
        <v>6</v>
      </c>
      <c r="AA100" s="13" t="b">
        <v>1</v>
      </c>
      <c r="AB100" s="1"/>
      <c r="AC100" s="57" t="s">
        <v>1280</v>
      </c>
      <c r="AD100" s="1"/>
      <c r="AE100" s="57"/>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row>
    <row r="101" spans="1:331" s="49" customFormat="1" x14ac:dyDescent="0.25">
      <c r="A101" s="49" t="s">
        <v>442</v>
      </c>
      <c r="B101" s="49" t="s">
        <v>442</v>
      </c>
      <c r="C101" s="1" t="s">
        <v>1647</v>
      </c>
      <c r="D101" s="49">
        <v>0</v>
      </c>
      <c r="H101" s="49" t="s">
        <v>443</v>
      </c>
      <c r="I101" s="49" t="s">
        <v>444</v>
      </c>
      <c r="J101" s="49" t="s">
        <v>443</v>
      </c>
      <c r="K101" s="49" t="s">
        <v>444</v>
      </c>
      <c r="L101" s="49">
        <v>0</v>
      </c>
      <c r="O101" s="49">
        <v>1</v>
      </c>
      <c r="Q101" s="1"/>
      <c r="R101" s="1" t="s">
        <v>1794</v>
      </c>
      <c r="T101" s="49">
        <v>18</v>
      </c>
      <c r="W101" s="1">
        <v>18</v>
      </c>
      <c r="X101" s="1">
        <v>20</v>
      </c>
      <c r="Y101" s="1" t="s">
        <v>2114</v>
      </c>
      <c r="Z101" s="49">
        <v>9</v>
      </c>
      <c r="AA101" s="13" t="b">
        <v>1</v>
      </c>
      <c r="AB101" s="1"/>
      <c r="AC101" s="57" t="s">
        <v>1408</v>
      </c>
      <c r="AD101" s="1"/>
      <c r="AE101" s="57"/>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row>
    <row r="102" spans="1:331" s="25" customFormat="1" x14ac:dyDescent="0.25">
      <c r="A102" s="25" t="s">
        <v>445</v>
      </c>
      <c r="B102" s="29" t="s">
        <v>445</v>
      </c>
      <c r="C102" s="13" t="s">
        <v>1647</v>
      </c>
      <c r="D102" s="25">
        <v>0</v>
      </c>
      <c r="H102" s="25" t="s">
        <v>446</v>
      </c>
      <c r="I102" s="25" t="s">
        <v>447</v>
      </c>
      <c r="J102" s="25" t="s">
        <v>448</v>
      </c>
      <c r="K102" s="25" t="s">
        <v>1670</v>
      </c>
      <c r="L102" s="25">
        <v>0</v>
      </c>
      <c r="O102" s="25">
        <v>0</v>
      </c>
      <c r="Q102" s="1" t="s">
        <v>221</v>
      </c>
      <c r="R102" s="1"/>
      <c r="S102" s="25">
        <v>7</v>
      </c>
      <c r="U102" s="25">
        <v>6</v>
      </c>
      <c r="W102" s="1">
        <v>7</v>
      </c>
      <c r="X102" s="1">
        <v>13</v>
      </c>
      <c r="Y102" s="1" t="s">
        <v>2115</v>
      </c>
      <c r="Z102" s="25">
        <v>5</v>
      </c>
      <c r="AA102" s="13" t="b">
        <v>1</v>
      </c>
      <c r="AB102" s="1"/>
      <c r="AC102" s="57" t="s">
        <v>1305</v>
      </c>
      <c r="AD102" s="1"/>
      <c r="AE102" s="57"/>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row>
    <row r="103" spans="1:331" s="25" customFormat="1" x14ac:dyDescent="0.25">
      <c r="A103" s="25" t="s">
        <v>449</v>
      </c>
      <c r="B103" s="29" t="s">
        <v>450</v>
      </c>
      <c r="C103" s="13" t="s">
        <v>1647</v>
      </c>
      <c r="D103" s="25">
        <v>0</v>
      </c>
      <c r="H103" s="25" t="s">
        <v>223</v>
      </c>
      <c r="I103" s="25" t="s">
        <v>451</v>
      </c>
      <c r="J103" s="25" t="s">
        <v>223</v>
      </c>
      <c r="K103" s="25" t="s">
        <v>451</v>
      </c>
      <c r="L103" s="25">
        <v>0</v>
      </c>
      <c r="O103" s="25">
        <v>0</v>
      </c>
      <c r="Q103" s="1" t="s">
        <v>1531</v>
      </c>
      <c r="R103" s="1"/>
      <c r="S103" s="25">
        <v>7</v>
      </c>
      <c r="U103" s="25">
        <v>7</v>
      </c>
      <c r="W103" s="1">
        <v>7</v>
      </c>
      <c r="X103" s="1">
        <v>13</v>
      </c>
      <c r="Y103" s="1" t="s">
        <v>2116</v>
      </c>
      <c r="Z103" s="25">
        <v>5</v>
      </c>
      <c r="AA103" s="13" t="b">
        <v>1</v>
      </c>
      <c r="AB103" s="1"/>
      <c r="AC103" s="57" t="s">
        <v>1333</v>
      </c>
      <c r="AD103" s="1"/>
      <c r="AE103" s="57"/>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row>
    <row r="104" spans="1:331" s="72" customFormat="1" x14ac:dyDescent="0.25">
      <c r="A104" s="72" t="s">
        <v>452</v>
      </c>
      <c r="B104" s="72" t="s">
        <v>452</v>
      </c>
      <c r="C104" s="1" t="s">
        <v>1647</v>
      </c>
      <c r="D104" s="72">
        <v>0</v>
      </c>
      <c r="H104" s="72" t="s">
        <v>453</v>
      </c>
      <c r="I104" s="72" t="s">
        <v>454</v>
      </c>
      <c r="J104" s="72" t="s">
        <v>453</v>
      </c>
      <c r="K104" s="72" t="s">
        <v>1671</v>
      </c>
      <c r="L104" s="72">
        <v>0</v>
      </c>
      <c r="O104" s="72">
        <v>1</v>
      </c>
      <c r="P104" s="72" t="s">
        <v>453</v>
      </c>
      <c r="Q104" s="1"/>
      <c r="R104" s="1" t="s">
        <v>455</v>
      </c>
      <c r="T104" s="72">
        <v>8</v>
      </c>
      <c r="W104" s="1">
        <v>8</v>
      </c>
      <c r="X104" s="1">
        <v>19</v>
      </c>
      <c r="Y104" s="1" t="s">
        <v>2117</v>
      </c>
      <c r="Z104" s="72">
        <v>14</v>
      </c>
      <c r="AA104" s="13" t="b">
        <v>1</v>
      </c>
      <c r="AB104" s="1"/>
      <c r="AC104" s="57" t="s">
        <v>1449</v>
      </c>
      <c r="AD104" s="1"/>
      <c r="AE104" s="57"/>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row>
    <row r="105" spans="1:331" s="30" customFormat="1" x14ac:dyDescent="0.25">
      <c r="A105" s="30" t="s">
        <v>456</v>
      </c>
      <c r="B105" s="30" t="s">
        <v>456</v>
      </c>
      <c r="C105" s="1" t="s">
        <v>1647</v>
      </c>
      <c r="D105" s="30">
        <v>1</v>
      </c>
      <c r="E105" s="30" t="s">
        <v>457</v>
      </c>
      <c r="H105" s="30" t="s">
        <v>458</v>
      </c>
      <c r="I105" s="30" t="s">
        <v>457</v>
      </c>
      <c r="J105" s="30" t="s">
        <v>458</v>
      </c>
      <c r="K105" s="30" t="s">
        <v>1672</v>
      </c>
      <c r="L105" s="30">
        <v>0</v>
      </c>
      <c r="O105" s="30">
        <v>0</v>
      </c>
      <c r="Q105" s="1" t="s">
        <v>1532</v>
      </c>
      <c r="R105" s="1"/>
      <c r="S105" s="30">
        <v>13</v>
      </c>
      <c r="W105" s="1">
        <v>13</v>
      </c>
      <c r="X105" s="1">
        <v>32</v>
      </c>
      <c r="Y105" s="1" t="s">
        <v>2118</v>
      </c>
      <c r="Z105" s="30">
        <v>6</v>
      </c>
      <c r="AA105" s="13" t="b">
        <v>1</v>
      </c>
      <c r="AB105" s="1" t="s">
        <v>1894</v>
      </c>
      <c r="AC105" s="57" t="s">
        <v>1444</v>
      </c>
      <c r="AD105" s="1"/>
      <c r="AE105" s="57"/>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row>
    <row r="106" spans="1:331" s="40" customFormat="1" x14ac:dyDescent="0.25">
      <c r="A106" s="40" t="s">
        <v>459</v>
      </c>
      <c r="B106" s="40" t="s">
        <v>459</v>
      </c>
      <c r="C106" s="1" t="s">
        <v>1647</v>
      </c>
      <c r="D106" s="40">
        <v>0</v>
      </c>
      <c r="H106" s="40" t="s">
        <v>458</v>
      </c>
      <c r="I106" s="40" t="s">
        <v>460</v>
      </c>
      <c r="J106" s="40" t="s">
        <v>458</v>
      </c>
      <c r="K106" s="40" t="s">
        <v>460</v>
      </c>
      <c r="L106" s="40">
        <v>0</v>
      </c>
      <c r="O106" s="40">
        <v>1</v>
      </c>
      <c r="P106" s="40" t="s">
        <v>461</v>
      </c>
      <c r="Q106" s="1" t="s">
        <v>1533</v>
      </c>
      <c r="R106" s="1"/>
      <c r="T106" s="40">
        <v>9</v>
      </c>
      <c r="V106" s="40">
        <v>9</v>
      </c>
      <c r="W106" s="1">
        <v>9</v>
      </c>
      <c r="X106" s="1">
        <v>11</v>
      </c>
      <c r="Y106" s="1" t="s">
        <v>2119</v>
      </c>
      <c r="Z106" s="40">
        <v>8</v>
      </c>
      <c r="AA106" s="13" t="b">
        <v>1</v>
      </c>
      <c r="AB106" s="1"/>
      <c r="AC106" s="57" t="s">
        <v>1461</v>
      </c>
      <c r="AD106" s="1"/>
      <c r="AE106" s="57"/>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row>
    <row r="107" spans="1:331" s="45" customFormat="1" x14ac:dyDescent="0.25">
      <c r="A107" s="45" t="s">
        <v>462</v>
      </c>
      <c r="C107" s="1" t="s">
        <v>1647</v>
      </c>
      <c r="D107" s="45">
        <v>0</v>
      </c>
      <c r="H107" s="45" t="s">
        <v>463</v>
      </c>
      <c r="I107" s="45" t="s">
        <v>464</v>
      </c>
      <c r="K107" s="45" t="s">
        <v>685</v>
      </c>
      <c r="L107" s="45">
        <v>0</v>
      </c>
      <c r="O107" s="45">
        <v>1</v>
      </c>
      <c r="P107" s="45" t="s">
        <v>465</v>
      </c>
      <c r="Q107" s="1"/>
      <c r="R107" s="1" t="s">
        <v>1795</v>
      </c>
      <c r="T107" s="45">
        <v>14</v>
      </c>
      <c r="W107" s="1"/>
      <c r="X107" s="1"/>
      <c r="Y107" s="1"/>
      <c r="Z107" s="45">
        <v>-1</v>
      </c>
      <c r="AA107" s="13" t="b">
        <v>0</v>
      </c>
      <c r="AB107" s="1"/>
      <c r="AC107" s="57" t="s">
        <v>1251</v>
      </c>
      <c r="AD107" s="1"/>
      <c r="AE107" s="57"/>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row>
    <row r="108" spans="1:331" s="72" customFormat="1" x14ac:dyDescent="0.25">
      <c r="A108" s="72" t="s">
        <v>1239</v>
      </c>
      <c r="B108" s="72" t="s">
        <v>1239</v>
      </c>
      <c r="C108" s="1" t="s">
        <v>1647</v>
      </c>
      <c r="D108" s="72">
        <v>0</v>
      </c>
      <c r="H108" s="72" t="s">
        <v>1243</v>
      </c>
      <c r="I108" s="72" t="s">
        <v>1244</v>
      </c>
      <c r="J108" s="72" t="s">
        <v>1243</v>
      </c>
      <c r="K108" s="72" t="s">
        <v>1243</v>
      </c>
      <c r="L108" s="72">
        <v>0</v>
      </c>
      <c r="O108" s="72">
        <v>1</v>
      </c>
      <c r="P108" s="72" t="s">
        <v>1245</v>
      </c>
      <c r="Q108" s="1"/>
      <c r="R108" s="1" t="s">
        <v>453</v>
      </c>
      <c r="T108" s="72">
        <v>6</v>
      </c>
      <c r="V108" s="72">
        <v>6</v>
      </c>
      <c r="W108" s="1">
        <v>6</v>
      </c>
      <c r="X108" s="1">
        <v>12</v>
      </c>
      <c r="Y108" s="1" t="s">
        <v>2120</v>
      </c>
      <c r="Z108" s="72">
        <v>14</v>
      </c>
      <c r="AA108" s="13" t="b">
        <v>1</v>
      </c>
      <c r="AB108" s="1" t="s">
        <v>1890</v>
      </c>
      <c r="AC108" s="57" t="s">
        <v>1409</v>
      </c>
      <c r="AD108" s="1"/>
      <c r="AE108" s="57"/>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row>
    <row r="109" spans="1:331" s="59" customFormat="1" x14ac:dyDescent="0.25">
      <c r="A109" s="59" t="s">
        <v>1240</v>
      </c>
      <c r="B109" s="59" t="s">
        <v>1240</v>
      </c>
      <c r="C109" s="1" t="s">
        <v>1647</v>
      </c>
      <c r="D109" s="59">
        <v>0</v>
      </c>
      <c r="H109" s="59" t="s">
        <v>123</v>
      </c>
      <c r="I109" s="59" t="s">
        <v>1246</v>
      </c>
      <c r="J109" s="59" t="s">
        <v>716</v>
      </c>
      <c r="K109" s="59" t="s">
        <v>1673</v>
      </c>
      <c r="L109" s="59">
        <v>1</v>
      </c>
      <c r="M109" s="59" t="s">
        <v>1247</v>
      </c>
      <c r="O109" s="59">
        <v>1</v>
      </c>
      <c r="Q109" s="1"/>
      <c r="R109" s="1" t="s">
        <v>700</v>
      </c>
      <c r="S109" s="59">
        <v>10</v>
      </c>
      <c r="T109" s="59">
        <v>5</v>
      </c>
      <c r="U109" s="59">
        <v>10</v>
      </c>
      <c r="V109" s="59">
        <v>7</v>
      </c>
      <c r="W109" s="1">
        <v>10</v>
      </c>
      <c r="X109" s="1">
        <v>12</v>
      </c>
      <c r="Y109" s="1" t="s">
        <v>2121</v>
      </c>
      <c r="Z109" s="59">
        <v>11</v>
      </c>
      <c r="AA109" s="13" t="b">
        <v>1</v>
      </c>
      <c r="AB109" s="1"/>
      <c r="AC109" s="57" t="s">
        <v>1365</v>
      </c>
      <c r="AD109" s="1"/>
      <c r="AE109" s="57"/>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row>
    <row r="110" spans="1:331" s="40" customFormat="1" x14ac:dyDescent="0.25">
      <c r="A110" s="40" t="s">
        <v>1241</v>
      </c>
      <c r="B110" s="40" t="s">
        <v>1241</v>
      </c>
      <c r="C110" s="1" t="s">
        <v>1647</v>
      </c>
      <c r="D110" s="40">
        <v>0</v>
      </c>
      <c r="H110" s="40" t="s">
        <v>1248</v>
      </c>
      <c r="I110" s="40" t="s">
        <v>226</v>
      </c>
      <c r="J110" s="77">
        <v>45650</v>
      </c>
      <c r="K110" s="77" t="s">
        <v>226</v>
      </c>
      <c r="L110" s="40">
        <v>0</v>
      </c>
      <c r="O110" s="40">
        <v>1</v>
      </c>
      <c r="P110" s="40" t="s">
        <v>222</v>
      </c>
      <c r="Q110" s="1" t="s">
        <v>1534</v>
      </c>
      <c r="R110" s="1"/>
      <c r="T110" s="40">
        <v>12</v>
      </c>
      <c r="V110" s="40">
        <v>16</v>
      </c>
      <c r="W110" s="1">
        <v>12</v>
      </c>
      <c r="X110" s="1">
        <v>19</v>
      </c>
      <c r="Y110" s="1" t="s">
        <v>2122</v>
      </c>
      <c r="Z110" s="40">
        <v>8</v>
      </c>
      <c r="AA110" s="13" t="b">
        <v>1</v>
      </c>
      <c r="AB110" s="1" t="s">
        <v>1890</v>
      </c>
      <c r="AC110" s="57" t="s">
        <v>1626</v>
      </c>
      <c r="AD110" s="1"/>
      <c r="AE110" s="57"/>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row>
    <row r="111" spans="1:331" s="17" customFormat="1" x14ac:dyDescent="0.25">
      <c r="A111" s="17" t="s">
        <v>1242</v>
      </c>
      <c r="B111" s="21" t="s">
        <v>1242</v>
      </c>
      <c r="C111" s="13" t="s">
        <v>1647</v>
      </c>
      <c r="D111" s="17">
        <v>1</v>
      </c>
      <c r="E111" s="17" t="s">
        <v>1249</v>
      </c>
      <c r="I111" s="17" t="s">
        <v>1250</v>
      </c>
      <c r="J111" s="17" t="s">
        <v>690</v>
      </c>
      <c r="L111" s="17">
        <v>1</v>
      </c>
      <c r="M111" s="17" t="s">
        <v>140</v>
      </c>
      <c r="O111" s="17">
        <v>1</v>
      </c>
      <c r="Q111" s="1" t="s">
        <v>1535</v>
      </c>
      <c r="R111" s="1"/>
      <c r="T111" s="17">
        <v>17</v>
      </c>
      <c r="V111" s="17">
        <v>17</v>
      </c>
      <c r="W111" s="1">
        <v>17</v>
      </c>
      <c r="X111" s="1">
        <v>18</v>
      </c>
      <c r="Y111" s="1" t="s">
        <v>2123</v>
      </c>
      <c r="Z111" s="17">
        <v>3</v>
      </c>
      <c r="AA111" s="13" t="b">
        <v>1</v>
      </c>
      <c r="AB111" s="1"/>
      <c r="AC111" s="57" t="s">
        <v>1366</v>
      </c>
      <c r="AD111" s="1"/>
      <c r="AE111" s="57"/>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row>
    <row r="112" spans="1:331" s="35" customFormat="1" x14ac:dyDescent="0.25">
      <c r="A112" s="35" t="s">
        <v>1467</v>
      </c>
      <c r="B112" s="35" t="s">
        <v>1467</v>
      </c>
      <c r="C112" s="1" t="s">
        <v>1647</v>
      </c>
      <c r="D112" s="35">
        <v>2</v>
      </c>
      <c r="E112" s="35" t="s">
        <v>1468</v>
      </c>
      <c r="F112" s="35" t="s">
        <v>1468</v>
      </c>
      <c r="H112" s="35" t="s">
        <v>1468</v>
      </c>
      <c r="I112" s="35" t="s">
        <v>1468</v>
      </c>
      <c r="J112" s="35" t="s">
        <v>1469</v>
      </c>
      <c r="K112" s="35" t="s">
        <v>1468</v>
      </c>
      <c r="L112" s="35">
        <v>0</v>
      </c>
      <c r="P112" s="35" t="s">
        <v>1469</v>
      </c>
      <c r="Q112" s="1" t="s">
        <v>1536</v>
      </c>
      <c r="R112" s="1"/>
      <c r="T112" s="35">
        <v>11</v>
      </c>
      <c r="V112" s="35">
        <v>12</v>
      </c>
      <c r="W112" s="1">
        <v>12</v>
      </c>
      <c r="X112" s="1">
        <v>10</v>
      </c>
      <c r="Y112" s="1" t="s">
        <v>2124</v>
      </c>
      <c r="Z112" s="35">
        <v>7</v>
      </c>
      <c r="AA112" s="13" t="b">
        <v>1</v>
      </c>
      <c r="AB112" s="1"/>
      <c r="AC112" s="57" t="s">
        <v>1395</v>
      </c>
      <c r="AD112" s="1"/>
      <c r="AE112" s="57"/>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row>
    <row r="113" spans="1:331" s="72" customFormat="1" x14ac:dyDescent="0.25">
      <c r="A113" s="72" t="s">
        <v>1628</v>
      </c>
      <c r="B113" s="72" t="s">
        <v>1628</v>
      </c>
      <c r="C113" s="1" t="s">
        <v>1647</v>
      </c>
      <c r="D113" s="72">
        <v>0</v>
      </c>
      <c r="H113" s="72" t="s">
        <v>1535</v>
      </c>
      <c r="I113" s="72" t="s">
        <v>141</v>
      </c>
      <c r="J113" s="72" t="s">
        <v>1535</v>
      </c>
      <c r="K113" s="72" t="s">
        <v>690</v>
      </c>
      <c r="L113" s="72">
        <v>0</v>
      </c>
      <c r="O113" s="72">
        <v>1</v>
      </c>
      <c r="P113" s="72" t="s">
        <v>1535</v>
      </c>
      <c r="Q113" s="1" t="s">
        <v>1629</v>
      </c>
      <c r="R113" s="1"/>
      <c r="S113" s="72">
        <v>10.6</v>
      </c>
      <c r="W113" s="1">
        <v>11</v>
      </c>
      <c r="X113" s="1">
        <v>0</v>
      </c>
      <c r="Y113" s="1" t="s">
        <v>2125</v>
      </c>
      <c r="Z113" s="72">
        <v>14</v>
      </c>
      <c r="AA113" s="13" t="b">
        <v>1</v>
      </c>
      <c r="AB113" s="1"/>
      <c r="AC113" s="57" t="s">
        <v>1948</v>
      </c>
      <c r="AD113" s="1"/>
      <c r="AE113" s="57"/>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row>
    <row r="114" spans="1:331" s="72" customFormat="1" x14ac:dyDescent="0.25">
      <c r="A114" s="72" t="s">
        <v>1630</v>
      </c>
      <c r="B114" s="72" t="s">
        <v>1630</v>
      </c>
      <c r="C114" s="1" t="s">
        <v>1647</v>
      </c>
      <c r="D114" s="72">
        <v>0</v>
      </c>
      <c r="H114" s="72" t="s">
        <v>1674</v>
      </c>
      <c r="I114" s="72" t="s">
        <v>1674</v>
      </c>
      <c r="J114" s="72" t="s">
        <v>1735</v>
      </c>
      <c r="K114" s="72" t="s">
        <v>1674</v>
      </c>
      <c r="L114" s="72">
        <v>0</v>
      </c>
      <c r="O114" s="72">
        <v>1</v>
      </c>
      <c r="P114" s="72" t="s">
        <v>1735</v>
      </c>
      <c r="Q114" s="1" t="s">
        <v>1736</v>
      </c>
      <c r="R114" s="1"/>
      <c r="T114" s="72">
        <v>14.6</v>
      </c>
      <c r="V114" s="72">
        <v>8</v>
      </c>
      <c r="W114" s="1">
        <v>15</v>
      </c>
      <c r="X114" s="1">
        <v>13</v>
      </c>
      <c r="Y114" s="1" t="s">
        <v>2126</v>
      </c>
      <c r="Z114" s="72">
        <v>14</v>
      </c>
      <c r="AA114" s="13" t="b">
        <v>1</v>
      </c>
      <c r="AB114" s="1"/>
      <c r="AC114" s="57" t="s">
        <v>1947</v>
      </c>
      <c r="AD114" s="1"/>
      <c r="AE114" s="57"/>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row>
    <row r="115" spans="1:331" s="49" customFormat="1" x14ac:dyDescent="0.25">
      <c r="A115" s="49" t="s">
        <v>1631</v>
      </c>
      <c r="B115" s="49" t="s">
        <v>1631</v>
      </c>
      <c r="C115" s="1" t="s">
        <v>1647</v>
      </c>
      <c r="D115" s="49">
        <v>0</v>
      </c>
      <c r="H115" s="49" t="s">
        <v>1737</v>
      </c>
      <c r="I115" s="49" t="s">
        <v>1472</v>
      </c>
      <c r="J115" s="49" t="s">
        <v>1737</v>
      </c>
      <c r="K115" s="49" t="s">
        <v>1555</v>
      </c>
      <c r="L115" s="49">
        <v>0</v>
      </c>
      <c r="O115" s="49">
        <v>1</v>
      </c>
      <c r="Q115" s="1" t="s">
        <v>727</v>
      </c>
      <c r="R115" s="1"/>
      <c r="S115" s="49">
        <v>14</v>
      </c>
      <c r="T115" s="49">
        <v>14</v>
      </c>
      <c r="V115" s="49">
        <v>9</v>
      </c>
      <c r="W115" s="1">
        <v>14</v>
      </c>
      <c r="X115" s="1">
        <v>9</v>
      </c>
      <c r="Y115" s="1" t="s">
        <v>2127</v>
      </c>
      <c r="Z115" s="49">
        <v>9</v>
      </c>
      <c r="AA115" s="13" t="b">
        <v>1</v>
      </c>
      <c r="AB115" s="1" t="s">
        <v>1949</v>
      </c>
      <c r="AC115" s="57" t="s">
        <v>1902</v>
      </c>
      <c r="AD115" s="1"/>
      <c r="AE115" s="57"/>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row>
    <row r="116" spans="1:331" s="35" customFormat="1" x14ac:dyDescent="0.25">
      <c r="A116" s="35" t="s">
        <v>466</v>
      </c>
      <c r="B116" s="35" t="s">
        <v>467</v>
      </c>
      <c r="C116" s="1" t="s">
        <v>1648</v>
      </c>
      <c r="D116" s="35">
        <v>3</v>
      </c>
      <c r="E116" s="35" t="s">
        <v>468</v>
      </c>
      <c r="F116" s="35" t="s">
        <v>468</v>
      </c>
      <c r="G116" s="35" t="s">
        <v>468</v>
      </c>
      <c r="H116" s="35" t="s">
        <v>468</v>
      </c>
      <c r="I116" s="35" t="s">
        <v>468</v>
      </c>
      <c r="J116" s="35" t="s">
        <v>468</v>
      </c>
      <c r="K116" s="35" t="s">
        <v>468</v>
      </c>
      <c r="L116" s="35">
        <v>0</v>
      </c>
      <c r="O116" s="35">
        <v>1</v>
      </c>
      <c r="Q116" s="1"/>
      <c r="R116" s="1" t="s">
        <v>469</v>
      </c>
      <c r="T116" s="35">
        <v>30</v>
      </c>
      <c r="W116" s="1">
        <v>30</v>
      </c>
      <c r="X116" s="1">
        <v>23</v>
      </c>
      <c r="Y116" s="1" t="s">
        <v>2128</v>
      </c>
      <c r="Z116" s="35">
        <v>7</v>
      </c>
      <c r="AA116" s="13" t="b">
        <v>1</v>
      </c>
      <c r="AB116" s="1"/>
      <c r="AC116" s="57" t="s">
        <v>1718</v>
      </c>
      <c r="AD116" s="1"/>
      <c r="AE116" s="57"/>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row>
    <row r="117" spans="1:331" s="30" customFormat="1" x14ac:dyDescent="0.25">
      <c r="A117" s="30" t="s">
        <v>470</v>
      </c>
      <c r="B117" s="30" t="s">
        <v>471</v>
      </c>
      <c r="C117" s="1" t="s">
        <v>1648</v>
      </c>
      <c r="D117" s="30">
        <v>1</v>
      </c>
      <c r="E117" s="30" t="s">
        <v>472</v>
      </c>
      <c r="H117" s="30" t="s">
        <v>473</v>
      </c>
      <c r="I117" s="30" t="s">
        <v>472</v>
      </c>
      <c r="J117" s="30" t="s">
        <v>473</v>
      </c>
      <c r="K117" s="30" t="s">
        <v>1675</v>
      </c>
      <c r="L117" s="30">
        <v>0</v>
      </c>
      <c r="O117" s="30">
        <v>0</v>
      </c>
      <c r="Q117" s="1" t="s">
        <v>61</v>
      </c>
      <c r="R117" s="1"/>
      <c r="T117" s="30">
        <v>15</v>
      </c>
      <c r="V117" s="30">
        <v>15</v>
      </c>
      <c r="W117" s="1">
        <v>15</v>
      </c>
      <c r="X117" s="1">
        <v>16</v>
      </c>
      <c r="Y117" s="1" t="s">
        <v>2129</v>
      </c>
      <c r="Z117" s="30">
        <v>6</v>
      </c>
      <c r="AA117" s="13" t="b">
        <v>1</v>
      </c>
      <c r="AB117" s="1"/>
      <c r="AC117" s="57" t="s">
        <v>1445</v>
      </c>
      <c r="AD117" s="1"/>
      <c r="AE117" s="57"/>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row>
    <row r="118" spans="1:331" s="30" customFormat="1" x14ac:dyDescent="0.25">
      <c r="A118" s="30" t="s">
        <v>474</v>
      </c>
      <c r="B118" s="30" t="s">
        <v>475</v>
      </c>
      <c r="C118" s="1" t="s">
        <v>1648</v>
      </c>
      <c r="D118" s="30">
        <v>3</v>
      </c>
      <c r="E118" s="30" t="s">
        <v>476</v>
      </c>
      <c r="F118" s="30" t="s">
        <v>476</v>
      </c>
      <c r="G118" s="30" t="s">
        <v>476</v>
      </c>
      <c r="H118" s="30" t="s">
        <v>477</v>
      </c>
      <c r="I118" s="30" t="s">
        <v>478</v>
      </c>
      <c r="J118" s="30" t="s">
        <v>479</v>
      </c>
      <c r="K118" s="30" t="s">
        <v>477</v>
      </c>
      <c r="L118" s="30">
        <v>0</v>
      </c>
      <c r="O118" s="30">
        <v>1</v>
      </c>
      <c r="Q118" s="1" t="s">
        <v>482</v>
      </c>
      <c r="R118" s="1"/>
      <c r="T118" s="30">
        <v>28</v>
      </c>
      <c r="V118" s="30">
        <v>17</v>
      </c>
      <c r="W118" s="1">
        <v>28</v>
      </c>
      <c r="X118" s="1">
        <v>23</v>
      </c>
      <c r="Y118" s="1" t="s">
        <v>2130</v>
      </c>
      <c r="Z118" s="30">
        <v>6</v>
      </c>
      <c r="AA118" s="13" t="b">
        <v>1</v>
      </c>
      <c r="AB118" s="1"/>
      <c r="AC118" s="57" t="s">
        <v>1907</v>
      </c>
      <c r="AD118" s="1"/>
      <c r="AE118" s="57"/>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row>
    <row r="119" spans="1:331" s="17" customFormat="1" x14ac:dyDescent="0.25">
      <c r="A119" s="17" t="s">
        <v>480</v>
      </c>
      <c r="B119" s="21" t="s">
        <v>481</v>
      </c>
      <c r="C119" s="13" t="s">
        <v>1648</v>
      </c>
      <c r="D119" s="17">
        <v>1</v>
      </c>
      <c r="E119" s="17" t="s">
        <v>482</v>
      </c>
      <c r="H119" s="17" t="s">
        <v>482</v>
      </c>
      <c r="I119" s="17" t="s">
        <v>420</v>
      </c>
      <c r="J119" s="17" t="s">
        <v>422</v>
      </c>
      <c r="K119" s="17" t="s">
        <v>482</v>
      </c>
      <c r="L119" s="17">
        <v>1</v>
      </c>
      <c r="M119" s="17" t="s">
        <v>483</v>
      </c>
      <c r="O119" s="17">
        <v>1</v>
      </c>
      <c r="Q119" s="1" t="s">
        <v>483</v>
      </c>
      <c r="R119" s="1"/>
      <c r="S119" s="17">
        <v>12</v>
      </c>
      <c r="T119" s="17">
        <v>4</v>
      </c>
      <c r="U119" s="17">
        <v>14</v>
      </c>
      <c r="V119" s="17">
        <v>4</v>
      </c>
      <c r="W119" s="1">
        <v>12</v>
      </c>
      <c r="X119" s="1">
        <v>10</v>
      </c>
      <c r="Y119" s="1" t="s">
        <v>2131</v>
      </c>
      <c r="Z119" s="17">
        <v>3</v>
      </c>
      <c r="AA119" s="13" t="b">
        <v>1</v>
      </c>
      <c r="AB119" s="1"/>
      <c r="AC119" s="57" t="s">
        <v>1384</v>
      </c>
      <c r="AD119" s="1"/>
      <c r="AE119" s="57"/>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row>
    <row r="120" spans="1:331" s="25" customFormat="1" x14ac:dyDescent="0.25">
      <c r="A120" s="25" t="s">
        <v>484</v>
      </c>
      <c r="B120" s="25" t="s">
        <v>485</v>
      </c>
      <c r="C120" s="1" t="s">
        <v>1648</v>
      </c>
      <c r="D120" s="25">
        <v>0</v>
      </c>
      <c r="H120" s="25" t="s">
        <v>486</v>
      </c>
      <c r="I120" s="25" t="s">
        <v>477</v>
      </c>
      <c r="J120" s="25" t="s">
        <v>486</v>
      </c>
      <c r="K120" s="25" t="s">
        <v>476</v>
      </c>
      <c r="L120" s="25">
        <v>0</v>
      </c>
      <c r="O120" s="25">
        <v>0</v>
      </c>
      <c r="Q120" s="1" t="s">
        <v>420</v>
      </c>
      <c r="R120" s="1"/>
      <c r="T120" s="25">
        <v>6</v>
      </c>
      <c r="V120" s="25">
        <v>5</v>
      </c>
      <c r="W120" s="1">
        <v>6</v>
      </c>
      <c r="X120" s="1">
        <v>15</v>
      </c>
      <c r="Y120" s="1" t="s">
        <v>2132</v>
      </c>
      <c r="Z120" s="25">
        <v>5</v>
      </c>
      <c r="AA120" s="13" t="b">
        <v>1</v>
      </c>
      <c r="AB120" s="1"/>
      <c r="AC120" s="57" t="s">
        <v>1287</v>
      </c>
      <c r="AD120" s="1"/>
      <c r="AE120" s="57"/>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row>
    <row r="121" spans="1:331" s="17" customFormat="1" x14ac:dyDescent="0.25">
      <c r="A121" s="17" t="s">
        <v>487</v>
      </c>
      <c r="B121" s="21" t="s">
        <v>488</v>
      </c>
      <c r="C121" s="13" t="s">
        <v>1648</v>
      </c>
      <c r="D121" s="17">
        <v>3</v>
      </c>
      <c r="E121" s="17" t="s">
        <v>411</v>
      </c>
      <c r="F121" s="17" t="s">
        <v>411</v>
      </c>
      <c r="G121" s="17" t="s">
        <v>411</v>
      </c>
      <c r="H121" s="17" t="s">
        <v>411</v>
      </c>
      <c r="I121" s="17" t="s">
        <v>411</v>
      </c>
      <c r="J121" s="17" t="s">
        <v>411</v>
      </c>
      <c r="K121" s="17" t="s">
        <v>411</v>
      </c>
      <c r="L121" s="17">
        <v>1</v>
      </c>
      <c r="M121" s="17" t="s">
        <v>489</v>
      </c>
      <c r="O121" s="17">
        <v>1</v>
      </c>
      <c r="Q121" s="1"/>
      <c r="R121" s="1" t="s">
        <v>489</v>
      </c>
      <c r="S121" s="17">
        <v>20.9</v>
      </c>
      <c r="T121" s="17">
        <v>33.799999999999997</v>
      </c>
      <c r="U121" s="17">
        <v>15</v>
      </c>
      <c r="V121" s="17">
        <v>18</v>
      </c>
      <c r="W121" s="1">
        <v>34</v>
      </c>
      <c r="X121" s="1">
        <v>22</v>
      </c>
      <c r="Y121" s="1" t="s">
        <v>2133</v>
      </c>
      <c r="Z121" s="17">
        <v>3</v>
      </c>
      <c r="AA121" s="13" t="b">
        <v>1</v>
      </c>
      <c r="AB121" s="1" t="s">
        <v>1893</v>
      </c>
      <c r="AC121" s="57" t="s">
        <v>1946</v>
      </c>
      <c r="AD121" s="1"/>
      <c r="AE121" s="57"/>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row>
    <row r="122" spans="1:331" s="30" customFormat="1" x14ac:dyDescent="0.25">
      <c r="A122" s="30" t="s">
        <v>490</v>
      </c>
      <c r="B122" s="30" t="s">
        <v>491</v>
      </c>
      <c r="C122" s="1" t="s">
        <v>1648</v>
      </c>
      <c r="D122" s="30">
        <v>2</v>
      </c>
      <c r="E122" s="30" t="s">
        <v>492</v>
      </c>
      <c r="F122" s="30" t="s">
        <v>492</v>
      </c>
      <c r="H122" s="30" t="s">
        <v>493</v>
      </c>
      <c r="I122" s="30" t="s">
        <v>492</v>
      </c>
      <c r="J122" s="30" t="s">
        <v>493</v>
      </c>
      <c r="K122" s="30" t="s">
        <v>1676</v>
      </c>
      <c r="L122" s="30">
        <v>0</v>
      </c>
      <c r="O122" s="30">
        <v>0</v>
      </c>
      <c r="Q122" s="1" t="s">
        <v>409</v>
      </c>
      <c r="R122" s="1"/>
      <c r="S122" s="30">
        <v>7</v>
      </c>
      <c r="U122" s="30">
        <v>10</v>
      </c>
      <c r="W122" s="1">
        <v>7</v>
      </c>
      <c r="X122" s="1">
        <v>9</v>
      </c>
      <c r="Y122" s="1" t="s">
        <v>2134</v>
      </c>
      <c r="Z122" s="30">
        <v>6</v>
      </c>
      <c r="AA122" s="13" t="b">
        <v>1</v>
      </c>
      <c r="AB122" s="1"/>
      <c r="AC122" s="57" t="s">
        <v>1411</v>
      </c>
      <c r="AD122" s="1"/>
      <c r="AE122" s="57"/>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row>
    <row r="123" spans="1:331" s="59" customFormat="1" x14ac:dyDescent="0.25">
      <c r="A123" s="59" t="s">
        <v>494</v>
      </c>
      <c r="B123" s="61" t="s">
        <v>495</v>
      </c>
      <c r="C123" s="13" t="s">
        <v>1648</v>
      </c>
      <c r="D123" s="59">
        <v>0</v>
      </c>
      <c r="H123" s="59" t="s">
        <v>496</v>
      </c>
      <c r="I123" s="59" t="s">
        <v>497</v>
      </c>
      <c r="J123" s="59" t="s">
        <v>498</v>
      </c>
      <c r="K123" s="59" t="s">
        <v>497</v>
      </c>
      <c r="L123" s="59">
        <v>1</v>
      </c>
      <c r="M123" s="59" t="s">
        <v>321</v>
      </c>
      <c r="O123" s="59">
        <v>1</v>
      </c>
      <c r="Q123" s="1"/>
      <c r="R123" s="1" t="s">
        <v>499</v>
      </c>
      <c r="T123" s="59">
        <v>6</v>
      </c>
      <c r="V123" s="59">
        <v>8</v>
      </c>
      <c r="W123" s="1">
        <v>6</v>
      </c>
      <c r="X123" s="1">
        <v>15</v>
      </c>
      <c r="Y123" s="1" t="s">
        <v>2135</v>
      </c>
      <c r="Z123" s="59">
        <v>11</v>
      </c>
      <c r="AA123" s="13" t="b">
        <v>1</v>
      </c>
      <c r="AB123" s="1"/>
      <c r="AC123" s="57" t="s">
        <v>1908</v>
      </c>
      <c r="AD123" s="1"/>
      <c r="AE123" s="57"/>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row>
    <row r="124" spans="1:331" s="40" customFormat="1" x14ac:dyDescent="0.25">
      <c r="A124" s="40" t="s">
        <v>500</v>
      </c>
      <c r="B124" s="40" t="s">
        <v>501</v>
      </c>
      <c r="C124" s="1" t="s">
        <v>1648</v>
      </c>
      <c r="D124" s="40">
        <v>0</v>
      </c>
      <c r="H124" s="40" t="s">
        <v>502</v>
      </c>
      <c r="I124" s="40" t="s">
        <v>503</v>
      </c>
      <c r="J124" s="40" t="s">
        <v>502</v>
      </c>
      <c r="K124" s="40" t="s">
        <v>503</v>
      </c>
      <c r="L124" s="40">
        <v>0</v>
      </c>
      <c r="O124" s="40">
        <v>1</v>
      </c>
      <c r="P124" s="40" t="s">
        <v>504</v>
      </c>
      <c r="Q124" s="1" t="s">
        <v>130</v>
      </c>
      <c r="R124" s="1"/>
      <c r="T124" s="40">
        <v>10</v>
      </c>
      <c r="V124" s="40">
        <v>10</v>
      </c>
      <c r="W124" s="1">
        <v>10</v>
      </c>
      <c r="X124" s="1">
        <v>23</v>
      </c>
      <c r="Y124" s="1" t="s">
        <v>2136</v>
      </c>
      <c r="Z124" s="40">
        <v>8</v>
      </c>
      <c r="AA124" s="13" t="b">
        <v>1</v>
      </c>
      <c r="AB124" s="1"/>
      <c r="AC124" s="57" t="s">
        <v>1410</v>
      </c>
      <c r="AD124" s="1"/>
      <c r="AE124" s="57"/>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row>
    <row r="125" spans="1:331" s="30" customFormat="1" x14ac:dyDescent="0.25">
      <c r="A125" s="30" t="s">
        <v>505</v>
      </c>
      <c r="B125" s="30" t="s">
        <v>506</v>
      </c>
      <c r="C125" s="1" t="s">
        <v>1648</v>
      </c>
      <c r="D125" s="30">
        <v>4</v>
      </c>
      <c r="E125" s="30" t="s">
        <v>427</v>
      </c>
      <c r="F125" s="30" t="s">
        <v>427</v>
      </c>
      <c r="G125" s="30" t="s">
        <v>427</v>
      </c>
      <c r="H125" s="30" t="s">
        <v>507</v>
      </c>
      <c r="I125" s="30" t="s">
        <v>508</v>
      </c>
      <c r="J125" s="30" t="s">
        <v>509</v>
      </c>
      <c r="K125" s="30" t="s">
        <v>507</v>
      </c>
      <c r="L125" s="30">
        <v>0</v>
      </c>
      <c r="O125" s="30">
        <v>1</v>
      </c>
      <c r="Q125" s="1" t="s">
        <v>1537</v>
      </c>
      <c r="R125" s="1"/>
      <c r="T125" s="30">
        <v>15</v>
      </c>
      <c r="V125" s="30">
        <v>15</v>
      </c>
      <c r="W125" s="1">
        <v>15</v>
      </c>
      <c r="X125" s="1">
        <v>16</v>
      </c>
      <c r="Y125" s="1" t="s">
        <v>2137</v>
      </c>
      <c r="Z125" s="30">
        <v>6</v>
      </c>
      <c r="AA125" s="13" t="b">
        <v>1</v>
      </c>
      <c r="AB125" s="1" t="s">
        <v>1894</v>
      </c>
      <c r="AC125" s="57" t="s">
        <v>1642</v>
      </c>
      <c r="AD125" s="1"/>
      <c r="AE125" s="57"/>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row>
    <row r="126" spans="1:331" s="25" customFormat="1" x14ac:dyDescent="0.25">
      <c r="A126" s="25" t="s">
        <v>510</v>
      </c>
      <c r="B126" s="29" t="s">
        <v>511</v>
      </c>
      <c r="C126" s="13" t="s">
        <v>1648</v>
      </c>
      <c r="D126" s="25">
        <v>0</v>
      </c>
      <c r="H126" s="25" t="s">
        <v>512</v>
      </c>
      <c r="I126" s="25" t="s">
        <v>513</v>
      </c>
      <c r="J126" s="25" t="s">
        <v>512</v>
      </c>
      <c r="K126" s="25" t="s">
        <v>604</v>
      </c>
      <c r="L126" s="25">
        <v>0</v>
      </c>
      <c r="O126" s="25">
        <v>0</v>
      </c>
      <c r="Q126" s="1" t="s">
        <v>507</v>
      </c>
      <c r="R126" s="1"/>
      <c r="T126" s="25">
        <v>11</v>
      </c>
      <c r="V126" s="25">
        <v>10</v>
      </c>
      <c r="W126" s="1">
        <v>11</v>
      </c>
      <c r="X126" s="1">
        <v>13</v>
      </c>
      <c r="Y126" s="1" t="s">
        <v>2138</v>
      </c>
      <c r="Z126" s="25">
        <v>5</v>
      </c>
      <c r="AA126" s="13" t="b">
        <v>1</v>
      </c>
      <c r="AB126" s="1"/>
      <c r="AC126" s="57" t="s">
        <v>1337</v>
      </c>
      <c r="AD126" s="1"/>
      <c r="AE126" s="57"/>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row>
    <row r="127" spans="1:331" s="64" customFormat="1" x14ac:dyDescent="0.25">
      <c r="A127" s="64" t="s">
        <v>514</v>
      </c>
      <c r="B127" s="64" t="s">
        <v>515</v>
      </c>
      <c r="C127" s="1" t="s">
        <v>1648</v>
      </c>
      <c r="D127" s="64">
        <v>0</v>
      </c>
      <c r="H127" s="64" t="s">
        <v>516</v>
      </c>
      <c r="I127" s="64" t="s">
        <v>517</v>
      </c>
      <c r="J127" s="64" t="s">
        <v>518</v>
      </c>
      <c r="K127" s="64" t="s">
        <v>517</v>
      </c>
      <c r="L127" s="64">
        <v>1</v>
      </c>
      <c r="M127" s="64" t="s">
        <v>517</v>
      </c>
      <c r="O127" s="64">
        <v>1</v>
      </c>
      <c r="Q127" s="1"/>
      <c r="R127" s="1" t="s">
        <v>110</v>
      </c>
      <c r="T127" s="64">
        <v>21</v>
      </c>
      <c r="W127" s="1">
        <v>21</v>
      </c>
      <c r="X127" s="1">
        <v>16</v>
      </c>
      <c r="Y127" s="1" t="s">
        <v>2139</v>
      </c>
      <c r="Z127" s="64">
        <v>12</v>
      </c>
      <c r="AA127" s="13" t="b">
        <v>1</v>
      </c>
      <c r="AB127" s="1"/>
      <c r="AC127" s="57" t="s">
        <v>1367</v>
      </c>
      <c r="AD127" s="1"/>
      <c r="AE127" s="57"/>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row>
    <row r="128" spans="1:331" s="35" customFormat="1" x14ac:dyDescent="0.25">
      <c r="A128" s="35" t="s">
        <v>519</v>
      </c>
      <c r="B128" s="35" t="s">
        <v>520</v>
      </c>
      <c r="C128" s="1" t="s">
        <v>1648</v>
      </c>
      <c r="D128" s="35">
        <v>1</v>
      </c>
      <c r="E128" s="35" t="s">
        <v>521</v>
      </c>
      <c r="H128" s="35" t="s">
        <v>522</v>
      </c>
      <c r="I128" s="35" t="s">
        <v>521</v>
      </c>
      <c r="J128" s="35" t="s">
        <v>522</v>
      </c>
      <c r="K128" s="35" t="s">
        <v>521</v>
      </c>
      <c r="L128" s="35">
        <v>0</v>
      </c>
      <c r="O128" s="35">
        <v>1</v>
      </c>
      <c r="Q128" s="1"/>
      <c r="R128" s="1" t="s">
        <v>523</v>
      </c>
      <c r="S128" s="35">
        <v>14</v>
      </c>
      <c r="T128" s="35">
        <v>12</v>
      </c>
      <c r="U128" s="35">
        <v>10</v>
      </c>
      <c r="V128" s="35">
        <v>15</v>
      </c>
      <c r="W128" s="1">
        <v>12</v>
      </c>
      <c r="X128" s="1">
        <v>15</v>
      </c>
      <c r="Y128" s="1" t="s">
        <v>2140</v>
      </c>
      <c r="Z128" s="35">
        <v>7</v>
      </c>
      <c r="AA128" s="13" t="b">
        <v>1</v>
      </c>
      <c r="AB128" s="1"/>
      <c r="AC128" s="57" t="s">
        <v>1412</v>
      </c>
      <c r="AD128" s="1"/>
      <c r="AE128" s="57"/>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1"/>
      <c r="LQ128" s="1"/>
      <c r="LR128" s="1"/>
      <c r="LS128" s="1"/>
    </row>
    <row r="129" spans="1:331" s="52" customFormat="1" x14ac:dyDescent="0.25">
      <c r="A129" s="52" t="s">
        <v>524</v>
      </c>
      <c r="B129" s="56" t="s">
        <v>525</v>
      </c>
      <c r="C129" s="13" t="s">
        <v>1648</v>
      </c>
      <c r="D129" s="52">
        <v>1</v>
      </c>
      <c r="E129" s="52" t="s">
        <v>526</v>
      </c>
      <c r="H129" s="52" t="s">
        <v>527</v>
      </c>
      <c r="I129" s="52" t="s">
        <v>526</v>
      </c>
      <c r="J129" s="52" t="s">
        <v>527</v>
      </c>
      <c r="K129" s="52" t="s">
        <v>526</v>
      </c>
      <c r="L129" s="52">
        <v>1</v>
      </c>
      <c r="M129" s="52" t="s">
        <v>344</v>
      </c>
      <c r="O129" s="52">
        <v>1</v>
      </c>
      <c r="P129" s="52" t="s">
        <v>347</v>
      </c>
      <c r="Q129" s="1" t="s">
        <v>918</v>
      </c>
      <c r="R129" s="1"/>
      <c r="S129" s="52">
        <v>14</v>
      </c>
      <c r="U129" s="52">
        <v>8</v>
      </c>
      <c r="W129" s="1">
        <v>14</v>
      </c>
      <c r="X129" s="1">
        <v>13</v>
      </c>
      <c r="Y129" s="1" t="s">
        <v>2141</v>
      </c>
      <c r="Z129" s="52">
        <v>10</v>
      </c>
      <c r="AA129" s="13" t="b">
        <v>1</v>
      </c>
      <c r="AB129" s="1"/>
      <c r="AC129" s="57" t="s">
        <v>1909</v>
      </c>
      <c r="AD129" s="1"/>
      <c r="AE129" s="57"/>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row>
    <row r="130" spans="1:331" s="25" customFormat="1" x14ac:dyDescent="0.25">
      <c r="A130" s="25" t="s">
        <v>528</v>
      </c>
      <c r="B130" s="29" t="s">
        <v>529</v>
      </c>
      <c r="C130" s="13" t="s">
        <v>1648</v>
      </c>
      <c r="D130" s="25">
        <v>0</v>
      </c>
      <c r="H130" s="25" t="s">
        <v>344</v>
      </c>
      <c r="I130" s="25" t="s">
        <v>530</v>
      </c>
      <c r="J130" s="25" t="s">
        <v>344</v>
      </c>
      <c r="K130" s="25" t="s">
        <v>530</v>
      </c>
      <c r="L130" s="25">
        <v>0</v>
      </c>
      <c r="O130" s="25">
        <v>0</v>
      </c>
      <c r="Q130" s="1" t="s">
        <v>924</v>
      </c>
      <c r="R130" s="1"/>
      <c r="S130" s="25">
        <v>4</v>
      </c>
      <c r="V130" s="25">
        <v>6</v>
      </c>
      <c r="W130" s="1">
        <v>4</v>
      </c>
      <c r="X130" s="1">
        <v>0</v>
      </c>
      <c r="Y130" s="1" t="s">
        <v>2142</v>
      </c>
      <c r="Z130" s="25">
        <v>5</v>
      </c>
      <c r="AA130" s="13" t="b">
        <v>1</v>
      </c>
      <c r="AB130" s="1"/>
      <c r="AC130" s="57" t="s">
        <v>1298</v>
      </c>
      <c r="AD130" s="1"/>
      <c r="AE130" s="57"/>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row>
    <row r="131" spans="1:331" s="30" customFormat="1" x14ac:dyDescent="0.25">
      <c r="A131" s="30" t="s">
        <v>531</v>
      </c>
      <c r="B131" s="30" t="s">
        <v>532</v>
      </c>
      <c r="C131" s="1" t="s">
        <v>1648</v>
      </c>
      <c r="D131" s="30">
        <v>1</v>
      </c>
      <c r="E131" s="80">
        <v>44523</v>
      </c>
      <c r="H131" s="30" t="s">
        <v>344</v>
      </c>
      <c r="I131" s="30" t="s">
        <v>533</v>
      </c>
      <c r="J131" s="30" t="s">
        <v>344</v>
      </c>
      <c r="K131" s="30" t="s">
        <v>260</v>
      </c>
      <c r="L131" s="30">
        <v>0</v>
      </c>
      <c r="O131" s="30">
        <v>0</v>
      </c>
      <c r="Q131" s="1" t="s">
        <v>325</v>
      </c>
      <c r="R131" s="1"/>
      <c r="S131" s="30">
        <v>5</v>
      </c>
      <c r="U131" s="30">
        <v>6</v>
      </c>
      <c r="W131" s="1">
        <v>5</v>
      </c>
      <c r="X131" s="1">
        <v>12</v>
      </c>
      <c r="Y131" s="1" t="s">
        <v>2143</v>
      </c>
      <c r="Z131" s="30">
        <v>6</v>
      </c>
      <c r="AA131" s="13" t="b">
        <v>1</v>
      </c>
      <c r="AB131" s="1"/>
      <c r="AC131" s="57" t="s">
        <v>1640</v>
      </c>
      <c r="AD131" s="1"/>
      <c r="AE131" s="57"/>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row>
    <row r="132" spans="1:331" s="25" customFormat="1" x14ac:dyDescent="0.25">
      <c r="A132" s="25" t="s">
        <v>534</v>
      </c>
      <c r="B132" s="29" t="s">
        <v>535</v>
      </c>
      <c r="C132" s="13" t="s">
        <v>1648</v>
      </c>
      <c r="D132" s="25">
        <v>0</v>
      </c>
      <c r="H132" s="25" t="s">
        <v>536</v>
      </c>
      <c r="I132" s="25" t="s">
        <v>537</v>
      </c>
      <c r="J132" s="25" t="s">
        <v>536</v>
      </c>
      <c r="K132" s="25" t="s">
        <v>1677</v>
      </c>
      <c r="L132" s="25">
        <v>0</v>
      </c>
      <c r="O132" s="25">
        <v>1</v>
      </c>
      <c r="Q132" s="1" t="s">
        <v>1501</v>
      </c>
      <c r="R132" s="1"/>
      <c r="S132" s="25">
        <v>17</v>
      </c>
      <c r="U132" s="25">
        <v>17</v>
      </c>
      <c r="W132" s="1">
        <v>17</v>
      </c>
      <c r="X132" s="1">
        <v>18</v>
      </c>
      <c r="Y132" s="1" t="s">
        <v>2144</v>
      </c>
      <c r="Z132" s="25">
        <v>5</v>
      </c>
      <c r="AA132" s="13" t="b">
        <v>1</v>
      </c>
      <c r="AB132" s="1"/>
      <c r="AC132" s="57" t="s">
        <v>1288</v>
      </c>
      <c r="AD132" s="1"/>
      <c r="AE132" s="57"/>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c r="LO132" s="1"/>
      <c r="LP132" s="1"/>
      <c r="LQ132" s="1"/>
      <c r="LR132" s="1"/>
      <c r="LS132" s="1"/>
    </row>
    <row r="133" spans="1:331" s="35" customFormat="1" x14ac:dyDescent="0.25">
      <c r="A133" s="35" t="s">
        <v>538</v>
      </c>
      <c r="B133" s="39" t="s">
        <v>539</v>
      </c>
      <c r="C133" s="13" t="s">
        <v>1648</v>
      </c>
      <c r="D133" s="35">
        <v>1</v>
      </c>
      <c r="E133" s="35" t="s">
        <v>540</v>
      </c>
      <c r="H133" s="35" t="s">
        <v>541</v>
      </c>
      <c r="I133" s="35" t="s">
        <v>542</v>
      </c>
      <c r="J133" s="35" t="s">
        <v>543</v>
      </c>
      <c r="K133" s="35" t="s">
        <v>542</v>
      </c>
      <c r="L133" s="35">
        <v>0</v>
      </c>
      <c r="O133" s="35">
        <v>1</v>
      </c>
      <c r="Q133" s="1"/>
      <c r="R133" s="1" t="s">
        <v>350</v>
      </c>
      <c r="S133" s="35">
        <v>9</v>
      </c>
      <c r="U133" s="35">
        <v>9</v>
      </c>
      <c r="W133" s="1">
        <v>9</v>
      </c>
      <c r="X133" s="1">
        <v>8</v>
      </c>
      <c r="Y133" s="1" t="s">
        <v>2145</v>
      </c>
      <c r="Z133" s="35">
        <v>7</v>
      </c>
      <c r="AA133" s="13" t="b">
        <v>1</v>
      </c>
      <c r="AB133" s="1"/>
      <c r="AC133" s="57" t="s">
        <v>1920</v>
      </c>
      <c r="AD133" s="1"/>
      <c r="AE133" s="57"/>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1"/>
      <c r="LQ133" s="1"/>
      <c r="LR133" s="1"/>
      <c r="LS133" s="1"/>
    </row>
    <row r="134" spans="1:331" s="35" customFormat="1" x14ac:dyDescent="0.25">
      <c r="A134" s="35" t="s">
        <v>544</v>
      </c>
      <c r="B134" s="39" t="s">
        <v>545</v>
      </c>
      <c r="C134" s="13" t="s">
        <v>1648</v>
      </c>
      <c r="D134" s="35">
        <v>1</v>
      </c>
      <c r="E134" s="35" t="s">
        <v>148</v>
      </c>
      <c r="H134" s="35" t="s">
        <v>546</v>
      </c>
      <c r="I134" s="35" t="s">
        <v>547</v>
      </c>
      <c r="J134" s="35" t="s">
        <v>546</v>
      </c>
      <c r="K134" s="35" t="s">
        <v>547</v>
      </c>
      <c r="L134" s="35">
        <v>0</v>
      </c>
      <c r="O134" s="35">
        <v>1</v>
      </c>
      <c r="P134" s="35" t="s">
        <v>548</v>
      </c>
      <c r="Q134" s="1" t="s">
        <v>1538</v>
      </c>
      <c r="R134" s="1"/>
      <c r="T134" s="35">
        <v>25</v>
      </c>
      <c r="V134" s="35">
        <v>22</v>
      </c>
      <c r="W134" s="1">
        <v>25</v>
      </c>
      <c r="X134" s="1">
        <v>17</v>
      </c>
      <c r="Y134" s="1" t="s">
        <v>2146</v>
      </c>
      <c r="Z134" s="35">
        <v>7</v>
      </c>
      <c r="AA134" s="13" t="b">
        <v>1</v>
      </c>
      <c r="AB134" s="1" t="s">
        <v>1894</v>
      </c>
      <c r="AC134" s="57" t="s">
        <v>1289</v>
      </c>
      <c r="AD134" s="1"/>
      <c r="AE134" s="57"/>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row>
    <row r="135" spans="1:331" s="22" customFormat="1" ht="15.75" x14ac:dyDescent="0.25">
      <c r="A135" s="22" t="s">
        <v>549</v>
      </c>
      <c r="B135" s="22" t="s">
        <v>550</v>
      </c>
      <c r="C135" s="83" t="s">
        <v>1648</v>
      </c>
      <c r="D135" s="22">
        <v>0</v>
      </c>
      <c r="H135" s="22" t="s">
        <v>551</v>
      </c>
      <c r="I135" s="22" t="s">
        <v>552</v>
      </c>
      <c r="J135" s="22" t="s">
        <v>551</v>
      </c>
      <c r="K135" s="22" t="s">
        <v>552</v>
      </c>
      <c r="L135" s="22">
        <v>1</v>
      </c>
      <c r="M135" s="22" t="s">
        <v>553</v>
      </c>
      <c r="O135" s="22">
        <v>0</v>
      </c>
      <c r="Q135" s="83" t="s">
        <v>551</v>
      </c>
      <c r="R135" s="83"/>
      <c r="T135" s="22">
        <v>19</v>
      </c>
      <c r="V135" s="22">
        <v>23</v>
      </c>
      <c r="W135" s="83">
        <v>19</v>
      </c>
      <c r="X135" s="1">
        <v>18</v>
      </c>
      <c r="Y135" s="1" t="s">
        <v>2147</v>
      </c>
      <c r="Z135" s="22">
        <v>4</v>
      </c>
      <c r="AA135" s="92" t="b">
        <v>1</v>
      </c>
      <c r="AB135" s="83" t="s">
        <v>1899</v>
      </c>
      <c r="AC135" s="85" t="s">
        <v>1368</v>
      </c>
      <c r="AD135" s="83"/>
      <c r="AE135" s="85"/>
      <c r="AF135" s="83"/>
      <c r="AG135" s="83"/>
      <c r="AH135" s="83"/>
      <c r="AI135" s="83"/>
      <c r="AJ135" s="83"/>
      <c r="AK135" s="83"/>
      <c r="AL135" s="83"/>
      <c r="AM135" s="83"/>
      <c r="AN135" s="83"/>
      <c r="AO135" s="83"/>
      <c r="AP135" s="83"/>
      <c r="AQ135" s="83"/>
      <c r="AR135" s="83"/>
      <c r="AS135" s="83"/>
      <c r="AT135" s="83"/>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row>
    <row r="136" spans="1:331" s="30" customFormat="1" x14ac:dyDescent="0.25">
      <c r="A136" s="30" t="s">
        <v>554</v>
      </c>
      <c r="B136" s="30" t="s">
        <v>555</v>
      </c>
      <c r="C136" s="1" t="s">
        <v>1648</v>
      </c>
      <c r="D136" s="30">
        <v>1</v>
      </c>
      <c r="E136" s="30" t="s">
        <v>61</v>
      </c>
      <c r="H136" s="30" t="s">
        <v>556</v>
      </c>
      <c r="I136" s="30" t="s">
        <v>97</v>
      </c>
      <c r="J136" s="30" t="s">
        <v>557</v>
      </c>
      <c r="K136" s="30" t="s">
        <v>1678</v>
      </c>
      <c r="L136" s="30">
        <v>0</v>
      </c>
      <c r="O136" s="30">
        <v>1</v>
      </c>
      <c r="Q136" s="1" t="s">
        <v>1539</v>
      </c>
      <c r="R136" s="1"/>
      <c r="S136" s="30">
        <v>20</v>
      </c>
      <c r="W136" s="1">
        <v>20</v>
      </c>
      <c r="X136" s="1">
        <v>12</v>
      </c>
      <c r="Y136" s="1" t="s">
        <v>2148</v>
      </c>
      <c r="Z136" s="30">
        <v>6</v>
      </c>
      <c r="AA136" s="13" t="b">
        <v>1</v>
      </c>
      <c r="AB136" s="1" t="s">
        <v>1899</v>
      </c>
      <c r="AC136" s="57" t="s">
        <v>1290</v>
      </c>
      <c r="AD136" s="1"/>
      <c r="AE136" s="57"/>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c r="IY136" s="1"/>
      <c r="IZ136" s="1"/>
      <c r="JA136" s="1"/>
      <c r="JB136" s="1"/>
      <c r="JC136" s="1"/>
      <c r="JD136" s="1"/>
      <c r="JE136" s="1"/>
      <c r="JF136" s="1"/>
      <c r="JG136" s="1"/>
      <c r="JH136" s="1"/>
      <c r="JI136" s="1"/>
      <c r="JJ136" s="1"/>
      <c r="JK136" s="1"/>
      <c r="JL136" s="1"/>
      <c r="JM136" s="1"/>
      <c r="JN136" s="1"/>
      <c r="JO136" s="1"/>
      <c r="JP136" s="1"/>
      <c r="JQ136" s="1"/>
      <c r="JR136" s="1"/>
      <c r="JS136" s="1"/>
      <c r="JT136" s="1"/>
      <c r="JU136" s="1"/>
      <c r="JV136" s="1"/>
      <c r="JW136" s="1"/>
      <c r="JX136" s="1"/>
      <c r="JY136" s="1"/>
      <c r="JZ136" s="1"/>
      <c r="KA136" s="1"/>
      <c r="KB136" s="1"/>
      <c r="KC136" s="1"/>
      <c r="KD136" s="1"/>
      <c r="KE136" s="1"/>
      <c r="KF136" s="1"/>
      <c r="KG136" s="1"/>
      <c r="KH136" s="1"/>
      <c r="KI136" s="1"/>
      <c r="KJ136" s="1"/>
      <c r="KK136" s="1"/>
      <c r="KL136" s="1"/>
      <c r="KM136" s="1"/>
      <c r="KN136" s="1"/>
      <c r="KO136" s="1"/>
      <c r="KP136" s="1"/>
      <c r="KQ136" s="1"/>
      <c r="KR136" s="1"/>
      <c r="KS136" s="1"/>
      <c r="KT136" s="1"/>
      <c r="KU136" s="1"/>
      <c r="KV136" s="1"/>
      <c r="KW136" s="1"/>
      <c r="KX136" s="1"/>
      <c r="KY136" s="1"/>
      <c r="KZ136" s="1"/>
      <c r="LA136" s="1"/>
      <c r="LB136" s="1"/>
      <c r="LC136" s="1"/>
      <c r="LD136" s="1"/>
      <c r="LE136" s="1"/>
      <c r="LF136" s="1"/>
      <c r="LG136" s="1"/>
      <c r="LH136" s="1"/>
      <c r="LI136" s="1"/>
      <c r="LJ136" s="1"/>
      <c r="LK136" s="1"/>
      <c r="LL136" s="1"/>
      <c r="LM136" s="1"/>
      <c r="LN136" s="1"/>
      <c r="LO136" s="1"/>
      <c r="LP136" s="1"/>
      <c r="LQ136" s="1"/>
      <c r="LR136" s="1"/>
      <c r="LS136" s="1"/>
    </row>
    <row r="137" spans="1:331" s="25" customFormat="1" x14ac:dyDescent="0.25">
      <c r="A137" s="25" t="s">
        <v>558</v>
      </c>
      <c r="B137" s="29" t="s">
        <v>559</v>
      </c>
      <c r="C137" s="13" t="s">
        <v>1648</v>
      </c>
      <c r="D137" s="25">
        <v>0</v>
      </c>
      <c r="H137" s="25" t="s">
        <v>560</v>
      </c>
      <c r="I137" s="25" t="s">
        <v>561</v>
      </c>
      <c r="J137" s="25" t="s">
        <v>560</v>
      </c>
      <c r="K137" s="25" t="s">
        <v>561</v>
      </c>
      <c r="L137" s="25">
        <v>0</v>
      </c>
      <c r="O137" s="25">
        <v>1</v>
      </c>
      <c r="Q137" s="1" t="s">
        <v>651</v>
      </c>
      <c r="R137" s="1"/>
      <c r="T137" s="25">
        <v>19</v>
      </c>
      <c r="V137" s="25">
        <v>17</v>
      </c>
      <c r="W137" s="1">
        <v>19</v>
      </c>
      <c r="X137" s="1">
        <v>17</v>
      </c>
      <c r="Y137" s="1" t="s">
        <v>2149</v>
      </c>
      <c r="Z137" s="25">
        <v>5</v>
      </c>
      <c r="AA137" s="13" t="b">
        <v>1</v>
      </c>
      <c r="AB137" s="1"/>
      <c r="AC137" s="57" t="s">
        <v>1338</v>
      </c>
      <c r="AD137" s="1"/>
      <c r="AE137" s="57"/>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row>
    <row r="138" spans="1:331" s="35" customFormat="1" x14ac:dyDescent="0.25">
      <c r="A138" s="35" t="s">
        <v>562</v>
      </c>
      <c r="B138" s="39" t="s">
        <v>563</v>
      </c>
      <c r="C138" s="13" t="s">
        <v>1648</v>
      </c>
      <c r="D138" s="35">
        <v>1</v>
      </c>
      <c r="E138" s="35" t="s">
        <v>564</v>
      </c>
      <c r="H138" s="35" t="s">
        <v>565</v>
      </c>
      <c r="I138" s="35" t="s">
        <v>566</v>
      </c>
      <c r="J138" s="35" t="s">
        <v>565</v>
      </c>
      <c r="K138" s="35" t="s">
        <v>1679</v>
      </c>
      <c r="L138" s="35">
        <v>0</v>
      </c>
      <c r="O138" s="35">
        <v>1</v>
      </c>
      <c r="P138" s="35" t="s">
        <v>567</v>
      </c>
      <c r="Q138" s="1" t="s">
        <v>1540</v>
      </c>
      <c r="R138" s="1"/>
      <c r="S138" s="35">
        <v>10</v>
      </c>
      <c r="W138" s="1">
        <v>10</v>
      </c>
      <c r="X138" s="1">
        <v>17</v>
      </c>
      <c r="Y138" s="1" t="s">
        <v>2150</v>
      </c>
      <c r="Z138" s="35">
        <v>7</v>
      </c>
      <c r="AA138" s="13" t="b">
        <v>1</v>
      </c>
      <c r="AB138" s="1"/>
      <c r="AC138" s="57" t="s">
        <v>1285</v>
      </c>
      <c r="AD138" s="1"/>
      <c r="AE138" s="57"/>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row>
    <row r="139" spans="1:331" s="25" customFormat="1" x14ac:dyDescent="0.25">
      <c r="A139" s="25" t="s">
        <v>568</v>
      </c>
      <c r="B139" s="29" t="s">
        <v>569</v>
      </c>
      <c r="C139" s="13" t="s">
        <v>1648</v>
      </c>
      <c r="D139" s="25">
        <v>0</v>
      </c>
      <c r="H139" s="25" t="s">
        <v>350</v>
      </c>
      <c r="I139" s="25" t="s">
        <v>570</v>
      </c>
      <c r="J139" s="25" t="s">
        <v>350</v>
      </c>
      <c r="K139" s="25" t="s">
        <v>570</v>
      </c>
      <c r="L139" s="25">
        <v>0</v>
      </c>
      <c r="O139" s="25">
        <v>0</v>
      </c>
      <c r="Q139" s="1" t="s">
        <v>1541</v>
      </c>
      <c r="R139" s="1"/>
      <c r="S139" s="25">
        <v>10.7</v>
      </c>
      <c r="U139" s="25">
        <v>6</v>
      </c>
      <c r="W139" s="1">
        <v>11</v>
      </c>
      <c r="X139" s="1">
        <v>9</v>
      </c>
      <c r="Y139" s="1" t="s">
        <v>2151</v>
      </c>
      <c r="Z139" s="25">
        <v>5</v>
      </c>
      <c r="AA139" s="13" t="b">
        <v>1</v>
      </c>
      <c r="AB139" s="1"/>
      <c r="AC139" s="57" t="s">
        <v>1910</v>
      </c>
      <c r="AD139" s="1"/>
      <c r="AE139" s="57"/>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row>
    <row r="140" spans="1:331" s="35" customFormat="1" x14ac:dyDescent="0.25">
      <c r="A140" s="35" t="s">
        <v>571</v>
      </c>
      <c r="B140" s="39" t="s">
        <v>572</v>
      </c>
      <c r="C140" s="13" t="s">
        <v>1648</v>
      </c>
      <c r="D140" s="35">
        <v>0</v>
      </c>
      <c r="H140" s="35" t="s">
        <v>350</v>
      </c>
      <c r="I140" s="35" t="s">
        <v>573</v>
      </c>
      <c r="J140" s="35" t="s">
        <v>350</v>
      </c>
      <c r="K140" s="35" t="s">
        <v>144</v>
      </c>
      <c r="L140" s="35">
        <v>0</v>
      </c>
      <c r="O140" s="35">
        <v>1</v>
      </c>
      <c r="Q140" s="1"/>
      <c r="R140" s="1" t="s">
        <v>574</v>
      </c>
      <c r="S140" s="35">
        <v>25</v>
      </c>
      <c r="W140" s="1">
        <v>25</v>
      </c>
      <c r="X140" s="1">
        <v>9</v>
      </c>
      <c r="Y140" s="1" t="s">
        <v>2152</v>
      </c>
      <c r="Z140" s="35">
        <v>7</v>
      </c>
      <c r="AA140" s="13" t="b">
        <v>1</v>
      </c>
      <c r="AB140" s="1" t="s">
        <v>1899</v>
      </c>
      <c r="AC140" s="57" t="s">
        <v>1291</v>
      </c>
      <c r="AD140" s="1"/>
      <c r="AE140" s="57"/>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row>
    <row r="141" spans="1:331" s="25" customFormat="1" x14ac:dyDescent="0.25">
      <c r="A141" s="25" t="s">
        <v>575</v>
      </c>
      <c r="B141" s="29" t="s">
        <v>576</v>
      </c>
      <c r="C141" s="13" t="s">
        <v>1648</v>
      </c>
      <c r="D141" s="25">
        <v>0</v>
      </c>
      <c r="H141" s="25" t="s">
        <v>100</v>
      </c>
      <c r="I141" s="25" t="s">
        <v>473</v>
      </c>
      <c r="J141" s="25" t="s">
        <v>100</v>
      </c>
      <c r="K141" s="25" t="s">
        <v>100</v>
      </c>
      <c r="L141" s="25">
        <v>0</v>
      </c>
      <c r="O141" s="25">
        <v>0</v>
      </c>
      <c r="Q141" s="1" t="s">
        <v>84</v>
      </c>
      <c r="R141" s="1"/>
      <c r="S141" s="25">
        <v>8</v>
      </c>
      <c r="W141" s="1">
        <v>8</v>
      </c>
      <c r="X141" s="1">
        <v>8</v>
      </c>
      <c r="Y141" s="1" t="s">
        <v>2153</v>
      </c>
      <c r="Z141" s="25">
        <v>5</v>
      </c>
      <c r="AA141" s="13" t="b">
        <v>1</v>
      </c>
      <c r="AB141" s="1" t="s">
        <v>1893</v>
      </c>
      <c r="AC141" s="57" t="s">
        <v>1860</v>
      </c>
      <c r="AD141" s="1"/>
      <c r="AE141" s="57"/>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row>
    <row r="142" spans="1:331" s="30" customFormat="1" x14ac:dyDescent="0.25">
      <c r="A142" s="30" t="s">
        <v>577</v>
      </c>
      <c r="B142" s="30" t="s">
        <v>578</v>
      </c>
      <c r="C142" s="1" t="s">
        <v>1648</v>
      </c>
      <c r="D142" s="30">
        <v>1</v>
      </c>
      <c r="E142" s="30" t="s">
        <v>579</v>
      </c>
      <c r="H142" s="30" t="s">
        <v>580</v>
      </c>
      <c r="I142" s="30" t="s">
        <v>581</v>
      </c>
      <c r="J142" s="30" t="s">
        <v>582</v>
      </c>
      <c r="K142" s="30" t="s">
        <v>580</v>
      </c>
      <c r="L142" s="30">
        <v>0</v>
      </c>
      <c r="O142" s="30">
        <v>1</v>
      </c>
      <c r="Q142" s="1" t="s">
        <v>1542</v>
      </c>
      <c r="R142" s="1"/>
      <c r="S142" s="30">
        <v>11.4</v>
      </c>
      <c r="U142" s="30">
        <v>6</v>
      </c>
      <c r="W142" s="1">
        <v>11</v>
      </c>
      <c r="X142" s="1">
        <v>9</v>
      </c>
      <c r="Y142" s="1" t="s">
        <v>2154</v>
      </c>
      <c r="Z142" s="30">
        <v>6</v>
      </c>
      <c r="AA142" s="13" t="b">
        <v>1</v>
      </c>
      <c r="AB142" s="1"/>
      <c r="AC142" s="57" t="s">
        <v>1911</v>
      </c>
      <c r="AD142" s="1"/>
      <c r="AE142" s="57"/>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row>
    <row r="143" spans="1:331" s="3" customFormat="1" x14ac:dyDescent="0.25">
      <c r="A143" s="3" t="s">
        <v>583</v>
      </c>
      <c r="B143" s="5" t="s">
        <v>584</v>
      </c>
      <c r="C143" s="13" t="s">
        <v>1648</v>
      </c>
      <c r="D143" s="3">
        <v>0</v>
      </c>
      <c r="H143" s="3" t="s">
        <v>585</v>
      </c>
      <c r="I143" s="3" t="s">
        <v>586</v>
      </c>
      <c r="J143" s="3" t="s">
        <v>587</v>
      </c>
      <c r="K143" s="3" t="s">
        <v>1680</v>
      </c>
      <c r="L143" s="3">
        <v>1</v>
      </c>
      <c r="M143" s="3" t="s">
        <v>588</v>
      </c>
      <c r="O143" s="3">
        <v>0</v>
      </c>
      <c r="Q143" s="1" t="s">
        <v>1543</v>
      </c>
      <c r="R143" s="1"/>
      <c r="T143" s="3">
        <v>10</v>
      </c>
      <c r="V143" s="3">
        <v>11</v>
      </c>
      <c r="W143" s="1">
        <v>10</v>
      </c>
      <c r="X143" s="1">
        <v>10</v>
      </c>
      <c r="Y143" s="1" t="s">
        <v>2155</v>
      </c>
      <c r="Z143" s="3">
        <v>1</v>
      </c>
      <c r="AA143" s="13" t="b">
        <v>1</v>
      </c>
      <c r="AB143" s="1"/>
      <c r="AC143" s="57" t="s">
        <v>1359</v>
      </c>
      <c r="AD143" s="1"/>
      <c r="AE143" s="57"/>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c r="IY143" s="1"/>
      <c r="IZ143" s="1"/>
      <c r="JA143" s="1"/>
      <c r="JB143" s="1"/>
      <c r="JC143" s="1"/>
      <c r="JD143" s="1"/>
      <c r="JE143" s="1"/>
      <c r="JF143" s="1"/>
      <c r="JG143" s="1"/>
      <c r="JH143" s="1"/>
      <c r="JI143" s="1"/>
      <c r="JJ143" s="1"/>
      <c r="JK143" s="1"/>
      <c r="JL143" s="1"/>
      <c r="JM143" s="1"/>
      <c r="JN143" s="1"/>
      <c r="JO143" s="1"/>
      <c r="JP143" s="1"/>
      <c r="JQ143" s="1"/>
      <c r="JR143" s="1"/>
      <c r="JS143" s="1"/>
      <c r="JT143" s="1"/>
      <c r="JU143" s="1"/>
      <c r="JV143" s="1"/>
      <c r="JW143" s="1"/>
      <c r="JX143" s="1"/>
      <c r="JY143" s="1"/>
      <c r="JZ143" s="1"/>
      <c r="KA143" s="1"/>
      <c r="KB143" s="1"/>
      <c r="KC143" s="1"/>
      <c r="KD143" s="1"/>
      <c r="KE143" s="1"/>
      <c r="KF143" s="1"/>
      <c r="KG143" s="1"/>
      <c r="KH143" s="1"/>
      <c r="KI143" s="1"/>
      <c r="KJ143" s="1"/>
      <c r="KK143" s="1"/>
      <c r="KL143" s="1"/>
      <c r="KM143" s="1"/>
      <c r="KN143" s="1"/>
      <c r="KO143" s="1"/>
      <c r="KP143" s="1"/>
      <c r="KQ143" s="1"/>
      <c r="KR143" s="1"/>
      <c r="KS143" s="1"/>
      <c r="KT143" s="1"/>
      <c r="KU143" s="1"/>
      <c r="KV143" s="1"/>
      <c r="KW143" s="1"/>
      <c r="KX143" s="1"/>
      <c r="KY143" s="1"/>
      <c r="KZ143" s="1"/>
      <c r="LA143" s="1"/>
      <c r="LB143" s="1"/>
      <c r="LC143" s="1"/>
      <c r="LD143" s="1"/>
      <c r="LE143" s="1"/>
      <c r="LF143" s="1"/>
      <c r="LG143" s="1"/>
      <c r="LH143" s="1"/>
      <c r="LI143" s="1"/>
      <c r="LJ143" s="1"/>
      <c r="LK143" s="1"/>
      <c r="LL143" s="1"/>
      <c r="LM143" s="1"/>
      <c r="LN143" s="1"/>
      <c r="LO143" s="1"/>
      <c r="LP143" s="1"/>
      <c r="LQ143" s="1"/>
      <c r="LR143" s="1"/>
      <c r="LS143" s="1"/>
    </row>
    <row r="144" spans="1:331" s="49" customFormat="1" x14ac:dyDescent="0.25">
      <c r="A144" s="49" t="s">
        <v>589</v>
      </c>
      <c r="B144" s="49" t="s">
        <v>590</v>
      </c>
      <c r="C144" s="1" t="s">
        <v>1648</v>
      </c>
      <c r="D144" s="49">
        <v>0</v>
      </c>
      <c r="H144" s="49" t="s">
        <v>591</v>
      </c>
      <c r="I144" s="49" t="s">
        <v>592</v>
      </c>
      <c r="J144" s="49" t="s">
        <v>593</v>
      </c>
      <c r="K144" s="49" t="s">
        <v>591</v>
      </c>
      <c r="L144" s="49">
        <v>0</v>
      </c>
      <c r="O144" s="49">
        <v>1</v>
      </c>
      <c r="Q144" s="1"/>
      <c r="R144" s="1" t="s">
        <v>594</v>
      </c>
      <c r="S144" s="49">
        <v>13</v>
      </c>
      <c r="W144" s="1">
        <v>13</v>
      </c>
      <c r="X144" s="1">
        <v>19</v>
      </c>
      <c r="Y144" s="1" t="s">
        <v>2156</v>
      </c>
      <c r="Z144" s="49">
        <v>9</v>
      </c>
      <c r="AA144" s="13" t="b">
        <v>1</v>
      </c>
      <c r="AB144" s="1"/>
      <c r="AC144" s="57" t="s">
        <v>1414</v>
      </c>
      <c r="AD144" s="1"/>
      <c r="AE144" s="57"/>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c r="IY144" s="1"/>
      <c r="IZ144" s="1"/>
      <c r="JA144" s="1"/>
      <c r="JB144" s="1"/>
      <c r="JC144" s="1"/>
      <c r="JD144" s="1"/>
      <c r="JE144" s="1"/>
      <c r="JF144" s="1"/>
      <c r="JG144" s="1"/>
      <c r="JH144" s="1"/>
      <c r="JI144" s="1"/>
      <c r="JJ144" s="1"/>
      <c r="JK144" s="1"/>
      <c r="JL144" s="1"/>
      <c r="JM144" s="1"/>
      <c r="JN144" s="1"/>
      <c r="JO144" s="1"/>
      <c r="JP144" s="1"/>
      <c r="JQ144" s="1"/>
      <c r="JR144" s="1"/>
      <c r="JS144" s="1"/>
      <c r="JT144" s="1"/>
      <c r="JU144" s="1"/>
      <c r="JV144" s="1"/>
      <c r="JW144" s="1"/>
      <c r="JX144" s="1"/>
      <c r="JY144" s="1"/>
      <c r="JZ144" s="1"/>
      <c r="KA144" s="1"/>
      <c r="KB144" s="1"/>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1"/>
      <c r="LK144" s="1"/>
      <c r="LL144" s="1"/>
      <c r="LM144" s="1"/>
      <c r="LN144" s="1"/>
      <c r="LO144" s="1"/>
      <c r="LP144" s="1"/>
      <c r="LQ144" s="1"/>
      <c r="LR144" s="1"/>
      <c r="LS144" s="1"/>
    </row>
    <row r="145" spans="1:331" s="3" customFormat="1" x14ac:dyDescent="0.25">
      <c r="A145" s="3" t="s">
        <v>595</v>
      </c>
      <c r="B145" s="5" t="s">
        <v>596</v>
      </c>
      <c r="C145" s="13" t="s">
        <v>1648</v>
      </c>
      <c r="D145" s="3">
        <v>0</v>
      </c>
      <c r="H145" s="3" t="s">
        <v>597</v>
      </c>
      <c r="I145" s="3" t="s">
        <v>598</v>
      </c>
      <c r="J145" s="3" t="s">
        <v>597</v>
      </c>
      <c r="K145" s="3" t="s">
        <v>1644</v>
      </c>
      <c r="L145" s="3">
        <v>2</v>
      </c>
      <c r="M145" s="3" t="s">
        <v>599</v>
      </c>
      <c r="N145" s="3" t="s">
        <v>599</v>
      </c>
      <c r="O145" s="3">
        <v>1</v>
      </c>
      <c r="P145" s="3" t="s">
        <v>600</v>
      </c>
      <c r="Q145" s="1" t="s">
        <v>1544</v>
      </c>
      <c r="R145" s="1"/>
      <c r="T145" s="3">
        <v>7</v>
      </c>
      <c r="V145" s="3">
        <v>8</v>
      </c>
      <c r="W145" s="1">
        <v>7</v>
      </c>
      <c r="X145" s="1">
        <v>15</v>
      </c>
      <c r="Y145" s="1" t="s">
        <v>2157</v>
      </c>
      <c r="Z145" s="3">
        <v>1</v>
      </c>
      <c r="AA145" s="13" t="b">
        <v>1</v>
      </c>
      <c r="AB145" s="1" t="s">
        <v>1894</v>
      </c>
      <c r="AC145" s="57" t="s">
        <v>1999</v>
      </c>
      <c r="AD145" s="1"/>
      <c r="AE145" s="57"/>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1"/>
      <c r="JF145" s="1"/>
      <c r="JG145" s="1"/>
      <c r="JH145" s="1"/>
      <c r="JI145" s="1"/>
      <c r="JJ145" s="1"/>
      <c r="JK145" s="1"/>
      <c r="JL145" s="1"/>
      <c r="JM145" s="1"/>
      <c r="JN145" s="1"/>
      <c r="JO145" s="1"/>
      <c r="JP145" s="1"/>
      <c r="JQ145" s="1"/>
      <c r="JR145" s="1"/>
      <c r="JS145" s="1"/>
      <c r="JT145" s="1"/>
      <c r="JU145" s="1"/>
      <c r="JV145" s="1"/>
      <c r="JW145" s="1"/>
      <c r="JX145" s="1"/>
      <c r="JY145" s="1"/>
      <c r="JZ145" s="1"/>
      <c r="KA145" s="1"/>
      <c r="KB145" s="1"/>
      <c r="KC145" s="1"/>
      <c r="KD145" s="1"/>
      <c r="KE145" s="1"/>
      <c r="KF145" s="1"/>
      <c r="KG145" s="1"/>
      <c r="KH145" s="1"/>
      <c r="KI145" s="1"/>
      <c r="KJ145" s="1"/>
      <c r="KK145" s="1"/>
      <c r="KL145" s="1"/>
      <c r="KM145" s="1"/>
      <c r="KN145" s="1"/>
      <c r="KO145" s="1"/>
      <c r="KP145" s="1"/>
      <c r="KQ145" s="1"/>
      <c r="KR145" s="1"/>
      <c r="KS145" s="1"/>
      <c r="KT145" s="1"/>
      <c r="KU145" s="1"/>
      <c r="KV145" s="1"/>
      <c r="KW145" s="1"/>
      <c r="KX145" s="1"/>
      <c r="KY145" s="1"/>
      <c r="KZ145" s="1"/>
      <c r="LA145" s="1"/>
      <c r="LB145" s="1"/>
      <c r="LC145" s="1"/>
      <c r="LD145" s="1"/>
      <c r="LE145" s="1"/>
      <c r="LF145" s="1"/>
      <c r="LG145" s="1"/>
      <c r="LH145" s="1"/>
      <c r="LI145" s="1"/>
      <c r="LJ145" s="1"/>
      <c r="LK145" s="1"/>
      <c r="LL145" s="1"/>
      <c r="LM145" s="1"/>
      <c r="LN145" s="1"/>
      <c r="LO145" s="1"/>
      <c r="LP145" s="1"/>
      <c r="LQ145" s="1"/>
      <c r="LR145" s="1"/>
      <c r="LS145" s="1"/>
    </row>
    <row r="146" spans="1:331" s="40" customFormat="1" x14ac:dyDescent="0.25">
      <c r="A146" s="40" t="s">
        <v>601</v>
      </c>
      <c r="B146" s="40" t="s">
        <v>602</v>
      </c>
      <c r="C146" s="1" t="s">
        <v>1648</v>
      </c>
      <c r="D146" s="40">
        <v>0</v>
      </c>
      <c r="H146" s="40" t="s">
        <v>603</v>
      </c>
      <c r="I146" s="40" t="s">
        <v>604</v>
      </c>
      <c r="J146" s="40" t="s">
        <v>605</v>
      </c>
      <c r="K146" s="40" t="s">
        <v>1681</v>
      </c>
      <c r="L146" s="40">
        <v>0</v>
      </c>
      <c r="O146" s="40">
        <v>1</v>
      </c>
      <c r="P146" s="40" t="s">
        <v>606</v>
      </c>
      <c r="Q146" s="1" t="s">
        <v>1545</v>
      </c>
      <c r="R146" s="1"/>
      <c r="S146" s="40">
        <v>18</v>
      </c>
      <c r="W146" s="1">
        <v>18</v>
      </c>
      <c r="X146" s="1">
        <v>14</v>
      </c>
      <c r="Y146" s="1" t="s">
        <v>2158</v>
      </c>
      <c r="Z146" s="40">
        <v>8</v>
      </c>
      <c r="AA146" s="13" t="b">
        <v>1</v>
      </c>
      <c r="AB146" s="1"/>
      <c r="AC146" s="57" t="s">
        <v>1861</v>
      </c>
      <c r="AD146" s="1"/>
      <c r="AE146" s="57"/>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c r="IY146" s="1"/>
      <c r="IZ146" s="1"/>
      <c r="JA146" s="1"/>
      <c r="JB146" s="1"/>
      <c r="JC146" s="1"/>
      <c r="JD146" s="1"/>
      <c r="JE146" s="1"/>
      <c r="JF146" s="1"/>
      <c r="JG146" s="1"/>
      <c r="JH146" s="1"/>
      <c r="JI146" s="1"/>
      <c r="JJ146" s="1"/>
      <c r="JK146" s="1"/>
      <c r="JL146" s="1"/>
      <c r="JM146" s="1"/>
      <c r="JN146" s="1"/>
      <c r="JO146" s="1"/>
      <c r="JP146" s="1"/>
      <c r="JQ146" s="1"/>
      <c r="JR146" s="1"/>
      <c r="JS146" s="1"/>
      <c r="JT146" s="1"/>
      <c r="JU146" s="1"/>
      <c r="JV146" s="1"/>
      <c r="JW146" s="1"/>
      <c r="JX146" s="1"/>
      <c r="JY146" s="1"/>
      <c r="JZ146" s="1"/>
      <c r="KA146" s="1"/>
      <c r="KB146" s="1"/>
      <c r="KC146" s="1"/>
      <c r="KD146" s="1"/>
      <c r="KE146" s="1"/>
      <c r="KF146" s="1"/>
      <c r="KG146" s="1"/>
      <c r="KH146" s="1"/>
      <c r="KI146" s="1"/>
      <c r="KJ146" s="1"/>
      <c r="KK146" s="1"/>
      <c r="KL146" s="1"/>
      <c r="KM146" s="1"/>
      <c r="KN146" s="1"/>
      <c r="KO146" s="1"/>
      <c r="KP146" s="1"/>
      <c r="KQ146" s="1"/>
      <c r="KR146" s="1"/>
      <c r="KS146" s="1"/>
      <c r="KT146" s="1"/>
      <c r="KU146" s="1"/>
      <c r="KV146" s="1"/>
      <c r="KW146" s="1"/>
      <c r="KX146" s="1"/>
      <c r="KY146" s="1"/>
      <c r="KZ146" s="1"/>
      <c r="LA146" s="1"/>
      <c r="LB146" s="1"/>
      <c r="LC146" s="1"/>
      <c r="LD146" s="1"/>
      <c r="LE146" s="1"/>
      <c r="LF146" s="1"/>
      <c r="LG146" s="1"/>
      <c r="LH146" s="1"/>
      <c r="LI146" s="1"/>
      <c r="LJ146" s="1"/>
      <c r="LK146" s="1"/>
      <c r="LL146" s="1"/>
      <c r="LM146" s="1"/>
      <c r="LN146" s="1"/>
      <c r="LO146" s="1"/>
      <c r="LP146" s="1"/>
      <c r="LQ146" s="1"/>
      <c r="LR146" s="1"/>
      <c r="LS146" s="1"/>
    </row>
    <row r="147" spans="1:331" s="40" customFormat="1" x14ac:dyDescent="0.25">
      <c r="A147" s="40" t="s">
        <v>607</v>
      </c>
      <c r="B147" s="40" t="s">
        <v>608</v>
      </c>
      <c r="C147" s="1" t="s">
        <v>1648</v>
      </c>
      <c r="D147" s="40">
        <v>0</v>
      </c>
      <c r="H147" s="40" t="s">
        <v>108</v>
      </c>
      <c r="I147" s="40" t="s">
        <v>111</v>
      </c>
      <c r="J147" s="40" t="s">
        <v>609</v>
      </c>
      <c r="K147" s="40" t="s">
        <v>111</v>
      </c>
      <c r="L147" s="40">
        <v>0</v>
      </c>
      <c r="O147" s="40">
        <v>1</v>
      </c>
      <c r="P147" s="40" t="s">
        <v>610</v>
      </c>
      <c r="Q147" s="13" t="s">
        <v>2002</v>
      </c>
      <c r="R147" s="1"/>
      <c r="T147" s="40">
        <v>16.100000000000001</v>
      </c>
      <c r="W147" s="1">
        <v>16</v>
      </c>
      <c r="X147" s="1">
        <v>18</v>
      </c>
      <c r="Y147" s="1" t="s">
        <v>2159</v>
      </c>
      <c r="Z147" s="40">
        <v>8</v>
      </c>
      <c r="AA147" s="13" t="b">
        <v>1</v>
      </c>
      <c r="AB147" s="17" t="s">
        <v>1890</v>
      </c>
      <c r="AC147" s="57" t="s">
        <v>1937</v>
      </c>
      <c r="AD147" s="1"/>
      <c r="AE147" s="57" t="s">
        <v>2001</v>
      </c>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row>
    <row r="148" spans="1:331" s="25" customFormat="1" x14ac:dyDescent="0.25">
      <c r="A148" s="25" t="s">
        <v>611</v>
      </c>
      <c r="B148" s="29" t="s">
        <v>612</v>
      </c>
      <c r="C148" s="13" t="s">
        <v>1648</v>
      </c>
      <c r="D148" s="25">
        <v>0</v>
      </c>
      <c r="H148" s="25" t="s">
        <v>310</v>
      </c>
      <c r="I148" s="25" t="s">
        <v>613</v>
      </c>
      <c r="J148" s="25" t="s">
        <v>614</v>
      </c>
      <c r="L148" s="25">
        <v>0</v>
      </c>
      <c r="O148" s="25">
        <v>1</v>
      </c>
      <c r="Q148" s="1" t="s">
        <v>1547</v>
      </c>
      <c r="R148" s="1"/>
      <c r="S148" s="25">
        <v>7</v>
      </c>
      <c r="U148" s="25">
        <v>9</v>
      </c>
      <c r="W148" s="1">
        <v>7</v>
      </c>
      <c r="X148" s="1">
        <v>18</v>
      </c>
      <c r="Y148" s="1" t="s">
        <v>2160</v>
      </c>
      <c r="Z148" s="25">
        <v>5</v>
      </c>
      <c r="AA148" s="13" t="b">
        <v>1</v>
      </c>
      <c r="AB148" s="1"/>
      <c r="AC148" s="57" t="s">
        <v>1297</v>
      </c>
      <c r="AD148" s="1"/>
      <c r="AE148" s="57"/>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row>
    <row r="149" spans="1:331" s="25" customFormat="1" x14ac:dyDescent="0.25">
      <c r="A149" s="25" t="s">
        <v>615</v>
      </c>
      <c r="B149" s="29" t="s">
        <v>616</v>
      </c>
      <c r="C149" s="13" t="s">
        <v>1648</v>
      </c>
      <c r="D149" s="25">
        <v>0</v>
      </c>
      <c r="H149" s="25" t="s">
        <v>617</v>
      </c>
      <c r="I149" s="25" t="s">
        <v>618</v>
      </c>
      <c r="J149" s="25" t="s">
        <v>617</v>
      </c>
      <c r="K149" s="25" t="s">
        <v>618</v>
      </c>
      <c r="L149" s="25">
        <v>0</v>
      </c>
      <c r="O149" s="25">
        <v>0</v>
      </c>
      <c r="Q149" s="1" t="s">
        <v>1548</v>
      </c>
      <c r="R149" s="1"/>
      <c r="S149" s="25">
        <v>6</v>
      </c>
      <c r="T149" s="25">
        <v>6</v>
      </c>
      <c r="U149" s="25">
        <v>7</v>
      </c>
      <c r="V149" s="25">
        <v>7</v>
      </c>
      <c r="W149" s="1">
        <v>6</v>
      </c>
      <c r="X149" s="1">
        <v>7</v>
      </c>
      <c r="Y149" s="1" t="s">
        <v>2161</v>
      </c>
      <c r="Z149" s="25">
        <v>5</v>
      </c>
      <c r="AA149" s="13" t="b">
        <v>1</v>
      </c>
      <c r="AB149" s="1"/>
      <c r="AC149" s="57" t="s">
        <v>1341</v>
      </c>
      <c r="AD149" s="1"/>
      <c r="AE149" s="57"/>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row>
    <row r="150" spans="1:331" s="45" customFormat="1" x14ac:dyDescent="0.25">
      <c r="A150" s="45" t="s">
        <v>619</v>
      </c>
      <c r="C150" s="1" t="s">
        <v>1648</v>
      </c>
      <c r="D150" s="45">
        <v>0</v>
      </c>
      <c r="H150" s="45" t="s">
        <v>597</v>
      </c>
      <c r="I150" s="45" t="s">
        <v>598</v>
      </c>
      <c r="J150" s="45" t="s">
        <v>597</v>
      </c>
      <c r="K150" s="45" t="s">
        <v>1644</v>
      </c>
      <c r="L150" s="45">
        <v>0</v>
      </c>
      <c r="O150" s="45">
        <v>1</v>
      </c>
      <c r="P150" s="45" t="s">
        <v>600</v>
      </c>
      <c r="Q150" s="1" t="s">
        <v>1544</v>
      </c>
      <c r="R150" s="1"/>
      <c r="T150" s="45">
        <v>6</v>
      </c>
      <c r="W150" s="1"/>
      <c r="X150" s="1"/>
      <c r="Y150" s="1"/>
      <c r="Z150" s="45">
        <v>-1</v>
      </c>
      <c r="AA150" s="13" t="b">
        <v>0</v>
      </c>
      <c r="AB150" s="1"/>
      <c r="AC150" s="57" t="s">
        <v>2000</v>
      </c>
      <c r="AD150" s="1"/>
      <c r="AE150" s="57"/>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row>
    <row r="151" spans="1:331" s="30" customFormat="1" x14ac:dyDescent="0.25">
      <c r="A151" s="30" t="s">
        <v>620</v>
      </c>
      <c r="B151" s="30" t="s">
        <v>621</v>
      </c>
      <c r="C151" s="1" t="s">
        <v>1648</v>
      </c>
      <c r="D151" s="30">
        <v>1</v>
      </c>
      <c r="E151" s="30" t="s">
        <v>622</v>
      </c>
      <c r="H151" s="30" t="s">
        <v>623</v>
      </c>
      <c r="I151" s="30" t="s">
        <v>624</v>
      </c>
      <c r="J151" s="30" t="s">
        <v>625</v>
      </c>
      <c r="K151" s="30" t="s">
        <v>1682</v>
      </c>
      <c r="L151" s="30">
        <v>0</v>
      </c>
      <c r="O151" s="30">
        <v>0</v>
      </c>
      <c r="Q151" s="1" t="s">
        <v>1549</v>
      </c>
      <c r="R151" s="1"/>
      <c r="W151" s="1">
        <v>0</v>
      </c>
      <c r="X151" s="1">
        <v>18</v>
      </c>
      <c r="Y151" s="1" t="s">
        <v>2162</v>
      </c>
      <c r="Z151" s="30">
        <v>6</v>
      </c>
      <c r="AA151" s="13" t="b">
        <v>1</v>
      </c>
      <c r="AB151" s="1" t="s">
        <v>1890</v>
      </c>
      <c r="AC151" s="57" t="s">
        <v>1925</v>
      </c>
      <c r="AD151" s="1"/>
      <c r="AE151" s="57"/>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row>
    <row r="152" spans="1:331" s="40" customFormat="1" x14ac:dyDescent="0.25">
      <c r="A152" s="40" t="s">
        <v>626</v>
      </c>
      <c r="B152" s="44" t="s">
        <v>627</v>
      </c>
      <c r="C152" s="13" t="s">
        <v>1648</v>
      </c>
      <c r="D152" s="40">
        <v>0</v>
      </c>
      <c r="H152" s="40" t="s">
        <v>628</v>
      </c>
      <c r="I152" s="40" t="s">
        <v>629</v>
      </c>
      <c r="J152" s="40" t="s">
        <v>630</v>
      </c>
      <c r="K152" s="40" t="s">
        <v>629</v>
      </c>
      <c r="L152" s="40">
        <v>0</v>
      </c>
      <c r="O152" s="40">
        <v>1</v>
      </c>
      <c r="P152" s="40" t="s">
        <v>599</v>
      </c>
      <c r="Q152" s="1" t="s">
        <v>853</v>
      </c>
      <c r="R152" s="1"/>
      <c r="S152" s="40">
        <v>11.8</v>
      </c>
      <c r="U152" s="40">
        <v>8</v>
      </c>
      <c r="W152" s="1">
        <v>12</v>
      </c>
      <c r="X152" s="1">
        <v>12</v>
      </c>
      <c r="Y152" s="1" t="s">
        <v>2163</v>
      </c>
      <c r="Z152" s="40">
        <v>8</v>
      </c>
      <c r="AA152" s="13" t="b">
        <v>1</v>
      </c>
      <c r="AB152" s="1"/>
      <c r="AC152" s="57" t="s">
        <v>1912</v>
      </c>
      <c r="AD152" s="1"/>
      <c r="AE152" s="57"/>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row>
    <row r="153" spans="1:331" s="3" customFormat="1" x14ac:dyDescent="0.25">
      <c r="A153" s="3" t="s">
        <v>631</v>
      </c>
      <c r="B153" s="5" t="s">
        <v>632</v>
      </c>
      <c r="C153" s="13" t="s">
        <v>1648</v>
      </c>
      <c r="D153" s="3">
        <v>0</v>
      </c>
      <c r="H153" s="3" t="s">
        <v>633</v>
      </c>
      <c r="I153" s="3" t="s">
        <v>634</v>
      </c>
      <c r="J153" s="3" t="s">
        <v>635</v>
      </c>
      <c r="K153" s="3" t="s">
        <v>1683</v>
      </c>
      <c r="L153" s="3">
        <v>1</v>
      </c>
      <c r="M153" s="3" t="s">
        <v>636</v>
      </c>
      <c r="O153" s="3">
        <v>0</v>
      </c>
      <c r="Q153" s="1" t="s">
        <v>1550</v>
      </c>
      <c r="R153" s="1"/>
      <c r="S153" s="3">
        <v>7</v>
      </c>
      <c r="U153" s="3">
        <v>8</v>
      </c>
      <c r="W153" s="1">
        <v>7</v>
      </c>
      <c r="X153" s="1">
        <v>8</v>
      </c>
      <c r="Y153" s="1" t="s">
        <v>2164</v>
      </c>
      <c r="Z153" s="3">
        <v>1</v>
      </c>
      <c r="AA153" s="13" t="b">
        <v>1</v>
      </c>
      <c r="AB153" s="1"/>
      <c r="AC153" s="57" t="s">
        <v>1913</v>
      </c>
      <c r="AD153" s="1"/>
      <c r="AE153" s="57"/>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row>
    <row r="154" spans="1:331" s="25" customFormat="1" x14ac:dyDescent="0.25">
      <c r="A154" s="25" t="s">
        <v>637</v>
      </c>
      <c r="B154" s="29" t="s">
        <v>638</v>
      </c>
      <c r="C154" s="13" t="s">
        <v>1648</v>
      </c>
      <c r="D154" s="25">
        <v>0</v>
      </c>
      <c r="H154" s="25" t="s">
        <v>639</v>
      </c>
      <c r="I154" s="25" t="s">
        <v>640</v>
      </c>
      <c r="J154" s="25" t="s">
        <v>639</v>
      </c>
      <c r="K154" s="25" t="s">
        <v>1684</v>
      </c>
      <c r="L154" s="25">
        <v>0</v>
      </c>
      <c r="O154" s="25">
        <v>0</v>
      </c>
      <c r="Q154" s="1" t="s">
        <v>1551</v>
      </c>
      <c r="R154" s="1"/>
      <c r="T154" s="25">
        <v>3</v>
      </c>
      <c r="V154" s="25">
        <v>3</v>
      </c>
      <c r="W154" s="1">
        <v>3</v>
      </c>
      <c r="X154" s="1">
        <v>14</v>
      </c>
      <c r="Y154" s="1" t="s">
        <v>2165</v>
      </c>
      <c r="Z154" s="25">
        <v>5</v>
      </c>
      <c r="AA154" s="13" t="b">
        <v>1</v>
      </c>
      <c r="AB154" s="1"/>
      <c r="AC154" s="57" t="s">
        <v>1342</v>
      </c>
      <c r="AD154" s="1"/>
      <c r="AE154" s="57"/>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row>
    <row r="155" spans="1:331" s="35" customFormat="1" x14ac:dyDescent="0.25">
      <c r="A155" s="35" t="s">
        <v>641</v>
      </c>
      <c r="B155" s="39" t="s">
        <v>642</v>
      </c>
      <c r="C155" s="13" t="s">
        <v>1648</v>
      </c>
      <c r="D155" s="35">
        <v>1</v>
      </c>
      <c r="E155" s="35" t="s">
        <v>643</v>
      </c>
      <c r="H155" s="35" t="s">
        <v>644</v>
      </c>
      <c r="I155" s="35" t="s">
        <v>428</v>
      </c>
      <c r="J155" s="35" t="s">
        <v>645</v>
      </c>
      <c r="K155" s="35" t="s">
        <v>428</v>
      </c>
      <c r="L155" s="35">
        <v>0</v>
      </c>
      <c r="O155" s="35">
        <v>1</v>
      </c>
      <c r="Q155" s="1"/>
      <c r="R155" s="1" t="s">
        <v>646</v>
      </c>
      <c r="T155" s="35">
        <v>12</v>
      </c>
      <c r="V155" s="35">
        <v>12</v>
      </c>
      <c r="W155" s="1">
        <v>12</v>
      </c>
      <c r="X155" s="1">
        <v>11</v>
      </c>
      <c r="Y155" s="1" t="s">
        <v>2166</v>
      </c>
      <c r="Z155" s="35">
        <v>7</v>
      </c>
      <c r="AA155" s="13" t="b">
        <v>1</v>
      </c>
      <c r="AB155" s="1"/>
      <c r="AC155" s="57" t="s">
        <v>1292</v>
      </c>
      <c r="AD155" s="1"/>
      <c r="AE155" s="57"/>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row>
    <row r="156" spans="1:331" s="72" customFormat="1" x14ac:dyDescent="0.25">
      <c r="A156" s="72" t="s">
        <v>647</v>
      </c>
      <c r="B156" s="75" t="s">
        <v>648</v>
      </c>
      <c r="C156" s="13" t="s">
        <v>1648</v>
      </c>
      <c r="D156" s="72">
        <v>0</v>
      </c>
      <c r="H156" s="72" t="s">
        <v>649</v>
      </c>
      <c r="I156" s="72" t="s">
        <v>650</v>
      </c>
      <c r="J156" s="72" t="s">
        <v>433</v>
      </c>
      <c r="K156" s="72" t="s">
        <v>650</v>
      </c>
      <c r="L156" s="72">
        <v>0</v>
      </c>
      <c r="O156" s="72">
        <v>1</v>
      </c>
      <c r="P156" s="72" t="s">
        <v>651</v>
      </c>
      <c r="Q156" s="1"/>
      <c r="R156" s="1" t="s">
        <v>652</v>
      </c>
      <c r="S156" s="72">
        <v>14</v>
      </c>
      <c r="U156" s="72">
        <v>12</v>
      </c>
      <c r="W156" s="1">
        <v>14</v>
      </c>
      <c r="X156" s="1">
        <v>13</v>
      </c>
      <c r="Y156" s="1" t="s">
        <v>2167</v>
      </c>
      <c r="Z156" s="72">
        <v>14</v>
      </c>
      <c r="AA156" s="13" t="b">
        <v>1</v>
      </c>
      <c r="AB156" s="1"/>
      <c r="AC156" s="57" t="s">
        <v>1385</v>
      </c>
      <c r="AD156" s="1"/>
      <c r="AE156" s="57"/>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row>
    <row r="157" spans="1:331" s="25" customFormat="1" x14ac:dyDescent="0.25">
      <c r="A157" s="25" t="s">
        <v>653</v>
      </c>
      <c r="B157" s="29" t="s">
        <v>654</v>
      </c>
      <c r="C157" s="13" t="s">
        <v>1648</v>
      </c>
      <c r="D157" s="25">
        <v>0</v>
      </c>
      <c r="H157" s="25" t="s">
        <v>440</v>
      </c>
      <c r="I157" s="25" t="s">
        <v>433</v>
      </c>
      <c r="J157" s="25" t="s">
        <v>440</v>
      </c>
      <c r="K157" s="25" t="s">
        <v>433</v>
      </c>
      <c r="L157" s="25">
        <v>0</v>
      </c>
      <c r="O157" s="25">
        <v>0</v>
      </c>
      <c r="Q157" s="1" t="s">
        <v>1520</v>
      </c>
      <c r="R157" s="1"/>
      <c r="S157" s="25">
        <v>8</v>
      </c>
      <c r="U157" s="25">
        <v>8</v>
      </c>
      <c r="W157" s="1">
        <v>8</v>
      </c>
      <c r="X157" s="1">
        <v>8</v>
      </c>
      <c r="Y157" s="1" t="s">
        <v>2168</v>
      </c>
      <c r="Z157" s="25">
        <v>5</v>
      </c>
      <c r="AA157" s="13" t="b">
        <v>1</v>
      </c>
      <c r="AB157" s="1"/>
      <c r="AC157" s="57" t="s">
        <v>1357</v>
      </c>
      <c r="AD157" s="1"/>
      <c r="AE157" s="57"/>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c r="KK157" s="1"/>
      <c r="KL157" s="1"/>
      <c r="KM157" s="1"/>
      <c r="KN157" s="1"/>
      <c r="KO157" s="1"/>
      <c r="KP157" s="1"/>
      <c r="KQ157" s="1"/>
      <c r="KR157" s="1"/>
      <c r="KS157" s="1"/>
      <c r="KT157" s="1"/>
      <c r="KU157" s="1"/>
      <c r="KV157" s="1"/>
      <c r="KW157" s="1"/>
      <c r="KX157" s="1"/>
      <c r="KY157" s="1"/>
      <c r="KZ157" s="1"/>
      <c r="LA157" s="1"/>
      <c r="LB157" s="1"/>
      <c r="LC157" s="1"/>
      <c r="LD157" s="1"/>
      <c r="LE157" s="1"/>
      <c r="LF157" s="1"/>
      <c r="LG157" s="1"/>
      <c r="LH157" s="1"/>
      <c r="LI157" s="1"/>
      <c r="LJ157" s="1"/>
      <c r="LK157" s="1"/>
      <c r="LL157" s="1"/>
      <c r="LM157" s="1"/>
      <c r="LN157" s="1"/>
      <c r="LO157" s="1"/>
      <c r="LP157" s="1"/>
      <c r="LQ157" s="1"/>
      <c r="LR157" s="1"/>
      <c r="LS157" s="1"/>
    </row>
    <row r="158" spans="1:331" s="25" customFormat="1" x14ac:dyDescent="0.25">
      <c r="A158" s="25" t="s">
        <v>655</v>
      </c>
      <c r="B158" s="29" t="s">
        <v>656</v>
      </c>
      <c r="C158" s="13" t="s">
        <v>1648</v>
      </c>
      <c r="D158" s="25">
        <v>0</v>
      </c>
      <c r="H158" s="25" t="s">
        <v>649</v>
      </c>
      <c r="I158" s="25" t="s">
        <v>644</v>
      </c>
      <c r="J158" s="25" t="s">
        <v>433</v>
      </c>
      <c r="K158" s="25" t="s">
        <v>1685</v>
      </c>
      <c r="L158" s="25">
        <v>0</v>
      </c>
      <c r="O158" s="25">
        <v>0</v>
      </c>
      <c r="Q158" s="1" t="s">
        <v>1552</v>
      </c>
      <c r="R158" s="1"/>
      <c r="S158" s="25">
        <v>7</v>
      </c>
      <c r="U158" s="25">
        <v>6</v>
      </c>
      <c r="W158" s="1">
        <v>7</v>
      </c>
      <c r="X158" s="1">
        <v>10</v>
      </c>
      <c r="Y158" s="1" t="s">
        <v>2169</v>
      </c>
      <c r="Z158" s="25">
        <v>5</v>
      </c>
      <c r="AA158" s="13" t="b">
        <v>1</v>
      </c>
      <c r="AB158" s="1"/>
      <c r="AC158" s="57" t="s">
        <v>1359</v>
      </c>
      <c r="AD158" s="1"/>
      <c r="AE158" s="57"/>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row>
    <row r="159" spans="1:331" s="59" customFormat="1" x14ac:dyDescent="0.25">
      <c r="A159" s="59" t="s">
        <v>657</v>
      </c>
      <c r="B159" s="61" t="s">
        <v>658</v>
      </c>
      <c r="C159" s="13" t="s">
        <v>1648</v>
      </c>
      <c r="D159" s="59">
        <v>0</v>
      </c>
      <c r="H159" s="59" t="s">
        <v>659</v>
      </c>
      <c r="I159" s="59" t="s">
        <v>660</v>
      </c>
      <c r="J159" s="59" t="s">
        <v>659</v>
      </c>
      <c r="K159" s="59" t="s">
        <v>1686</v>
      </c>
      <c r="L159" s="59">
        <v>1</v>
      </c>
      <c r="M159" s="59" t="s">
        <v>661</v>
      </c>
      <c r="O159" s="59">
        <v>1</v>
      </c>
      <c r="Q159" s="1"/>
      <c r="R159" s="1" t="s">
        <v>662</v>
      </c>
      <c r="T159" s="59">
        <v>22</v>
      </c>
      <c r="V159" s="59">
        <v>20</v>
      </c>
      <c r="W159" s="1">
        <v>22</v>
      </c>
      <c r="X159" s="1">
        <v>25</v>
      </c>
      <c r="Y159" s="1" t="s">
        <v>2170</v>
      </c>
      <c r="Z159" s="59">
        <v>11</v>
      </c>
      <c r="AA159" s="13" t="b">
        <v>1</v>
      </c>
      <c r="AB159" s="1"/>
      <c r="AC159" s="57" t="s">
        <v>1369</v>
      </c>
      <c r="AD159" s="1"/>
      <c r="AE159" s="57"/>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row>
    <row r="160" spans="1:331" s="25" customFormat="1" x14ac:dyDescent="0.25">
      <c r="A160" s="25" t="s">
        <v>663</v>
      </c>
      <c r="B160" s="29" t="s">
        <v>664</v>
      </c>
      <c r="C160" s="13" t="s">
        <v>1648</v>
      </c>
      <c r="D160" s="25">
        <v>0</v>
      </c>
      <c r="H160" s="25" t="s">
        <v>665</v>
      </c>
      <c r="I160" s="25" t="s">
        <v>227</v>
      </c>
      <c r="J160" s="25" t="s">
        <v>665</v>
      </c>
      <c r="K160" s="25" t="s">
        <v>227</v>
      </c>
      <c r="L160" s="25">
        <v>0</v>
      </c>
      <c r="O160" s="25">
        <v>1</v>
      </c>
      <c r="Q160" s="1" t="s">
        <v>226</v>
      </c>
      <c r="R160" s="1"/>
      <c r="T160" s="25">
        <v>11</v>
      </c>
      <c r="V160" s="25">
        <v>11</v>
      </c>
      <c r="W160" s="1">
        <v>11</v>
      </c>
      <c r="X160" s="1">
        <v>13</v>
      </c>
      <c r="Y160" s="1" t="s">
        <v>2171</v>
      </c>
      <c r="Z160" s="25">
        <v>5</v>
      </c>
      <c r="AA160" s="13" t="b">
        <v>1</v>
      </c>
      <c r="AB160" s="1"/>
      <c r="AC160" s="57" t="s">
        <v>1355</v>
      </c>
      <c r="AD160" s="1"/>
      <c r="AE160" s="57"/>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row>
    <row r="161" spans="1:331" s="35" customFormat="1" x14ac:dyDescent="0.25">
      <c r="A161" s="35" t="s">
        <v>666</v>
      </c>
      <c r="B161" s="39" t="s">
        <v>667</v>
      </c>
      <c r="C161" s="13" t="s">
        <v>1648</v>
      </c>
      <c r="D161" s="35">
        <v>1</v>
      </c>
      <c r="E161" s="35" t="s">
        <v>446</v>
      </c>
      <c r="H161" s="35" t="s">
        <v>668</v>
      </c>
      <c r="I161" s="35" t="s">
        <v>446</v>
      </c>
      <c r="J161" s="35" t="s">
        <v>669</v>
      </c>
      <c r="K161" s="35" t="s">
        <v>1687</v>
      </c>
      <c r="L161" s="35">
        <v>0</v>
      </c>
      <c r="O161" s="35">
        <v>1</v>
      </c>
      <c r="Q161" s="1"/>
      <c r="R161" s="1" t="s">
        <v>670</v>
      </c>
      <c r="S161" s="35">
        <v>9</v>
      </c>
      <c r="U161" s="35">
        <v>8</v>
      </c>
      <c r="W161" s="1">
        <v>9</v>
      </c>
      <c r="X161" s="1">
        <v>24</v>
      </c>
      <c r="Y161" s="1" t="s">
        <v>2172</v>
      </c>
      <c r="Z161" s="35">
        <v>7</v>
      </c>
      <c r="AA161" s="13" t="b">
        <v>1</v>
      </c>
      <c r="AB161" s="1"/>
      <c r="AC161" s="57" t="s">
        <v>1417</v>
      </c>
      <c r="AD161" s="1"/>
      <c r="AE161" s="57"/>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row>
    <row r="162" spans="1:331" s="45" customFormat="1" x14ac:dyDescent="0.25">
      <c r="A162" s="45" t="s">
        <v>671</v>
      </c>
      <c r="C162" s="1" t="s">
        <v>1648</v>
      </c>
      <c r="D162" s="45">
        <v>0</v>
      </c>
      <c r="H162" s="45" t="s">
        <v>560</v>
      </c>
      <c r="I162" s="45" t="s">
        <v>561</v>
      </c>
      <c r="J162" s="45" t="s">
        <v>560</v>
      </c>
      <c r="K162" s="45" t="s">
        <v>561</v>
      </c>
      <c r="L162" s="45">
        <v>0</v>
      </c>
      <c r="O162" s="45">
        <v>1</v>
      </c>
      <c r="Q162" s="1" t="s">
        <v>651</v>
      </c>
      <c r="R162" s="1"/>
      <c r="T162" s="45">
        <v>19</v>
      </c>
      <c r="W162" s="1"/>
      <c r="X162" s="1"/>
      <c r="Y162" s="1"/>
      <c r="Z162" s="45">
        <v>-1</v>
      </c>
      <c r="AA162" s="13" t="b">
        <v>0</v>
      </c>
      <c r="AB162" s="1"/>
      <c r="AC162" s="57" t="s">
        <v>1233</v>
      </c>
      <c r="AD162" s="1"/>
      <c r="AE162" s="57"/>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row>
    <row r="163" spans="1:331" s="25" customFormat="1" x14ac:dyDescent="0.25">
      <c r="A163" s="25" t="s">
        <v>672</v>
      </c>
      <c r="B163" s="29" t="s">
        <v>673</v>
      </c>
      <c r="C163" s="13" t="s">
        <v>1648</v>
      </c>
      <c r="D163" s="25">
        <v>0</v>
      </c>
      <c r="H163" s="25" t="s">
        <v>674</v>
      </c>
      <c r="I163" s="25" t="s">
        <v>675</v>
      </c>
      <c r="J163" s="25" t="s">
        <v>676</v>
      </c>
      <c r="K163" s="25" t="s">
        <v>1688</v>
      </c>
      <c r="L163" s="25">
        <v>0</v>
      </c>
      <c r="O163" s="25">
        <v>1</v>
      </c>
      <c r="Q163" s="1" t="s">
        <v>681</v>
      </c>
      <c r="R163" s="1"/>
      <c r="S163" s="25">
        <v>5</v>
      </c>
      <c r="W163" s="1">
        <v>5</v>
      </c>
      <c r="X163" s="1">
        <v>12</v>
      </c>
      <c r="Y163" s="1" t="s">
        <v>2173</v>
      </c>
      <c r="Z163" s="25">
        <v>5</v>
      </c>
      <c r="AA163" s="13" t="b">
        <v>1</v>
      </c>
      <c r="AB163" s="1"/>
      <c r="AC163" s="57" t="s">
        <v>1798</v>
      </c>
      <c r="AD163" s="1"/>
      <c r="AE163" s="57"/>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row>
    <row r="164" spans="1:331" s="40" customFormat="1" x14ac:dyDescent="0.25">
      <c r="A164" s="40" t="s">
        <v>677</v>
      </c>
      <c r="B164" s="44" t="s">
        <v>678</v>
      </c>
      <c r="C164" s="13" t="s">
        <v>1648</v>
      </c>
      <c r="D164" s="40">
        <v>0</v>
      </c>
      <c r="H164" s="40" t="s">
        <v>679</v>
      </c>
      <c r="I164" s="40" t="s">
        <v>680</v>
      </c>
      <c r="J164" s="40" t="s">
        <v>458</v>
      </c>
      <c r="K164" s="40" t="s">
        <v>1689</v>
      </c>
      <c r="L164" s="40">
        <v>0</v>
      </c>
      <c r="O164" s="40">
        <v>1</v>
      </c>
      <c r="P164" s="40" t="s">
        <v>681</v>
      </c>
      <c r="Q164" s="1" t="s">
        <v>1553</v>
      </c>
      <c r="R164" s="1"/>
      <c r="T164" s="40">
        <v>16</v>
      </c>
      <c r="V164" s="40">
        <v>17</v>
      </c>
      <c r="W164" s="1">
        <v>16</v>
      </c>
      <c r="X164" s="1">
        <v>18</v>
      </c>
      <c r="Y164" s="1" t="s">
        <v>2174</v>
      </c>
      <c r="Z164" s="40">
        <v>8</v>
      </c>
      <c r="AA164" s="13" t="b">
        <v>1</v>
      </c>
      <c r="AB164" s="1"/>
      <c r="AC164" s="57" t="s">
        <v>1420</v>
      </c>
      <c r="AD164" s="1"/>
      <c r="AE164" s="57"/>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row>
    <row r="165" spans="1:331" s="25" customFormat="1" x14ac:dyDescent="0.25">
      <c r="A165" s="25" t="s">
        <v>682</v>
      </c>
      <c r="B165" s="29" t="s">
        <v>683</v>
      </c>
      <c r="C165" s="13" t="s">
        <v>1648</v>
      </c>
      <c r="D165" s="25">
        <v>0</v>
      </c>
      <c r="H165" s="25" t="s">
        <v>684</v>
      </c>
      <c r="I165" s="25" t="s">
        <v>685</v>
      </c>
      <c r="J165" s="25" t="s">
        <v>684</v>
      </c>
      <c r="K165" s="25" t="s">
        <v>685</v>
      </c>
      <c r="L165" s="25">
        <v>0</v>
      </c>
      <c r="O165" s="25">
        <v>0</v>
      </c>
      <c r="Q165" s="1" t="s">
        <v>1554</v>
      </c>
      <c r="R165" s="1"/>
      <c r="T165" s="25">
        <v>6</v>
      </c>
      <c r="V165" s="25">
        <v>6</v>
      </c>
      <c r="W165" s="1">
        <v>6</v>
      </c>
      <c r="X165" s="1">
        <v>11</v>
      </c>
      <c r="Y165" s="1" t="s">
        <v>2175</v>
      </c>
      <c r="Z165" s="25">
        <v>5</v>
      </c>
      <c r="AA165" s="13" t="b">
        <v>1</v>
      </c>
      <c r="AB165" s="1" t="s">
        <v>1893</v>
      </c>
      <c r="AC165" s="57" t="s">
        <v>1356</v>
      </c>
      <c r="AD165" s="1"/>
      <c r="AE165" s="57"/>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row>
    <row r="166" spans="1:331" s="40" customFormat="1" x14ac:dyDescent="0.25">
      <c r="A166" s="40" t="s">
        <v>686</v>
      </c>
      <c r="B166" s="44" t="s">
        <v>687</v>
      </c>
      <c r="C166" s="13" t="s">
        <v>1648</v>
      </c>
      <c r="D166" s="40">
        <v>0</v>
      </c>
      <c r="H166" s="40" t="s">
        <v>688</v>
      </c>
      <c r="I166" s="40" t="s">
        <v>689</v>
      </c>
      <c r="J166" s="40" t="s">
        <v>690</v>
      </c>
      <c r="K166" s="40" t="s">
        <v>689</v>
      </c>
      <c r="L166" s="40">
        <v>0</v>
      </c>
      <c r="O166" s="40">
        <v>1</v>
      </c>
      <c r="P166" s="40" t="s">
        <v>140</v>
      </c>
      <c r="Q166" s="1" t="s">
        <v>1555</v>
      </c>
      <c r="R166" s="1"/>
      <c r="T166" s="40">
        <v>12</v>
      </c>
      <c r="W166" s="1">
        <v>12</v>
      </c>
      <c r="X166" s="1">
        <v>15</v>
      </c>
      <c r="Y166" s="1" t="s">
        <v>2176</v>
      </c>
      <c r="Z166" s="40">
        <v>8</v>
      </c>
      <c r="AA166" s="13" t="b">
        <v>1</v>
      </c>
      <c r="AB166" s="1"/>
      <c r="AC166" s="57" t="s">
        <v>1797</v>
      </c>
      <c r="AD166" s="1"/>
      <c r="AE166" s="57"/>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row>
    <row r="167" spans="1:331" s="25" customFormat="1" x14ac:dyDescent="0.25">
      <c r="A167" s="25" t="s">
        <v>691</v>
      </c>
      <c r="B167" s="29">
        <v>2607532</v>
      </c>
      <c r="C167" s="13" t="s">
        <v>1648</v>
      </c>
      <c r="D167" s="25">
        <v>0</v>
      </c>
      <c r="H167" s="25" t="s">
        <v>692</v>
      </c>
      <c r="I167" s="25" t="s">
        <v>693</v>
      </c>
      <c r="J167" s="25" t="s">
        <v>692</v>
      </c>
      <c r="K167" s="25" t="s">
        <v>1690</v>
      </c>
      <c r="L167" s="25">
        <v>0</v>
      </c>
      <c r="O167" s="25">
        <v>1</v>
      </c>
      <c r="Q167" s="1" t="s">
        <v>1555</v>
      </c>
      <c r="R167" s="1"/>
      <c r="T167" s="25">
        <v>20</v>
      </c>
      <c r="V167" s="25">
        <v>20</v>
      </c>
      <c r="W167" s="1">
        <v>20</v>
      </c>
      <c r="X167" s="1">
        <v>18</v>
      </c>
      <c r="Y167" s="1" t="s">
        <v>2177</v>
      </c>
      <c r="Z167" s="25">
        <v>5</v>
      </c>
      <c r="AA167" s="13" t="b">
        <v>1</v>
      </c>
      <c r="AB167" s="1"/>
      <c r="AC167" s="57" t="s">
        <v>1914</v>
      </c>
      <c r="AD167" s="1"/>
      <c r="AE167" s="57"/>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row>
    <row r="168" spans="1:331" s="45" customFormat="1" x14ac:dyDescent="0.25">
      <c r="A168" s="45" t="s">
        <v>694</v>
      </c>
      <c r="B168" s="45" t="s">
        <v>1360</v>
      </c>
      <c r="C168" s="1" t="s">
        <v>1648</v>
      </c>
      <c r="D168" s="45">
        <v>0</v>
      </c>
      <c r="H168" s="45" t="s">
        <v>692</v>
      </c>
      <c r="I168" s="45" t="s">
        <v>454</v>
      </c>
      <c r="J168" s="45" t="s">
        <v>692</v>
      </c>
      <c r="K168" s="45" t="s">
        <v>1554</v>
      </c>
      <c r="L168" s="45">
        <v>0</v>
      </c>
      <c r="O168" s="45">
        <v>0</v>
      </c>
      <c r="Q168" s="1" t="s">
        <v>1556</v>
      </c>
      <c r="R168" s="1"/>
      <c r="S168" s="45">
        <v>5</v>
      </c>
      <c r="W168" s="1"/>
      <c r="X168" s="1"/>
      <c r="Y168" s="1"/>
      <c r="Z168" s="45">
        <v>-1</v>
      </c>
      <c r="AA168" s="13" t="b">
        <v>0</v>
      </c>
      <c r="AB168" s="1"/>
      <c r="AC168" s="57" t="s">
        <v>1361</v>
      </c>
      <c r="AD168" s="1"/>
      <c r="AE168" s="57"/>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1"/>
      <c r="JF168" s="1"/>
      <c r="JG168" s="1"/>
      <c r="JH168" s="1"/>
      <c r="JI168" s="1"/>
      <c r="JJ168" s="1"/>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c r="KN168" s="1"/>
      <c r="KO168" s="1"/>
      <c r="KP168" s="1"/>
      <c r="KQ168" s="1"/>
      <c r="KR168" s="1"/>
      <c r="KS168" s="1"/>
      <c r="KT168" s="1"/>
      <c r="KU168" s="1"/>
      <c r="KV168" s="1"/>
      <c r="KW168" s="1"/>
      <c r="KX168" s="1"/>
      <c r="KY168" s="1"/>
      <c r="KZ168" s="1"/>
      <c r="LA168" s="1"/>
      <c r="LB168" s="1"/>
      <c r="LC168" s="1"/>
      <c r="LD168" s="1"/>
      <c r="LE168" s="1"/>
      <c r="LF168" s="1"/>
      <c r="LG168" s="1"/>
      <c r="LH168" s="1"/>
      <c r="LI168" s="1"/>
      <c r="LJ168" s="1"/>
      <c r="LK168" s="1"/>
      <c r="LL168" s="1"/>
      <c r="LM168" s="1"/>
      <c r="LN168" s="1"/>
      <c r="LO168" s="1"/>
      <c r="LP168" s="1"/>
      <c r="LQ168" s="1"/>
      <c r="LR168" s="1"/>
      <c r="LS168" s="1"/>
    </row>
    <row r="169" spans="1:331" s="25" customFormat="1" x14ac:dyDescent="0.25">
      <c r="A169" s="25" t="s">
        <v>695</v>
      </c>
      <c r="B169" s="29" t="s">
        <v>673</v>
      </c>
      <c r="C169" s="13" t="s">
        <v>1648</v>
      </c>
      <c r="D169" s="25">
        <v>0</v>
      </c>
      <c r="H169" s="25" t="s">
        <v>696</v>
      </c>
      <c r="I169" s="25" t="s">
        <v>697</v>
      </c>
      <c r="J169" s="25" t="s">
        <v>696</v>
      </c>
      <c r="K169" s="25" t="s">
        <v>697</v>
      </c>
      <c r="L169" s="25">
        <v>0</v>
      </c>
      <c r="O169" s="25">
        <v>1</v>
      </c>
      <c r="Q169" s="1" t="s">
        <v>1326</v>
      </c>
      <c r="R169" s="1"/>
      <c r="S169" s="25">
        <v>8</v>
      </c>
      <c r="U169" s="25">
        <v>5</v>
      </c>
      <c r="W169" s="1">
        <v>8</v>
      </c>
      <c r="X169" s="1">
        <v>12</v>
      </c>
      <c r="Y169" s="1" t="s">
        <v>2173</v>
      </c>
      <c r="Z169" s="25">
        <v>-1</v>
      </c>
      <c r="AA169" s="13" t="b">
        <v>1</v>
      </c>
      <c r="AB169" s="1"/>
      <c r="AC169" s="57" t="s">
        <v>1362</v>
      </c>
      <c r="AD169" s="1"/>
      <c r="AE169" s="57"/>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row>
    <row r="170" spans="1:331" s="40" customFormat="1" x14ac:dyDescent="0.25">
      <c r="A170" s="40" t="s">
        <v>698</v>
      </c>
      <c r="B170" s="44">
        <v>2854623</v>
      </c>
      <c r="C170" s="13" t="s">
        <v>1648</v>
      </c>
      <c r="D170" s="40">
        <v>0</v>
      </c>
      <c r="H170" s="40" t="s">
        <v>699</v>
      </c>
      <c r="I170" s="40" t="s">
        <v>700</v>
      </c>
      <c r="J170" s="40" t="s">
        <v>699</v>
      </c>
      <c r="K170" s="40" t="s">
        <v>700</v>
      </c>
      <c r="L170" s="40">
        <v>0</v>
      </c>
      <c r="O170" s="40">
        <v>1</v>
      </c>
      <c r="P170" s="40" t="s">
        <v>701</v>
      </c>
      <c r="Q170" s="1" t="s">
        <v>1557</v>
      </c>
      <c r="R170" s="1"/>
      <c r="S170" s="40">
        <v>16</v>
      </c>
      <c r="U170" s="40">
        <v>14</v>
      </c>
      <c r="W170" s="1">
        <v>16</v>
      </c>
      <c r="X170" s="1">
        <v>14</v>
      </c>
      <c r="Y170" s="1" t="s">
        <v>2178</v>
      </c>
      <c r="Z170" s="40">
        <v>8</v>
      </c>
      <c r="AA170" s="13" t="b">
        <v>1</v>
      </c>
      <c r="AB170" s="1"/>
      <c r="AC170" s="57" t="s">
        <v>1421</v>
      </c>
      <c r="AD170" s="1"/>
      <c r="AE170" s="57"/>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row>
    <row r="171" spans="1:331" s="25" customFormat="1" x14ac:dyDescent="0.25">
      <c r="A171" s="25" t="s">
        <v>702</v>
      </c>
      <c r="B171" s="29" t="s">
        <v>1363</v>
      </c>
      <c r="C171" s="13" t="s">
        <v>1648</v>
      </c>
      <c r="D171" s="25">
        <v>0</v>
      </c>
      <c r="H171" s="25" t="s">
        <v>703</v>
      </c>
      <c r="I171" s="25" t="s">
        <v>704</v>
      </c>
      <c r="J171" s="25" t="s">
        <v>703</v>
      </c>
      <c r="K171" s="25" t="s">
        <v>697</v>
      </c>
      <c r="L171" s="25">
        <v>0</v>
      </c>
      <c r="O171" s="25">
        <v>0</v>
      </c>
      <c r="Q171" s="1" t="s">
        <v>1558</v>
      </c>
      <c r="R171" s="1"/>
      <c r="T171" s="25">
        <v>10</v>
      </c>
      <c r="V171" s="25">
        <v>9</v>
      </c>
      <c r="W171" s="1">
        <v>10</v>
      </c>
      <c r="X171" s="1">
        <v>12</v>
      </c>
      <c r="Y171" s="1" t="s">
        <v>2179</v>
      </c>
      <c r="Z171" s="25">
        <v>5</v>
      </c>
      <c r="AA171" s="13" t="b">
        <v>1</v>
      </c>
      <c r="AB171" s="1"/>
      <c r="AC171" s="57" t="s">
        <v>1364</v>
      </c>
      <c r="AD171" s="1"/>
      <c r="AE171" s="57"/>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row>
    <row r="172" spans="1:331" s="25" customFormat="1" x14ac:dyDescent="0.25">
      <c r="A172" s="25" t="s">
        <v>705</v>
      </c>
      <c r="B172" s="29">
        <v>2062611</v>
      </c>
      <c r="C172" s="13" t="s">
        <v>1648</v>
      </c>
      <c r="D172" s="25">
        <v>0</v>
      </c>
      <c r="H172" s="25" t="s">
        <v>697</v>
      </c>
      <c r="I172" s="25" t="s">
        <v>697</v>
      </c>
      <c r="J172" s="25" t="s">
        <v>697</v>
      </c>
      <c r="K172" s="25" t="s">
        <v>697</v>
      </c>
      <c r="L172" s="25">
        <v>0</v>
      </c>
      <c r="O172" s="25">
        <v>0</v>
      </c>
      <c r="Q172" s="1" t="s">
        <v>1559</v>
      </c>
      <c r="R172" s="1"/>
      <c r="S172" s="25">
        <v>3</v>
      </c>
      <c r="W172" s="1">
        <v>3</v>
      </c>
      <c r="X172" s="1">
        <v>12</v>
      </c>
      <c r="Y172" s="1" t="s">
        <v>2180</v>
      </c>
      <c r="Z172" s="25">
        <v>5</v>
      </c>
      <c r="AA172" s="13" t="b">
        <v>1</v>
      </c>
      <c r="AB172" s="17" t="s">
        <v>1890</v>
      </c>
      <c r="AC172" s="57" t="s">
        <v>1927</v>
      </c>
      <c r="AD172" s="1"/>
      <c r="AE172" s="57"/>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row>
    <row r="173" spans="1:331" s="25" customFormat="1" x14ac:dyDescent="0.25">
      <c r="A173" s="25" t="s">
        <v>706</v>
      </c>
      <c r="B173" s="29">
        <v>2765503</v>
      </c>
      <c r="C173" s="13" t="s">
        <v>1648</v>
      </c>
      <c r="D173" s="25">
        <v>0</v>
      </c>
      <c r="H173" s="25" t="s">
        <v>697</v>
      </c>
      <c r="I173" s="25" t="s">
        <v>707</v>
      </c>
      <c r="J173" s="25" t="s">
        <v>697</v>
      </c>
      <c r="K173" s="25" t="s">
        <v>1691</v>
      </c>
      <c r="L173" s="25">
        <v>0</v>
      </c>
      <c r="O173" s="25">
        <v>0</v>
      </c>
      <c r="Q173" s="1" t="s">
        <v>699</v>
      </c>
      <c r="R173" s="1"/>
      <c r="S173" s="25">
        <v>9</v>
      </c>
      <c r="W173" s="1">
        <v>9</v>
      </c>
      <c r="X173" s="1">
        <v>15</v>
      </c>
      <c r="Y173" s="1" t="s">
        <v>2176</v>
      </c>
      <c r="Z173" s="25">
        <v>5</v>
      </c>
      <c r="AA173" s="13" t="b">
        <v>1</v>
      </c>
      <c r="AB173" s="1"/>
      <c r="AC173" s="57" t="s">
        <v>1231</v>
      </c>
      <c r="AD173" s="1"/>
      <c r="AE173" s="57"/>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row>
    <row r="174" spans="1:331" s="30" customFormat="1" x14ac:dyDescent="0.25">
      <c r="A174" s="30" t="s">
        <v>708</v>
      </c>
      <c r="B174" s="34">
        <v>2223317</v>
      </c>
      <c r="C174" s="13" t="s">
        <v>1648</v>
      </c>
      <c r="D174" s="30">
        <v>1</v>
      </c>
      <c r="E174" s="30" t="s">
        <v>704</v>
      </c>
      <c r="H174" s="30" t="s">
        <v>707</v>
      </c>
      <c r="I174" s="30" t="s">
        <v>709</v>
      </c>
      <c r="J174" s="30" t="s">
        <v>707</v>
      </c>
      <c r="K174" s="30" t="s">
        <v>711</v>
      </c>
      <c r="L174" s="30">
        <v>0</v>
      </c>
      <c r="O174" s="30">
        <v>0</v>
      </c>
      <c r="Q174" s="1" t="s">
        <v>1560</v>
      </c>
      <c r="R174" s="1"/>
      <c r="T174" s="30">
        <v>8</v>
      </c>
      <c r="V174" s="30">
        <v>8</v>
      </c>
      <c r="W174" s="1">
        <v>8</v>
      </c>
      <c r="X174" s="1">
        <v>14</v>
      </c>
      <c r="Y174" s="1" t="s">
        <v>2181</v>
      </c>
      <c r="Z174" s="30">
        <v>6</v>
      </c>
      <c r="AA174" s="13" t="b">
        <v>1</v>
      </c>
      <c r="AB174" s="1"/>
      <c r="AC174" s="57" t="s">
        <v>1294</v>
      </c>
      <c r="AD174" s="1"/>
      <c r="AE174" s="57"/>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row>
    <row r="175" spans="1:331" s="25" customFormat="1" x14ac:dyDescent="0.25">
      <c r="A175" s="25" t="s">
        <v>710</v>
      </c>
      <c r="B175" s="29">
        <v>2313159</v>
      </c>
      <c r="C175" s="13" t="s">
        <v>1648</v>
      </c>
      <c r="D175" s="25">
        <v>0</v>
      </c>
      <c r="H175" s="25" t="s">
        <v>711</v>
      </c>
      <c r="I175" s="25" t="s">
        <v>712</v>
      </c>
      <c r="J175" s="25" t="s">
        <v>711</v>
      </c>
      <c r="K175" s="25" t="s">
        <v>712</v>
      </c>
      <c r="L175" s="25">
        <v>0</v>
      </c>
      <c r="O175" s="25">
        <v>0</v>
      </c>
      <c r="Q175" s="1" t="s">
        <v>726</v>
      </c>
      <c r="R175" s="1"/>
      <c r="S175" s="25">
        <v>3</v>
      </c>
      <c r="U175" s="25">
        <v>4</v>
      </c>
      <c r="W175" s="1">
        <v>3</v>
      </c>
      <c r="X175" s="1">
        <v>16</v>
      </c>
      <c r="Y175" s="1" t="s">
        <v>2182</v>
      </c>
      <c r="Z175" s="25">
        <v>5</v>
      </c>
      <c r="AA175" s="13" t="b">
        <v>1</v>
      </c>
      <c r="AB175" s="1"/>
      <c r="AC175" s="57" t="s">
        <v>1297</v>
      </c>
      <c r="AD175" s="1"/>
      <c r="AE175" s="57"/>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row>
    <row r="176" spans="1:331" s="2" customFormat="1" x14ac:dyDescent="0.25">
      <c r="A176" s="2" t="s">
        <v>713</v>
      </c>
      <c r="B176" s="6">
        <v>2079248</v>
      </c>
      <c r="C176" s="13" t="s">
        <v>1648</v>
      </c>
      <c r="D176" s="2">
        <v>0</v>
      </c>
      <c r="H176" s="2" t="s">
        <v>712</v>
      </c>
      <c r="I176" s="2" t="s">
        <v>714</v>
      </c>
      <c r="J176" s="2" t="s">
        <v>712</v>
      </c>
      <c r="K176" s="2" t="s">
        <v>712</v>
      </c>
      <c r="L176" s="2">
        <v>1</v>
      </c>
      <c r="M176" s="2" t="s">
        <v>712</v>
      </c>
      <c r="O176" s="2">
        <v>1</v>
      </c>
      <c r="Q176" s="1" t="s">
        <v>1561</v>
      </c>
      <c r="R176" s="1"/>
      <c r="T176" s="2">
        <v>12</v>
      </c>
      <c r="V176" s="2">
        <v>14</v>
      </c>
      <c r="W176" s="1">
        <v>12</v>
      </c>
      <c r="X176" s="1">
        <v>14</v>
      </c>
      <c r="Y176" s="1" t="s">
        <v>2183</v>
      </c>
      <c r="Z176" s="2">
        <v>2</v>
      </c>
      <c r="AA176" s="13" t="b">
        <v>1</v>
      </c>
      <c r="AB176" s="1"/>
      <c r="AC176" s="57" t="s">
        <v>1382</v>
      </c>
      <c r="AD176" s="1"/>
      <c r="AE176" s="57"/>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row>
    <row r="177" spans="1:331" s="40" customFormat="1" x14ac:dyDescent="0.25">
      <c r="A177" s="40" t="s">
        <v>715</v>
      </c>
      <c r="B177" s="44">
        <v>2065522</v>
      </c>
      <c r="C177" s="13" t="s">
        <v>1648</v>
      </c>
      <c r="D177" s="40">
        <v>0</v>
      </c>
      <c r="H177" s="40" t="s">
        <v>716</v>
      </c>
      <c r="I177" s="40" t="s">
        <v>717</v>
      </c>
      <c r="J177" s="40" t="s">
        <v>716</v>
      </c>
      <c r="K177" s="40" t="s">
        <v>717</v>
      </c>
      <c r="L177" s="40">
        <v>0</v>
      </c>
      <c r="O177" s="40">
        <v>1</v>
      </c>
      <c r="P177" s="40" t="s">
        <v>718</v>
      </c>
      <c r="Q177" s="1" t="s">
        <v>1562</v>
      </c>
      <c r="R177" s="1"/>
      <c r="S177" s="40">
        <v>13</v>
      </c>
      <c r="W177" s="1">
        <v>13</v>
      </c>
      <c r="X177" s="1">
        <v>17</v>
      </c>
      <c r="Y177" s="1" t="s">
        <v>2184</v>
      </c>
      <c r="Z177" s="40">
        <v>8</v>
      </c>
      <c r="AA177" s="13" t="b">
        <v>1</v>
      </c>
      <c r="AB177" s="1"/>
      <c r="AC177" s="57" t="s">
        <v>1422</v>
      </c>
      <c r="AD177" s="1"/>
      <c r="AE177" s="57"/>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row>
    <row r="178" spans="1:331" s="30" customFormat="1" x14ac:dyDescent="0.25">
      <c r="A178" s="30" t="s">
        <v>719</v>
      </c>
      <c r="B178" s="34">
        <v>2431691</v>
      </c>
      <c r="C178" s="13" t="s">
        <v>1648</v>
      </c>
      <c r="D178" s="30">
        <v>1</v>
      </c>
      <c r="E178" s="30" t="s">
        <v>720</v>
      </c>
      <c r="H178" s="30" t="s">
        <v>721</v>
      </c>
      <c r="I178" s="30" t="s">
        <v>722</v>
      </c>
      <c r="J178" s="30" t="s">
        <v>721</v>
      </c>
      <c r="K178" s="30" t="s">
        <v>722</v>
      </c>
      <c r="L178" s="30">
        <v>0</v>
      </c>
      <c r="O178" s="30">
        <v>0</v>
      </c>
      <c r="Q178" s="1" t="s">
        <v>1323</v>
      </c>
      <c r="R178" s="1"/>
      <c r="S178" s="30">
        <v>8</v>
      </c>
      <c r="W178" s="1">
        <v>8</v>
      </c>
      <c r="X178" s="1">
        <v>14</v>
      </c>
      <c r="Y178" s="1" t="s">
        <v>2185</v>
      </c>
      <c r="Z178" s="30">
        <v>6</v>
      </c>
      <c r="AA178" s="13" t="b">
        <v>1</v>
      </c>
      <c r="AB178" s="1"/>
      <c r="AC178" s="57" t="s">
        <v>1386</v>
      </c>
      <c r="AD178" s="1"/>
      <c r="AE178" s="57"/>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row>
    <row r="179" spans="1:331" s="30" customFormat="1" x14ac:dyDescent="0.25">
      <c r="A179" s="30" t="s">
        <v>723</v>
      </c>
      <c r="B179" s="34">
        <v>2232469</v>
      </c>
      <c r="C179" s="13" t="s">
        <v>1648</v>
      </c>
      <c r="D179" s="30">
        <v>1</v>
      </c>
      <c r="E179" s="30" t="s">
        <v>699</v>
      </c>
      <c r="H179" s="30" t="s">
        <v>724</v>
      </c>
      <c r="I179" s="30" t="s">
        <v>699</v>
      </c>
      <c r="J179" s="30" t="s">
        <v>724</v>
      </c>
      <c r="K179" s="30" t="s">
        <v>1561</v>
      </c>
      <c r="L179" s="30">
        <v>0</v>
      </c>
      <c r="O179" s="30">
        <v>0</v>
      </c>
      <c r="Q179" s="1" t="s">
        <v>1563</v>
      </c>
      <c r="R179" s="1"/>
      <c r="S179" s="30">
        <v>5.2</v>
      </c>
      <c r="U179" s="30">
        <v>7</v>
      </c>
      <c r="W179" s="1">
        <v>5</v>
      </c>
      <c r="X179" s="1">
        <v>11</v>
      </c>
      <c r="Y179" s="1" t="s">
        <v>2186</v>
      </c>
      <c r="Z179" s="30">
        <v>6</v>
      </c>
      <c r="AA179" s="13" t="b">
        <v>1</v>
      </c>
      <c r="AB179" s="1"/>
      <c r="AC179" s="57" t="s">
        <v>1915</v>
      </c>
      <c r="AD179" s="1"/>
      <c r="AE179" s="57"/>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row>
    <row r="180" spans="1:331" s="45" customFormat="1" x14ac:dyDescent="0.25">
      <c r="A180" s="45" t="s">
        <v>725</v>
      </c>
      <c r="B180" s="45">
        <v>2330532</v>
      </c>
      <c r="C180" s="1" t="s">
        <v>1648</v>
      </c>
      <c r="D180" s="45">
        <v>0</v>
      </c>
      <c r="H180" s="45" t="s">
        <v>726</v>
      </c>
      <c r="I180" s="45" t="s">
        <v>727</v>
      </c>
      <c r="J180" s="45" t="s">
        <v>726</v>
      </c>
      <c r="K180" s="45" t="s">
        <v>1692</v>
      </c>
      <c r="L180" s="45">
        <v>0</v>
      </c>
      <c r="O180" s="45">
        <v>1</v>
      </c>
      <c r="Q180" s="1" t="s">
        <v>1564</v>
      </c>
      <c r="R180" s="1"/>
      <c r="S180" s="45">
        <v>27</v>
      </c>
      <c r="W180" s="1">
        <v>27</v>
      </c>
      <c r="X180" s="1"/>
      <c r="Y180" s="1"/>
      <c r="Z180" s="45">
        <v>-1</v>
      </c>
      <c r="AA180" s="13" t="b">
        <v>0</v>
      </c>
      <c r="AB180" s="1"/>
      <c r="AC180" s="57" t="s">
        <v>1238</v>
      </c>
      <c r="AD180" s="1"/>
      <c r="AE180" s="57"/>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row>
    <row r="181" spans="1:331" s="30" customFormat="1" x14ac:dyDescent="0.25">
      <c r="A181" s="30" t="s">
        <v>1962</v>
      </c>
      <c r="B181" s="30">
        <v>2403137</v>
      </c>
      <c r="C181" s="1" t="s">
        <v>1648</v>
      </c>
      <c r="D181" s="30">
        <v>1</v>
      </c>
      <c r="E181" s="30" t="s">
        <v>1509</v>
      </c>
      <c r="H181" s="30" t="s">
        <v>1508</v>
      </c>
      <c r="I181" s="30" t="s">
        <v>1963</v>
      </c>
      <c r="J181" s="30" t="s">
        <v>1757</v>
      </c>
      <c r="K181" s="30" t="s">
        <v>1963</v>
      </c>
      <c r="L181" s="30">
        <v>0</v>
      </c>
      <c r="O181" s="30">
        <v>0</v>
      </c>
      <c r="Q181" s="1" t="s">
        <v>1775</v>
      </c>
      <c r="R181" s="1"/>
      <c r="S181" s="30">
        <v>8</v>
      </c>
      <c r="W181" s="1">
        <v>8</v>
      </c>
      <c r="X181" s="1">
        <v>9</v>
      </c>
      <c r="Y181" s="1" t="s">
        <v>2187</v>
      </c>
      <c r="Z181" s="30">
        <v>6</v>
      </c>
      <c r="AA181" s="1" t="b">
        <v>1</v>
      </c>
      <c r="AB181" s="1"/>
      <c r="AC181" s="1" t="s">
        <v>2003</v>
      </c>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row>
    <row r="182" spans="1:331" s="40" customFormat="1" x14ac:dyDescent="0.25">
      <c r="A182" s="40" t="s">
        <v>1964</v>
      </c>
      <c r="B182" s="40">
        <v>2644334</v>
      </c>
      <c r="C182" s="1" t="s">
        <v>1648</v>
      </c>
      <c r="D182" s="40">
        <v>0</v>
      </c>
      <c r="H182" s="40" t="s">
        <v>1760</v>
      </c>
      <c r="I182" s="40" t="s">
        <v>1757</v>
      </c>
      <c r="J182" s="40" t="s">
        <v>1760</v>
      </c>
      <c r="K182" s="40" t="s">
        <v>1757</v>
      </c>
      <c r="L182" s="40">
        <v>0</v>
      </c>
      <c r="O182" s="40">
        <v>1</v>
      </c>
      <c r="P182" s="40" t="s">
        <v>1774</v>
      </c>
      <c r="Q182" s="1" t="s">
        <v>1965</v>
      </c>
      <c r="R182" s="1"/>
      <c r="S182" s="40">
        <v>10</v>
      </c>
      <c r="W182" s="1">
        <v>10</v>
      </c>
      <c r="X182" s="1">
        <v>11</v>
      </c>
      <c r="Y182" s="1" t="s">
        <v>2188</v>
      </c>
      <c r="Z182" s="40">
        <v>8</v>
      </c>
      <c r="AA182" s="1" t="b">
        <v>1</v>
      </c>
      <c r="AB182" s="1"/>
      <c r="AC182" s="1" t="s">
        <v>2004</v>
      </c>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row>
    <row r="183" spans="1:331" s="49" customFormat="1" x14ac:dyDescent="0.25">
      <c r="A183" s="49" t="s">
        <v>1966</v>
      </c>
      <c r="B183" s="49">
        <v>2001777</v>
      </c>
      <c r="C183" s="1" t="s">
        <v>1648</v>
      </c>
      <c r="D183" s="49">
        <v>0</v>
      </c>
      <c r="H183" s="49" t="s">
        <v>1803</v>
      </c>
      <c r="I183" s="49" t="s">
        <v>1768</v>
      </c>
      <c r="J183" s="49" t="s">
        <v>1803</v>
      </c>
      <c r="K183" s="49" t="s">
        <v>1768</v>
      </c>
      <c r="L183" s="49">
        <v>0</v>
      </c>
      <c r="O183" s="49">
        <v>1</v>
      </c>
      <c r="Q183" s="1"/>
      <c r="R183" s="1" t="s">
        <v>1967</v>
      </c>
      <c r="T183" s="49">
        <v>10</v>
      </c>
      <c r="W183" s="1">
        <v>10</v>
      </c>
      <c r="X183" s="1">
        <v>9</v>
      </c>
      <c r="Y183" s="1" t="s">
        <v>2189</v>
      </c>
      <c r="Z183" s="49">
        <v>9</v>
      </c>
      <c r="AA183" s="1" t="b">
        <v>1</v>
      </c>
      <c r="AB183" s="1"/>
      <c r="AC183" s="1" t="s">
        <v>2005</v>
      </c>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row>
    <row r="184" spans="1:331" s="3" customFormat="1" x14ac:dyDescent="0.25">
      <c r="A184" s="3" t="s">
        <v>1968</v>
      </c>
      <c r="B184" s="3">
        <v>2269616</v>
      </c>
      <c r="C184" s="1" t="s">
        <v>1648</v>
      </c>
      <c r="D184" s="3">
        <v>0</v>
      </c>
      <c r="H184" s="3" t="s">
        <v>1969</v>
      </c>
      <c r="I184" s="3" t="s">
        <v>1967</v>
      </c>
      <c r="J184" s="3" t="s">
        <v>1970</v>
      </c>
      <c r="K184" s="3" t="s">
        <v>1967</v>
      </c>
      <c r="L184" s="3">
        <v>1</v>
      </c>
      <c r="M184" s="3" t="s">
        <v>1735</v>
      </c>
      <c r="O184" s="3">
        <v>0</v>
      </c>
      <c r="Q184" s="1" t="s">
        <v>1828</v>
      </c>
      <c r="R184" s="1"/>
      <c r="T184" s="3">
        <v>10</v>
      </c>
      <c r="V184" s="3">
        <v>11</v>
      </c>
      <c r="W184" s="1">
        <v>10</v>
      </c>
      <c r="X184" s="1">
        <v>15</v>
      </c>
      <c r="Y184" s="1" t="s">
        <v>2190</v>
      </c>
      <c r="Z184" s="3">
        <v>1</v>
      </c>
      <c r="AA184" s="1" t="b">
        <v>1</v>
      </c>
      <c r="AB184" s="1"/>
      <c r="AC184" s="1" t="s">
        <v>2006</v>
      </c>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row>
    <row r="185" spans="1:331" s="25" customFormat="1" x14ac:dyDescent="0.25">
      <c r="A185" s="25" t="s">
        <v>1971</v>
      </c>
      <c r="B185" s="25">
        <v>2122392</v>
      </c>
      <c r="C185" s="1" t="s">
        <v>1648</v>
      </c>
      <c r="D185" s="25">
        <v>0</v>
      </c>
      <c r="H185" s="25" t="s">
        <v>1782</v>
      </c>
      <c r="I185" s="25" t="s">
        <v>1969</v>
      </c>
      <c r="J185" s="25" t="s">
        <v>2007</v>
      </c>
      <c r="K185" s="25" t="s">
        <v>1969</v>
      </c>
      <c r="L185" s="25">
        <v>0</v>
      </c>
      <c r="O185" s="25">
        <v>0</v>
      </c>
      <c r="Q185" s="1" t="s">
        <v>1822</v>
      </c>
      <c r="R185" s="1"/>
      <c r="T185" s="25">
        <v>10</v>
      </c>
      <c r="W185" s="1">
        <v>10</v>
      </c>
      <c r="X185" s="1">
        <v>14</v>
      </c>
      <c r="Y185" s="1" t="s">
        <v>2191</v>
      </c>
      <c r="Z185" s="25">
        <v>5</v>
      </c>
      <c r="AA185" s="1" t="b">
        <v>1</v>
      </c>
      <c r="AB185" s="1" t="s">
        <v>1894</v>
      </c>
      <c r="AC185" s="1" t="s">
        <v>2008</v>
      </c>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row>
    <row r="186" spans="1:331" s="25" customFormat="1" x14ac:dyDescent="0.25">
      <c r="A186" s="25" t="s">
        <v>1972</v>
      </c>
      <c r="B186" s="25">
        <v>2358928</v>
      </c>
      <c r="C186" s="1" t="s">
        <v>1648</v>
      </c>
      <c r="D186" s="25">
        <v>0</v>
      </c>
      <c r="H186" s="25" t="s">
        <v>1468</v>
      </c>
      <c r="I186" s="25" t="s">
        <v>1468</v>
      </c>
      <c r="J186" s="25" t="s">
        <v>1761</v>
      </c>
      <c r="K186" s="25" t="s">
        <v>1468</v>
      </c>
      <c r="L186" s="25">
        <v>0</v>
      </c>
      <c r="O186" s="25">
        <v>0</v>
      </c>
      <c r="Q186" s="1" t="s">
        <v>1973</v>
      </c>
      <c r="R186" s="1"/>
      <c r="S186" s="25">
        <v>7</v>
      </c>
      <c r="W186" s="1">
        <v>7</v>
      </c>
      <c r="X186" s="1">
        <v>8</v>
      </c>
      <c r="Y186" s="1" t="s">
        <v>2192</v>
      </c>
      <c r="Z186" s="25">
        <v>5</v>
      </c>
      <c r="AA186" s="1" t="b">
        <v>1</v>
      </c>
      <c r="AB186" s="1"/>
      <c r="AC186" s="1" t="s">
        <v>2009</v>
      </c>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row>
    <row r="187" spans="1:331" s="40" customFormat="1" x14ac:dyDescent="0.25">
      <c r="A187" s="40" t="s">
        <v>1974</v>
      </c>
      <c r="B187" s="40">
        <v>2617461</v>
      </c>
      <c r="C187" s="1" t="s">
        <v>1648</v>
      </c>
      <c r="D187" s="40">
        <v>0</v>
      </c>
      <c r="H187" s="40" t="s">
        <v>1674</v>
      </c>
      <c r="I187" s="40" t="s">
        <v>1975</v>
      </c>
      <c r="J187" s="40" t="s">
        <v>1674</v>
      </c>
      <c r="K187" s="40" t="s">
        <v>1975</v>
      </c>
      <c r="L187" s="40">
        <v>0</v>
      </c>
      <c r="O187" s="40">
        <v>1</v>
      </c>
      <c r="P187" s="40" t="s">
        <v>1823</v>
      </c>
      <c r="Q187" s="1" t="s">
        <v>1976</v>
      </c>
      <c r="R187" s="1"/>
      <c r="T187" s="40">
        <v>15</v>
      </c>
      <c r="W187" s="1">
        <v>15</v>
      </c>
      <c r="X187" s="1">
        <v>19</v>
      </c>
      <c r="Y187" s="1" t="s">
        <v>2193</v>
      </c>
      <c r="Z187" s="40">
        <v>8</v>
      </c>
      <c r="AA187" s="1" t="b">
        <v>1</v>
      </c>
      <c r="AB187" s="1"/>
      <c r="AC187" s="1" t="s">
        <v>2010</v>
      </c>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331" x14ac:dyDescent="0.25">
      <c r="A188" s="35" t="s">
        <v>1977</v>
      </c>
      <c r="B188" s="35">
        <v>2596955</v>
      </c>
      <c r="C188" s="1" t="s">
        <v>1648</v>
      </c>
      <c r="D188" s="35">
        <v>0</v>
      </c>
      <c r="E188" s="35"/>
      <c r="F188" s="35"/>
      <c r="G188" s="35"/>
      <c r="H188" s="35" t="s">
        <v>1958</v>
      </c>
      <c r="I188" s="35" t="s">
        <v>1812</v>
      </c>
      <c r="J188" s="35" t="s">
        <v>1819</v>
      </c>
      <c r="K188" s="35" t="s">
        <v>1812</v>
      </c>
      <c r="L188" s="35">
        <v>0</v>
      </c>
      <c r="M188" s="35"/>
      <c r="N188" s="35"/>
      <c r="O188" s="35">
        <v>1</v>
      </c>
      <c r="P188" s="35"/>
      <c r="R188" s="1" t="s">
        <v>1931</v>
      </c>
      <c r="S188" s="35"/>
      <c r="T188" s="35"/>
      <c r="U188" s="35">
        <v>6</v>
      </c>
      <c r="V188" s="35"/>
      <c r="W188" s="1">
        <v>6</v>
      </c>
      <c r="X188" s="1">
        <v>22</v>
      </c>
      <c r="Y188" s="1" t="s">
        <v>2194</v>
      </c>
      <c r="Z188" s="35">
        <v>9</v>
      </c>
      <c r="AA188" s="13" t="b">
        <v>1</v>
      </c>
      <c r="AB188" s="17" t="s">
        <v>1991</v>
      </c>
      <c r="AC188" s="1" t="s">
        <v>2011</v>
      </c>
      <c r="AD188" s="1"/>
    </row>
    <row r="189" spans="1:331" x14ac:dyDescent="0.25">
      <c r="A189" s="25" t="s">
        <v>1978</v>
      </c>
      <c r="B189" s="25">
        <v>2119459</v>
      </c>
      <c r="C189" s="1" t="s">
        <v>1648</v>
      </c>
      <c r="D189" s="25">
        <v>0</v>
      </c>
      <c r="E189" s="25"/>
      <c r="F189" s="25"/>
      <c r="G189" s="25"/>
      <c r="H189" s="25" t="s">
        <v>1979</v>
      </c>
      <c r="I189" s="25" t="s">
        <v>1736</v>
      </c>
      <c r="J189" s="25" t="s">
        <v>1856</v>
      </c>
      <c r="K189" s="25" t="s">
        <v>1736</v>
      </c>
      <c r="L189" s="25">
        <v>0</v>
      </c>
      <c r="M189" s="25"/>
      <c r="N189" s="25"/>
      <c r="O189" s="25">
        <v>1</v>
      </c>
      <c r="P189" s="25"/>
      <c r="Q189" s="1" t="s">
        <v>1980</v>
      </c>
      <c r="S189" s="25"/>
      <c r="T189" s="25">
        <v>6</v>
      </c>
      <c r="U189" s="25"/>
      <c r="V189" s="25"/>
      <c r="W189" s="1">
        <v>6</v>
      </c>
      <c r="X189" s="1">
        <v>13</v>
      </c>
      <c r="Y189" s="1" t="s">
        <v>2195</v>
      </c>
      <c r="Z189" s="25">
        <v>5</v>
      </c>
      <c r="AA189" s="13" t="b">
        <v>1</v>
      </c>
      <c r="AC189" s="1" t="s">
        <v>2012</v>
      </c>
      <c r="AD189" s="1"/>
    </row>
    <row r="190" spans="1:331" s="3" customFormat="1" x14ac:dyDescent="0.25">
      <c r="A190" s="3" t="s">
        <v>1981</v>
      </c>
      <c r="B190" s="3">
        <v>2183532</v>
      </c>
      <c r="C190" s="1" t="s">
        <v>1648</v>
      </c>
      <c r="D190" s="3">
        <v>0</v>
      </c>
      <c r="H190" s="3" t="s">
        <v>1979</v>
      </c>
      <c r="I190" s="3" t="s">
        <v>1982</v>
      </c>
      <c r="J190" s="3" t="s">
        <v>1979</v>
      </c>
      <c r="K190" s="3" t="s">
        <v>1982</v>
      </c>
      <c r="L190" s="3">
        <v>1</v>
      </c>
      <c r="M190" s="3" t="s">
        <v>1983</v>
      </c>
      <c r="O190" s="3">
        <v>0</v>
      </c>
      <c r="Q190" s="1" t="s">
        <v>1984</v>
      </c>
      <c r="R190" s="1"/>
      <c r="S190" s="3">
        <v>6</v>
      </c>
      <c r="T190" s="3">
        <v>13</v>
      </c>
      <c r="V190" s="3">
        <v>15</v>
      </c>
      <c r="W190" s="1">
        <v>13</v>
      </c>
      <c r="X190" s="1">
        <v>13</v>
      </c>
      <c r="Y190" s="1" t="s">
        <v>2196</v>
      </c>
      <c r="Z190" s="3">
        <v>1</v>
      </c>
      <c r="AA190" s="1" t="b">
        <v>1</v>
      </c>
      <c r="AB190" s="1"/>
      <c r="AC190" s="1" t="s">
        <v>2013</v>
      </c>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331" x14ac:dyDescent="0.25">
      <c r="A191" s="25" t="s">
        <v>1985</v>
      </c>
      <c r="B191" s="25">
        <v>2322665</v>
      </c>
      <c r="C191" s="1" t="s">
        <v>1648</v>
      </c>
      <c r="D191" s="25">
        <v>0</v>
      </c>
      <c r="E191" s="25"/>
      <c r="F191" s="25"/>
      <c r="G191" s="25"/>
      <c r="H191" s="25" t="s">
        <v>1813</v>
      </c>
      <c r="I191" s="25" t="s">
        <v>1828</v>
      </c>
      <c r="J191" s="25" t="s">
        <v>1813</v>
      </c>
      <c r="K191" s="25" t="s">
        <v>1828</v>
      </c>
      <c r="L191" s="25">
        <v>0</v>
      </c>
      <c r="M191" s="25"/>
      <c r="N191" s="25"/>
      <c r="O191" s="25">
        <v>0</v>
      </c>
      <c r="P191" s="25"/>
      <c r="Q191" s="1" t="s">
        <v>1984</v>
      </c>
      <c r="S191" s="25"/>
      <c r="T191" s="25">
        <v>2</v>
      </c>
      <c r="U191" s="25"/>
      <c r="V191" s="25"/>
      <c r="W191" s="1">
        <v>2</v>
      </c>
      <c r="X191" s="1">
        <v>16</v>
      </c>
      <c r="Y191" s="1" t="s">
        <v>2197</v>
      </c>
      <c r="Z191" s="25">
        <v>5</v>
      </c>
      <c r="AA191" s="13" t="b">
        <v>1</v>
      </c>
      <c r="AC191" s="1" t="s">
        <v>2014</v>
      </c>
      <c r="AD191" s="1"/>
    </row>
    <row r="192" spans="1:331" x14ac:dyDescent="0.25">
      <c r="A192" s="25" t="s">
        <v>1986</v>
      </c>
      <c r="B192" s="25">
        <v>2239374</v>
      </c>
      <c r="C192" s="1" t="s">
        <v>1648</v>
      </c>
      <c r="D192" s="25">
        <v>0</v>
      </c>
      <c r="E192" s="25"/>
      <c r="F192" s="25"/>
      <c r="G192" s="25"/>
      <c r="H192" s="25" t="s">
        <v>1856</v>
      </c>
      <c r="I192" s="25" t="s">
        <v>1932</v>
      </c>
      <c r="J192" s="25" t="s">
        <v>1987</v>
      </c>
      <c r="K192" s="25" t="s">
        <v>1932</v>
      </c>
      <c r="L192" s="25">
        <v>0</v>
      </c>
      <c r="M192" s="25"/>
      <c r="N192" s="25"/>
      <c r="O192" s="25">
        <v>0</v>
      </c>
      <c r="P192" s="25"/>
      <c r="Q192" s="1" t="s">
        <v>1834</v>
      </c>
      <c r="S192" s="25">
        <v>7</v>
      </c>
      <c r="T192" s="25"/>
      <c r="U192" s="25"/>
      <c r="V192" s="25"/>
      <c r="W192" s="1">
        <v>7</v>
      </c>
      <c r="X192" s="1">
        <v>6</v>
      </c>
      <c r="Y192" s="1" t="s">
        <v>2198</v>
      </c>
      <c r="Z192" s="25">
        <v>5</v>
      </c>
      <c r="AA192" s="13" t="b">
        <v>1</v>
      </c>
      <c r="AC192" s="1" t="s">
        <v>2015</v>
      </c>
      <c r="AD192" s="1"/>
    </row>
    <row r="193" spans="1:331" x14ac:dyDescent="0.25">
      <c r="A193" s="25" t="s">
        <v>1988</v>
      </c>
      <c r="B193" s="25">
        <v>2139928</v>
      </c>
      <c r="C193" s="1" t="s">
        <v>1648</v>
      </c>
      <c r="D193" s="25">
        <v>0</v>
      </c>
      <c r="E193" s="25"/>
      <c r="F193" s="25"/>
      <c r="G193" s="25"/>
      <c r="H193" s="25" t="s">
        <v>1740</v>
      </c>
      <c r="I193" s="25" t="s">
        <v>1989</v>
      </c>
      <c r="J193" s="25" t="s">
        <v>1740</v>
      </c>
      <c r="K193" s="25" t="s">
        <v>1989</v>
      </c>
      <c r="L193" s="25">
        <v>0</v>
      </c>
      <c r="M193" s="25"/>
      <c r="N193" s="25"/>
      <c r="O193" s="25">
        <v>0</v>
      </c>
      <c r="P193" s="25"/>
      <c r="Q193" s="1" t="s">
        <v>1990</v>
      </c>
      <c r="S193" s="25"/>
      <c r="T193" s="25">
        <v>7</v>
      </c>
      <c r="U193" s="25"/>
      <c r="V193" s="25"/>
      <c r="W193" s="1">
        <v>7</v>
      </c>
      <c r="X193" s="1">
        <v>11</v>
      </c>
      <c r="Y193" s="1" t="s">
        <v>2199</v>
      </c>
      <c r="Z193" s="25">
        <v>5</v>
      </c>
      <c r="AA193" s="13" t="b">
        <v>1</v>
      </c>
      <c r="AC193" s="1" t="s">
        <v>2016</v>
      </c>
      <c r="AD193" s="1"/>
    </row>
    <row r="194" spans="1:331" x14ac:dyDescent="0.25">
      <c r="A194" s="35" t="s">
        <v>1992</v>
      </c>
      <c r="B194" s="35">
        <v>2507989</v>
      </c>
      <c r="C194" s="1" t="s">
        <v>1648</v>
      </c>
      <c r="D194" s="35">
        <v>0</v>
      </c>
      <c r="E194" s="35"/>
      <c r="F194" s="35"/>
      <c r="G194" s="35"/>
      <c r="H194" s="35" t="s">
        <v>1739</v>
      </c>
      <c r="I194" s="35" t="s">
        <v>1993</v>
      </c>
      <c r="J194" s="35" t="s">
        <v>1739</v>
      </c>
      <c r="K194" s="35" t="s">
        <v>1993</v>
      </c>
      <c r="L194" s="35">
        <v>0</v>
      </c>
      <c r="M194" s="35"/>
      <c r="N194" s="35"/>
      <c r="O194" s="35">
        <v>0</v>
      </c>
      <c r="P194" s="35"/>
      <c r="R194" s="1" t="s">
        <v>1994</v>
      </c>
      <c r="S194" s="35">
        <v>10</v>
      </c>
      <c r="T194" s="35"/>
      <c r="U194" s="35"/>
      <c r="V194" s="35"/>
      <c r="W194" s="1">
        <v>10</v>
      </c>
      <c r="X194" s="1">
        <v>13</v>
      </c>
      <c r="Y194" s="1" t="s">
        <v>2200</v>
      </c>
      <c r="Z194" s="35">
        <v>9</v>
      </c>
      <c r="AA194" s="1" t="b">
        <v>1</v>
      </c>
      <c r="AC194" s="1" t="s">
        <v>1333</v>
      </c>
      <c r="AD194" s="1"/>
      <c r="AE194" s="1"/>
    </row>
    <row r="195" spans="1:331" s="45" customFormat="1" x14ac:dyDescent="0.25">
      <c r="A195" s="45" t="s">
        <v>728</v>
      </c>
      <c r="C195" s="1" t="s">
        <v>1649</v>
      </c>
      <c r="Q195" s="1"/>
      <c r="R195" s="1"/>
      <c r="W195" s="1"/>
      <c r="X195" s="1"/>
      <c r="Y195" s="1"/>
      <c r="Z195" s="45">
        <v>-1</v>
      </c>
      <c r="AA195" s="13" t="b">
        <v>0</v>
      </c>
      <c r="AB195" s="1"/>
      <c r="AC195" s="57" t="s">
        <v>1293</v>
      </c>
      <c r="AD195" s="1"/>
      <c r="AE195" s="57"/>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c r="IY195" s="1"/>
      <c r="IZ195" s="1"/>
      <c r="JA195" s="1"/>
      <c r="JB195" s="1"/>
      <c r="JC195" s="1"/>
      <c r="JD195" s="1"/>
      <c r="JE195" s="1"/>
      <c r="JF195" s="1"/>
      <c r="JG195" s="1"/>
      <c r="JH195" s="1"/>
      <c r="JI195" s="1"/>
      <c r="JJ195" s="1"/>
      <c r="JK195" s="1"/>
      <c r="JL195" s="1"/>
      <c r="JM195" s="1"/>
      <c r="JN195" s="1"/>
      <c r="JO195" s="1"/>
      <c r="JP195" s="1"/>
      <c r="JQ195" s="1"/>
      <c r="JR195" s="1"/>
      <c r="JS195" s="1"/>
      <c r="JT195" s="1"/>
      <c r="JU195" s="1"/>
      <c r="JV195" s="1"/>
      <c r="JW195" s="1"/>
      <c r="JX195" s="1"/>
      <c r="JY195" s="1"/>
      <c r="JZ195" s="1"/>
      <c r="KA195" s="1"/>
      <c r="KB195" s="1"/>
      <c r="KC195" s="1"/>
      <c r="KD195" s="1"/>
      <c r="KE195" s="1"/>
      <c r="KF195" s="1"/>
      <c r="KG195" s="1"/>
      <c r="KH195" s="1"/>
      <c r="KI195" s="1"/>
      <c r="KJ195" s="1"/>
      <c r="KK195" s="1"/>
      <c r="KL195" s="1"/>
      <c r="KM195" s="1"/>
      <c r="KN195" s="1"/>
      <c r="KO195" s="1"/>
      <c r="KP195" s="1"/>
      <c r="KQ195" s="1"/>
      <c r="KR195" s="1"/>
      <c r="KS195" s="1"/>
      <c r="KT195" s="1"/>
      <c r="KU195" s="1"/>
      <c r="KV195" s="1"/>
      <c r="KW195" s="1"/>
      <c r="KX195" s="1"/>
      <c r="KY195" s="1"/>
      <c r="KZ195" s="1"/>
      <c r="LA195" s="1"/>
      <c r="LB195" s="1"/>
      <c r="LC195" s="1"/>
      <c r="LD195" s="1"/>
      <c r="LE195" s="1"/>
      <c r="LF195" s="1"/>
      <c r="LG195" s="1"/>
      <c r="LH195" s="1"/>
      <c r="LI195" s="1"/>
      <c r="LJ195" s="1"/>
      <c r="LK195" s="1"/>
      <c r="LL195" s="1"/>
      <c r="LM195" s="1"/>
      <c r="LN195" s="1"/>
      <c r="LO195" s="1"/>
      <c r="LP195" s="1"/>
      <c r="LQ195" s="1"/>
      <c r="LR195" s="1"/>
      <c r="LS195" s="1"/>
    </row>
    <row r="196" spans="1:331" s="45" customFormat="1" x14ac:dyDescent="0.25">
      <c r="A196" s="45" t="s">
        <v>729</v>
      </c>
      <c r="C196" s="1" t="s">
        <v>1649</v>
      </c>
      <c r="D196" s="45">
        <v>2</v>
      </c>
      <c r="E196" s="45" t="s">
        <v>730</v>
      </c>
      <c r="F196" s="45" t="s">
        <v>730</v>
      </c>
      <c r="H196" s="45" t="s">
        <v>730</v>
      </c>
      <c r="I196" s="45" t="s">
        <v>730</v>
      </c>
      <c r="J196" s="45" t="s">
        <v>730</v>
      </c>
      <c r="K196" s="45" t="s">
        <v>264</v>
      </c>
      <c r="L196" s="45">
        <v>0</v>
      </c>
      <c r="O196" s="45">
        <v>1</v>
      </c>
      <c r="P196" s="45" t="s">
        <v>730</v>
      </c>
      <c r="Q196" s="1" t="s">
        <v>1565</v>
      </c>
      <c r="R196" s="1"/>
      <c r="S196" s="45">
        <v>15</v>
      </c>
      <c r="W196" s="1"/>
      <c r="X196" s="1"/>
      <c r="Y196" s="1"/>
      <c r="Z196" s="45">
        <v>-1</v>
      </c>
      <c r="AA196" s="13" t="b">
        <v>0</v>
      </c>
      <c r="AB196" s="1"/>
      <c r="AC196" s="57" t="s">
        <v>1274</v>
      </c>
      <c r="AD196" s="1"/>
      <c r="AE196" t="s">
        <v>1865</v>
      </c>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row>
    <row r="197" spans="1:331" s="40" customFormat="1" x14ac:dyDescent="0.25">
      <c r="A197" s="40" t="s">
        <v>731</v>
      </c>
      <c r="B197" s="44" t="s">
        <v>732</v>
      </c>
      <c r="C197" s="13" t="s">
        <v>1649</v>
      </c>
      <c r="D197" s="40">
        <v>0</v>
      </c>
      <c r="H197" s="40" t="s">
        <v>733</v>
      </c>
      <c r="I197" s="40" t="s">
        <v>733</v>
      </c>
      <c r="J197" s="40" t="s">
        <v>734</v>
      </c>
      <c r="K197" s="40" t="s">
        <v>733</v>
      </c>
      <c r="L197" s="40">
        <v>0</v>
      </c>
      <c r="O197" s="40">
        <v>1</v>
      </c>
      <c r="P197" s="40" t="s">
        <v>734</v>
      </c>
      <c r="Q197" s="1" t="s">
        <v>1566</v>
      </c>
      <c r="R197" s="1"/>
      <c r="S197" s="40">
        <v>23</v>
      </c>
      <c r="T197" s="40">
        <v>10.5</v>
      </c>
      <c r="U197" s="40">
        <v>18</v>
      </c>
      <c r="V197" s="40">
        <v>11</v>
      </c>
      <c r="W197" s="1">
        <v>23</v>
      </c>
      <c r="X197" s="1">
        <v>20</v>
      </c>
      <c r="Y197" s="1" t="s">
        <v>2201</v>
      </c>
      <c r="Z197" s="40">
        <v>8</v>
      </c>
      <c r="AA197" s="13" t="b">
        <v>1</v>
      </c>
      <c r="AB197" s="1"/>
      <c r="AC197" s="57" t="s">
        <v>1397</v>
      </c>
      <c r="AD197" s="1"/>
      <c r="AE197" s="57"/>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row>
    <row r="198" spans="1:331" s="40" customFormat="1" x14ac:dyDescent="0.25">
      <c r="A198" s="40" t="s">
        <v>735</v>
      </c>
      <c r="B198" s="44" t="s">
        <v>736</v>
      </c>
      <c r="C198" s="13" t="s">
        <v>1649</v>
      </c>
      <c r="D198" s="40">
        <v>0</v>
      </c>
      <c r="H198" s="40" t="s">
        <v>737</v>
      </c>
      <c r="I198" s="40" t="s">
        <v>738</v>
      </c>
      <c r="J198" s="40" t="s">
        <v>737</v>
      </c>
      <c r="K198" s="40" t="s">
        <v>1693</v>
      </c>
      <c r="L198" s="40">
        <v>0</v>
      </c>
      <c r="O198" s="40">
        <v>1</v>
      </c>
      <c r="P198" s="77">
        <v>45030</v>
      </c>
      <c r="Q198" s="1" t="s">
        <v>603</v>
      </c>
      <c r="R198" s="1"/>
      <c r="S198" s="40">
        <v>10</v>
      </c>
      <c r="T198" s="40">
        <v>19</v>
      </c>
      <c r="U198" s="40">
        <v>11</v>
      </c>
      <c r="V198" s="40">
        <v>12</v>
      </c>
      <c r="W198" s="1">
        <v>19</v>
      </c>
      <c r="X198" s="1">
        <v>19</v>
      </c>
      <c r="Y198" s="1" t="s">
        <v>2202</v>
      </c>
      <c r="Z198" s="40">
        <v>8</v>
      </c>
      <c r="AA198" s="13" t="b">
        <v>1</v>
      </c>
      <c r="AB198" s="1"/>
      <c r="AC198" s="57" t="s">
        <v>1639</v>
      </c>
      <c r="AD198" s="1"/>
      <c r="AE198" s="57"/>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row>
    <row r="199" spans="1:331" s="25" customFormat="1" x14ac:dyDescent="0.25">
      <c r="A199" s="25" t="s">
        <v>739</v>
      </c>
      <c r="B199" s="29" t="s">
        <v>740</v>
      </c>
      <c r="C199" s="13" t="s">
        <v>1649</v>
      </c>
      <c r="D199" s="25">
        <v>0</v>
      </c>
      <c r="H199" s="25" t="s">
        <v>341</v>
      </c>
      <c r="I199" s="25" t="s">
        <v>341</v>
      </c>
      <c r="J199" s="25" t="s">
        <v>741</v>
      </c>
      <c r="K199" s="25" t="s">
        <v>1694</v>
      </c>
      <c r="L199" s="25">
        <v>0</v>
      </c>
      <c r="O199" s="25">
        <v>0</v>
      </c>
      <c r="Q199" s="1" t="s">
        <v>1567</v>
      </c>
      <c r="R199" s="1"/>
      <c r="S199" s="25">
        <v>7</v>
      </c>
      <c r="U199" s="25">
        <v>8</v>
      </c>
      <c r="W199" s="1">
        <v>7</v>
      </c>
      <c r="X199" s="1">
        <v>7</v>
      </c>
      <c r="Y199" s="1" t="s">
        <v>2203</v>
      </c>
      <c r="Z199" s="25">
        <v>5</v>
      </c>
      <c r="AA199" s="13" t="b">
        <v>1</v>
      </c>
      <c r="AB199" s="1"/>
      <c r="AC199" s="57" t="s">
        <v>1354</v>
      </c>
      <c r="AD199" s="1"/>
      <c r="AE199" s="57"/>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row>
    <row r="200" spans="1:331" s="45" customFormat="1" x14ac:dyDescent="0.25">
      <c r="A200" s="45" t="s">
        <v>742</v>
      </c>
      <c r="C200" s="1" t="s">
        <v>1649</v>
      </c>
      <c r="D200" s="45">
        <v>0</v>
      </c>
      <c r="H200" s="45" t="s">
        <v>152</v>
      </c>
      <c r="I200" s="45" t="s">
        <v>743</v>
      </c>
      <c r="J200" s="45" t="s">
        <v>151</v>
      </c>
      <c r="K200" s="45" t="s">
        <v>743</v>
      </c>
      <c r="L200" s="45">
        <v>0</v>
      </c>
      <c r="O200" s="45">
        <v>1</v>
      </c>
      <c r="P200" s="45" t="s">
        <v>151</v>
      </c>
      <c r="Q200" s="1" t="s">
        <v>1568</v>
      </c>
      <c r="R200" s="1"/>
      <c r="W200" s="1"/>
      <c r="X200" s="1"/>
      <c r="Y200" s="1"/>
      <c r="Z200" s="45">
        <v>-1</v>
      </c>
      <c r="AA200" s="13" t="b">
        <v>0</v>
      </c>
      <c r="AB200" s="1"/>
      <c r="AC200" s="57"/>
      <c r="AD200" s="1"/>
      <c r="AE200" s="57"/>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c r="LE200" s="1"/>
      <c r="LF200" s="1"/>
      <c r="LG200" s="1"/>
      <c r="LH200" s="1"/>
      <c r="LI200" s="1"/>
      <c r="LJ200" s="1"/>
      <c r="LK200" s="1"/>
      <c r="LL200" s="1"/>
      <c r="LM200" s="1"/>
      <c r="LN200" s="1"/>
      <c r="LO200" s="1"/>
      <c r="LP200" s="1"/>
      <c r="LQ200" s="1"/>
      <c r="LR200" s="1"/>
      <c r="LS200" s="1"/>
    </row>
    <row r="201" spans="1:331" s="68" customFormat="1" x14ac:dyDescent="0.25">
      <c r="A201" s="68" t="s">
        <v>744</v>
      </c>
      <c r="B201" s="70" t="s">
        <v>745</v>
      </c>
      <c r="C201" s="13" t="s">
        <v>1649</v>
      </c>
      <c r="D201" s="68">
        <v>1</v>
      </c>
      <c r="E201" s="68" t="s">
        <v>746</v>
      </c>
      <c r="H201" s="68" t="s">
        <v>747</v>
      </c>
      <c r="I201" s="68" t="s">
        <v>748</v>
      </c>
      <c r="J201" s="68" t="s">
        <v>747</v>
      </c>
      <c r="K201" s="68" t="s">
        <v>747</v>
      </c>
      <c r="L201" s="68">
        <v>0</v>
      </c>
      <c r="O201" s="68">
        <v>1</v>
      </c>
      <c r="P201" s="68" t="s">
        <v>747</v>
      </c>
      <c r="Q201" s="1"/>
      <c r="R201" s="1" t="s">
        <v>749</v>
      </c>
      <c r="S201" s="68">
        <v>24.9</v>
      </c>
      <c r="U201" s="68">
        <v>22</v>
      </c>
      <c r="W201" s="1">
        <v>22</v>
      </c>
      <c r="X201" s="1">
        <v>24</v>
      </c>
      <c r="Y201" s="1" t="s">
        <v>2204</v>
      </c>
      <c r="Z201" s="68">
        <v>13</v>
      </c>
      <c r="AA201" s="13" t="b">
        <v>1</v>
      </c>
      <c r="AB201" s="1"/>
      <c r="AC201" s="57" t="s">
        <v>1295</v>
      </c>
      <c r="AD201" s="1"/>
      <c r="AE201" s="57"/>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row>
    <row r="202" spans="1:331" s="3" customFormat="1" x14ac:dyDescent="0.25">
      <c r="A202" s="3" t="s">
        <v>750</v>
      </c>
      <c r="B202" s="5" t="s">
        <v>751</v>
      </c>
      <c r="C202" s="13" t="s">
        <v>1649</v>
      </c>
      <c r="D202" s="3">
        <v>0</v>
      </c>
      <c r="H202" s="3" t="s">
        <v>752</v>
      </c>
      <c r="I202" s="3" t="s">
        <v>753</v>
      </c>
      <c r="J202" s="3" t="s">
        <v>754</v>
      </c>
      <c r="K202" s="3" t="s">
        <v>753</v>
      </c>
      <c r="L202" s="3">
        <v>1</v>
      </c>
      <c r="M202" s="3" t="s">
        <v>755</v>
      </c>
      <c r="O202" s="3">
        <v>1</v>
      </c>
      <c r="P202" s="3" t="s">
        <v>756</v>
      </c>
      <c r="Q202" s="1" t="s">
        <v>1569</v>
      </c>
      <c r="R202" s="1"/>
      <c r="S202" s="3">
        <v>13</v>
      </c>
      <c r="W202" s="1">
        <v>13</v>
      </c>
      <c r="X202" s="1">
        <v>16</v>
      </c>
      <c r="Y202" s="1" t="s">
        <v>2205</v>
      </c>
      <c r="Z202" s="3">
        <v>1</v>
      </c>
      <c r="AA202" s="13" t="b">
        <v>1</v>
      </c>
      <c r="AB202" s="1"/>
      <c r="AC202" s="57" t="s">
        <v>1370</v>
      </c>
      <c r="AD202" s="1"/>
      <c r="AE202" t="s">
        <v>1866</v>
      </c>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row>
    <row r="203" spans="1:331" s="35" customFormat="1" x14ac:dyDescent="0.25">
      <c r="A203" s="35" t="s">
        <v>757</v>
      </c>
      <c r="B203" s="39" t="s">
        <v>758</v>
      </c>
      <c r="C203" s="13" t="s">
        <v>1649</v>
      </c>
      <c r="D203" s="35">
        <v>0</v>
      </c>
      <c r="H203" s="35" t="s">
        <v>759</v>
      </c>
      <c r="I203" s="35" t="s">
        <v>760</v>
      </c>
      <c r="J203" s="35" t="s">
        <v>761</v>
      </c>
      <c r="K203" s="35" t="s">
        <v>1695</v>
      </c>
      <c r="L203" s="35">
        <v>0</v>
      </c>
      <c r="O203" s="35">
        <v>1</v>
      </c>
      <c r="P203" s="35" t="s">
        <v>762</v>
      </c>
      <c r="Q203" s="1" t="s">
        <v>1570</v>
      </c>
      <c r="R203" s="1"/>
      <c r="S203" s="35">
        <v>16</v>
      </c>
      <c r="U203" s="35">
        <v>15</v>
      </c>
      <c r="W203" s="1">
        <v>15</v>
      </c>
      <c r="X203" s="1">
        <v>14</v>
      </c>
      <c r="Y203" s="1" t="s">
        <v>2206</v>
      </c>
      <c r="Z203" s="35">
        <v>7</v>
      </c>
      <c r="AA203" s="13" t="b">
        <v>1</v>
      </c>
      <c r="AB203" s="1"/>
      <c r="AC203" s="57" t="s">
        <v>1296</v>
      </c>
      <c r="AD203" s="1"/>
      <c r="AE203" s="57"/>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row>
    <row r="204" spans="1:331" s="49" customFormat="1" x14ac:dyDescent="0.25">
      <c r="A204" s="49" t="s">
        <v>763</v>
      </c>
      <c r="B204" s="51" t="s">
        <v>764</v>
      </c>
      <c r="C204" s="13" t="s">
        <v>1649</v>
      </c>
      <c r="D204" s="49">
        <v>0</v>
      </c>
      <c r="H204" s="49" t="s">
        <v>765</v>
      </c>
      <c r="I204" s="49" t="s">
        <v>766</v>
      </c>
      <c r="J204" s="49" t="s">
        <v>767</v>
      </c>
      <c r="K204" s="49" t="s">
        <v>99</v>
      </c>
      <c r="L204" s="49">
        <v>0</v>
      </c>
      <c r="O204" s="49">
        <v>1</v>
      </c>
      <c r="Q204" s="1"/>
      <c r="R204" s="1" t="s">
        <v>90</v>
      </c>
      <c r="S204" s="49">
        <v>7</v>
      </c>
      <c r="W204" s="1">
        <v>7</v>
      </c>
      <c r="X204" s="1">
        <v>10</v>
      </c>
      <c r="Y204" s="1" t="s">
        <v>2207</v>
      </c>
      <c r="Z204" s="49">
        <v>9</v>
      </c>
      <c r="AA204" s="13" t="b">
        <v>1</v>
      </c>
      <c r="AB204" s="1"/>
      <c r="AC204" s="57" t="s">
        <v>1297</v>
      </c>
      <c r="AD204" s="1"/>
      <c r="AE204" s="57"/>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row>
    <row r="205" spans="1:331" s="40" customFormat="1" x14ac:dyDescent="0.25">
      <c r="A205" s="40" t="s">
        <v>768</v>
      </c>
      <c r="B205" s="44" t="s">
        <v>769</v>
      </c>
      <c r="C205" s="13" t="s">
        <v>1649</v>
      </c>
      <c r="D205" s="40">
        <v>0</v>
      </c>
      <c r="H205" s="40" t="s">
        <v>770</v>
      </c>
      <c r="I205" s="40" t="s">
        <v>770</v>
      </c>
      <c r="J205" s="40" t="s">
        <v>771</v>
      </c>
      <c r="K205" s="40" t="s">
        <v>1696</v>
      </c>
      <c r="L205" s="40">
        <v>0</v>
      </c>
      <c r="O205" s="40">
        <v>1</v>
      </c>
      <c r="P205" s="40" t="s">
        <v>772</v>
      </c>
      <c r="Q205" s="1" t="s">
        <v>346</v>
      </c>
      <c r="R205" s="1"/>
      <c r="S205" s="40">
        <v>4.3</v>
      </c>
      <c r="T205" s="40">
        <v>20.9</v>
      </c>
      <c r="U205" s="40">
        <v>8</v>
      </c>
      <c r="W205" s="1">
        <v>21</v>
      </c>
      <c r="X205" s="1">
        <v>11</v>
      </c>
      <c r="Y205" s="1" t="s">
        <v>2208</v>
      </c>
      <c r="Z205" s="40">
        <v>8</v>
      </c>
      <c r="AA205" s="13" t="b">
        <v>1</v>
      </c>
      <c r="AB205" s="1"/>
      <c r="AC205" s="57" t="s">
        <v>1916</v>
      </c>
      <c r="AD205" s="1"/>
      <c r="AE205" s="57"/>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c r="LO205" s="1"/>
      <c r="LP205" s="1"/>
      <c r="LQ205" s="1"/>
      <c r="LR205" s="1"/>
      <c r="LS205" s="1"/>
    </row>
    <row r="206" spans="1:331" x14ac:dyDescent="0.25">
      <c r="A206" s="1" t="s">
        <v>773</v>
      </c>
      <c r="B206" s="13" t="s">
        <v>774</v>
      </c>
      <c r="C206" s="13" t="s">
        <v>1649</v>
      </c>
      <c r="D206" s="1">
        <v>0</v>
      </c>
      <c r="H206" s="1" t="s">
        <v>775</v>
      </c>
      <c r="I206" s="1" t="s">
        <v>246</v>
      </c>
      <c r="J206" s="1" t="s">
        <v>776</v>
      </c>
      <c r="K206" s="1" t="s">
        <v>347</v>
      </c>
      <c r="L206" s="1">
        <v>0</v>
      </c>
      <c r="O206" s="1">
        <v>1</v>
      </c>
      <c r="R206" s="1" t="s">
        <v>777</v>
      </c>
      <c r="AA206" s="13" t="b">
        <v>0</v>
      </c>
      <c r="AC206" s="57" t="s">
        <v>1632</v>
      </c>
    </row>
    <row r="207" spans="1:331" s="35" customFormat="1" x14ac:dyDescent="0.25">
      <c r="A207" s="35" t="s">
        <v>778</v>
      </c>
      <c r="B207" s="39" t="s">
        <v>779</v>
      </c>
      <c r="C207" s="13" t="s">
        <v>1649</v>
      </c>
      <c r="D207" s="35">
        <v>1</v>
      </c>
      <c r="E207" s="35" t="s">
        <v>772</v>
      </c>
      <c r="H207" s="35" t="s">
        <v>780</v>
      </c>
      <c r="I207" s="35" t="s">
        <v>772</v>
      </c>
      <c r="J207" s="35" t="s">
        <v>118</v>
      </c>
      <c r="K207" s="35" t="s">
        <v>526</v>
      </c>
      <c r="L207" s="35">
        <v>0</v>
      </c>
      <c r="O207" s="35">
        <v>1</v>
      </c>
      <c r="P207" s="35" t="s">
        <v>247</v>
      </c>
      <c r="Q207" s="1" t="s">
        <v>1506</v>
      </c>
      <c r="R207" s="1"/>
      <c r="S207" s="35">
        <v>16</v>
      </c>
      <c r="U207" s="35">
        <v>16</v>
      </c>
      <c r="W207" s="1">
        <v>16</v>
      </c>
      <c r="X207" s="1">
        <v>15</v>
      </c>
      <c r="Y207" s="1" t="s">
        <v>2209</v>
      </c>
      <c r="Z207" s="35">
        <v>7</v>
      </c>
      <c r="AA207" s="13" t="b">
        <v>1</v>
      </c>
      <c r="AB207" s="1"/>
      <c r="AC207" s="57" t="s">
        <v>1464</v>
      </c>
      <c r="AD207" s="1"/>
      <c r="AE207" s="57"/>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row>
    <row r="208" spans="1:331" s="25" customFormat="1" x14ac:dyDescent="0.25">
      <c r="A208" s="25" t="s">
        <v>781</v>
      </c>
      <c r="B208" s="29" t="s">
        <v>782</v>
      </c>
      <c r="C208" s="13" t="s">
        <v>1649</v>
      </c>
      <c r="D208" s="25">
        <v>0</v>
      </c>
      <c r="H208" s="25" t="s">
        <v>783</v>
      </c>
      <c r="I208" s="25" t="s">
        <v>784</v>
      </c>
      <c r="J208" s="25" t="s">
        <v>783</v>
      </c>
      <c r="K208" s="25" t="s">
        <v>1697</v>
      </c>
      <c r="L208" s="25">
        <v>0</v>
      </c>
      <c r="O208" s="25">
        <v>0</v>
      </c>
      <c r="Q208" s="13" t="s">
        <v>1942</v>
      </c>
      <c r="R208" s="1"/>
      <c r="S208" s="25">
        <v>15</v>
      </c>
      <c r="U208" s="25">
        <v>9</v>
      </c>
      <c r="W208" s="1">
        <v>15</v>
      </c>
      <c r="X208" s="1">
        <v>27</v>
      </c>
      <c r="Y208" s="1" t="s">
        <v>2210</v>
      </c>
      <c r="Z208" s="25">
        <v>5</v>
      </c>
      <c r="AA208" s="13" t="b">
        <v>1</v>
      </c>
      <c r="AB208" s="1" t="s">
        <v>1893</v>
      </c>
      <c r="AC208" s="57" t="s">
        <v>1941</v>
      </c>
      <c r="AD208" s="1"/>
      <c r="AE208" s="57"/>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row>
    <row r="209" spans="1:331" s="64" customFormat="1" x14ac:dyDescent="0.25">
      <c r="A209" s="64" t="s">
        <v>785</v>
      </c>
      <c r="B209" s="66" t="s">
        <v>786</v>
      </c>
      <c r="C209" s="13" t="s">
        <v>1649</v>
      </c>
      <c r="D209" s="64">
        <v>1</v>
      </c>
      <c r="E209" s="64" t="s">
        <v>109</v>
      </c>
      <c r="H209" s="64" t="s">
        <v>787</v>
      </c>
      <c r="I209" s="64" t="s">
        <v>788</v>
      </c>
      <c r="J209" s="64" t="s">
        <v>579</v>
      </c>
      <c r="K209" s="64" t="s">
        <v>1698</v>
      </c>
      <c r="L209" s="64">
        <v>0</v>
      </c>
      <c r="O209" s="64">
        <v>0</v>
      </c>
      <c r="Q209" s="1"/>
      <c r="R209" s="1" t="s">
        <v>789</v>
      </c>
      <c r="S209" s="64">
        <v>9</v>
      </c>
      <c r="U209" s="64">
        <v>6</v>
      </c>
      <c r="W209" s="1">
        <v>9</v>
      </c>
      <c r="X209" s="1">
        <v>11</v>
      </c>
      <c r="Y209" s="1" t="s">
        <v>2211</v>
      </c>
      <c r="Z209" s="64">
        <v>12</v>
      </c>
      <c r="AA209" s="13" t="b">
        <v>1</v>
      </c>
      <c r="AB209" s="1"/>
      <c r="AC209" s="57" t="s">
        <v>1465</v>
      </c>
      <c r="AD209" s="1"/>
      <c r="AE209" s="57"/>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row>
    <row r="210" spans="1:331" s="25" customFormat="1" x14ac:dyDescent="0.25">
      <c r="A210" s="25" t="s">
        <v>790</v>
      </c>
      <c r="B210" s="29" t="s">
        <v>791</v>
      </c>
      <c r="C210" s="13" t="s">
        <v>1649</v>
      </c>
      <c r="D210" s="25">
        <v>0</v>
      </c>
      <c r="H210" s="25" t="s">
        <v>792</v>
      </c>
      <c r="I210" s="25" t="s">
        <v>793</v>
      </c>
      <c r="J210" s="25" t="s">
        <v>794</v>
      </c>
      <c r="K210" s="25" t="s">
        <v>260</v>
      </c>
      <c r="L210" s="25">
        <v>0</v>
      </c>
      <c r="O210" s="25">
        <v>1</v>
      </c>
      <c r="Q210" s="1" t="s">
        <v>1571</v>
      </c>
      <c r="R210" s="1"/>
      <c r="S210" s="25">
        <v>6</v>
      </c>
      <c r="U210" s="25">
        <v>6</v>
      </c>
      <c r="W210" s="1">
        <v>6</v>
      </c>
      <c r="X210" s="1">
        <v>0</v>
      </c>
      <c r="Y210" s="1" t="s">
        <v>2212</v>
      </c>
      <c r="Z210" s="25">
        <v>5</v>
      </c>
      <c r="AA210" s="13" t="b">
        <v>1</v>
      </c>
      <c r="AB210" s="1"/>
      <c r="AC210" s="57" t="s">
        <v>1466</v>
      </c>
      <c r="AD210" s="1"/>
      <c r="AE210" s="57"/>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row>
    <row r="211" spans="1:331" s="4" customFormat="1" x14ac:dyDescent="0.25">
      <c r="A211" s="4" t="s">
        <v>795</v>
      </c>
      <c r="B211" s="7" t="s">
        <v>796</v>
      </c>
      <c r="C211" s="13" t="s">
        <v>1649</v>
      </c>
      <c r="D211" s="4">
        <v>0</v>
      </c>
      <c r="H211" s="4" t="s">
        <v>797</v>
      </c>
      <c r="I211" s="4" t="s">
        <v>797</v>
      </c>
      <c r="J211" s="4" t="s">
        <v>90</v>
      </c>
      <c r="K211" s="4" t="s">
        <v>90</v>
      </c>
      <c r="L211" s="4">
        <v>1</v>
      </c>
      <c r="M211" s="4" t="s">
        <v>798</v>
      </c>
      <c r="O211" s="4">
        <v>1</v>
      </c>
      <c r="P211" s="4" t="s">
        <v>799</v>
      </c>
      <c r="Q211" s="1"/>
      <c r="R211" s="1" t="s">
        <v>798</v>
      </c>
      <c r="S211" s="4">
        <v>11</v>
      </c>
      <c r="U211" s="4">
        <v>8</v>
      </c>
      <c r="W211" s="1">
        <v>11</v>
      </c>
      <c r="X211" s="1">
        <v>15</v>
      </c>
      <c r="Y211" s="1" t="s">
        <v>2213</v>
      </c>
      <c r="Z211" s="4">
        <v>4</v>
      </c>
      <c r="AA211" s="13" t="b">
        <v>1</v>
      </c>
      <c r="AB211" s="1" t="s">
        <v>1894</v>
      </c>
      <c r="AC211" s="57" t="s">
        <v>1463</v>
      </c>
      <c r="AD211" s="1"/>
      <c r="AE211" s="57"/>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row>
    <row r="212" spans="1:331" x14ac:dyDescent="0.25">
      <c r="A212" s="1" t="s">
        <v>1728</v>
      </c>
      <c r="B212" s="1"/>
      <c r="C212" s="1" t="s">
        <v>1649</v>
      </c>
      <c r="D212" s="1">
        <v>0</v>
      </c>
      <c r="H212" s="1" t="s">
        <v>665</v>
      </c>
      <c r="I212" s="1" t="s">
        <v>1738</v>
      </c>
      <c r="K212" s="1" t="s">
        <v>668</v>
      </c>
      <c r="L212" s="1">
        <v>1</v>
      </c>
      <c r="M212" s="1" t="s">
        <v>1656</v>
      </c>
      <c r="O212" s="1">
        <v>0</v>
      </c>
      <c r="Q212" s="1" t="s">
        <v>222</v>
      </c>
      <c r="T212" s="1">
        <v>7</v>
      </c>
      <c r="AA212" s="13" t="b">
        <v>0</v>
      </c>
    </row>
    <row r="213" spans="1:331" x14ac:dyDescent="0.25">
      <c r="A213" s="1" t="s">
        <v>1734</v>
      </c>
      <c r="B213" s="1"/>
      <c r="C213" s="1" t="s">
        <v>1649</v>
      </c>
      <c r="D213" s="1">
        <v>0</v>
      </c>
      <c r="H213" s="1" t="s">
        <v>1192</v>
      </c>
      <c r="I213" s="1" t="s">
        <v>1192</v>
      </c>
      <c r="K213" s="1" t="s">
        <v>1191</v>
      </c>
      <c r="L213" s="1">
        <v>0</v>
      </c>
      <c r="O213" s="1">
        <v>0</v>
      </c>
      <c r="Q213" s="1" t="s">
        <v>46</v>
      </c>
      <c r="S213" s="1">
        <v>15</v>
      </c>
      <c r="AA213" s="13" t="b">
        <v>0</v>
      </c>
    </row>
    <row r="214" spans="1:331" x14ac:dyDescent="0.25">
      <c r="A214" s="1" t="s">
        <v>1733</v>
      </c>
      <c r="B214" s="1"/>
      <c r="C214" s="1" t="s">
        <v>1649</v>
      </c>
      <c r="D214" s="1">
        <v>0</v>
      </c>
      <c r="H214" s="1" t="s">
        <v>1739</v>
      </c>
      <c r="I214" s="1" t="s">
        <v>1740</v>
      </c>
      <c r="K214" s="1" t="s">
        <v>221</v>
      </c>
      <c r="L214" s="1">
        <v>0</v>
      </c>
      <c r="O214" s="1">
        <v>0</v>
      </c>
      <c r="Q214" s="1" t="s">
        <v>1243</v>
      </c>
      <c r="AA214" s="13" t="b">
        <v>0</v>
      </c>
    </row>
    <row r="215" spans="1:331" x14ac:dyDescent="0.25">
      <c r="A215" s="1" t="s">
        <v>1732</v>
      </c>
      <c r="B215" s="1"/>
      <c r="C215" s="1" t="s">
        <v>1649</v>
      </c>
      <c r="D215" s="1">
        <v>0</v>
      </c>
      <c r="H215" s="1" t="s">
        <v>1741</v>
      </c>
      <c r="I215" s="1" t="s">
        <v>1741</v>
      </c>
      <c r="K215" s="1" t="s">
        <v>1741</v>
      </c>
      <c r="L215" s="1">
        <v>0</v>
      </c>
      <c r="O215" s="1">
        <v>1</v>
      </c>
      <c r="P215" s="1" t="s">
        <v>49</v>
      </c>
      <c r="Q215" s="1" t="s">
        <v>1673</v>
      </c>
      <c r="S215" s="1">
        <v>7</v>
      </c>
      <c r="AA215" s="13" t="b">
        <v>0</v>
      </c>
    </row>
    <row r="216" spans="1:331" x14ac:dyDescent="0.25">
      <c r="A216" s="1" t="s">
        <v>1731</v>
      </c>
      <c r="B216" s="1"/>
      <c r="C216" s="1" t="s">
        <v>1649</v>
      </c>
      <c r="D216" s="1">
        <v>0</v>
      </c>
      <c r="H216" s="1" t="s">
        <v>140</v>
      </c>
      <c r="I216" s="1" t="s">
        <v>455</v>
      </c>
      <c r="K216" s="1" t="s">
        <v>1742</v>
      </c>
      <c r="L216" s="1">
        <v>2</v>
      </c>
      <c r="M216" s="1" t="s">
        <v>1619</v>
      </c>
      <c r="N216" s="1" t="s">
        <v>1555</v>
      </c>
      <c r="O216" s="1">
        <v>0</v>
      </c>
      <c r="R216" s="1" t="s">
        <v>1743</v>
      </c>
      <c r="S216" s="1">
        <v>21</v>
      </c>
      <c r="T216" s="1">
        <v>7</v>
      </c>
      <c r="AA216" s="13" t="b">
        <v>0</v>
      </c>
    </row>
    <row r="217" spans="1:331" x14ac:dyDescent="0.25">
      <c r="A217" s="1" t="s">
        <v>1730</v>
      </c>
      <c r="B217" s="1"/>
      <c r="C217" s="1" t="s">
        <v>1649</v>
      </c>
      <c r="D217" s="1">
        <v>0</v>
      </c>
      <c r="H217" s="1" t="s">
        <v>1744</v>
      </c>
      <c r="I217" s="1" t="s">
        <v>1745</v>
      </c>
      <c r="K217" s="1" t="s">
        <v>1746</v>
      </c>
      <c r="L217" s="1">
        <v>1</v>
      </c>
      <c r="M217" s="1" t="s">
        <v>1747</v>
      </c>
      <c r="O217" s="1">
        <v>1</v>
      </c>
      <c r="P217" s="1" t="s">
        <v>1748</v>
      </c>
      <c r="Q217" s="1" t="s">
        <v>1193</v>
      </c>
      <c r="S217" s="1">
        <v>6</v>
      </c>
      <c r="AA217" s="13" t="b">
        <v>0</v>
      </c>
    </row>
    <row r="218" spans="1:331" x14ac:dyDescent="0.25">
      <c r="A218" s="1" t="s">
        <v>1729</v>
      </c>
      <c r="B218" s="1"/>
      <c r="C218" s="1" t="s">
        <v>1649</v>
      </c>
      <c r="I218" s="1" t="s">
        <v>711</v>
      </c>
      <c r="AA218" s="13" t="b">
        <v>0</v>
      </c>
    </row>
    <row r="219" spans="1:331" s="35" customFormat="1" x14ac:dyDescent="0.25">
      <c r="A219" s="35" t="s">
        <v>800</v>
      </c>
      <c r="B219" s="39" t="s">
        <v>801</v>
      </c>
      <c r="C219" s="13" t="s">
        <v>1650</v>
      </c>
      <c r="D219" s="35">
        <v>3</v>
      </c>
      <c r="E219" s="35" t="s">
        <v>802</v>
      </c>
      <c r="F219" s="35" t="s">
        <v>803</v>
      </c>
      <c r="G219" s="35" t="s">
        <v>803</v>
      </c>
      <c r="H219" s="35" t="s">
        <v>802</v>
      </c>
      <c r="I219" s="35" t="s">
        <v>802</v>
      </c>
      <c r="J219" s="35" t="s">
        <v>803</v>
      </c>
      <c r="K219" s="35" t="s">
        <v>803</v>
      </c>
      <c r="L219" s="35">
        <v>0</v>
      </c>
      <c r="O219" s="35">
        <v>1</v>
      </c>
      <c r="P219" s="35" t="s">
        <v>804</v>
      </c>
      <c r="Q219" s="1" t="s">
        <v>1572</v>
      </c>
      <c r="R219" s="1"/>
      <c r="S219" s="35">
        <v>28</v>
      </c>
      <c r="U219" s="35">
        <v>29</v>
      </c>
      <c r="W219" s="1">
        <v>28</v>
      </c>
      <c r="X219" s="1">
        <v>18</v>
      </c>
      <c r="Y219" s="1" t="s">
        <v>2214</v>
      </c>
      <c r="Z219" s="35">
        <v>7</v>
      </c>
      <c r="AA219" s="13" t="b">
        <v>1</v>
      </c>
      <c r="AB219" s="1"/>
      <c r="AC219" s="57" t="s">
        <v>1719</v>
      </c>
      <c r="AD219" s="1"/>
      <c r="AE219" s="57"/>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c r="IY219" s="1"/>
      <c r="IZ219" s="1"/>
      <c r="JA219" s="1"/>
      <c r="JB219" s="1"/>
      <c r="JC219" s="1"/>
      <c r="JD219" s="1"/>
      <c r="JE219" s="1"/>
      <c r="JF219" s="1"/>
      <c r="JG219" s="1"/>
      <c r="JH219" s="1"/>
      <c r="JI219" s="1"/>
      <c r="JJ219" s="1"/>
      <c r="JK219" s="1"/>
      <c r="JL219" s="1"/>
      <c r="JM219" s="1"/>
      <c r="JN219" s="1"/>
      <c r="JO219" s="1"/>
      <c r="JP219" s="1"/>
      <c r="JQ219" s="1"/>
      <c r="JR219" s="1"/>
      <c r="JS219" s="1"/>
      <c r="JT219" s="1"/>
      <c r="JU219" s="1"/>
      <c r="JV219" s="1"/>
      <c r="JW219" s="1"/>
      <c r="JX219" s="1"/>
      <c r="JY219" s="1"/>
      <c r="JZ219" s="1"/>
      <c r="KA219" s="1"/>
      <c r="KB219" s="1"/>
      <c r="KC219" s="1"/>
      <c r="KD219" s="1"/>
      <c r="KE219" s="1"/>
      <c r="KF219" s="1"/>
      <c r="KG219" s="1"/>
      <c r="KH219" s="1"/>
      <c r="KI219" s="1"/>
      <c r="KJ219" s="1"/>
      <c r="KK219" s="1"/>
      <c r="KL219" s="1"/>
      <c r="KM219" s="1"/>
      <c r="KN219" s="1"/>
      <c r="KO219" s="1"/>
      <c r="KP219" s="1"/>
      <c r="KQ219" s="1"/>
      <c r="KR219" s="1"/>
      <c r="KS219" s="1"/>
      <c r="KT219" s="1"/>
      <c r="KU219" s="1"/>
      <c r="KV219" s="1"/>
      <c r="KW219" s="1"/>
      <c r="KX219" s="1"/>
      <c r="KY219" s="1"/>
      <c r="KZ219" s="1"/>
      <c r="LA219" s="1"/>
      <c r="LB219" s="1"/>
      <c r="LC219" s="1"/>
      <c r="LD219" s="1"/>
      <c r="LE219" s="1"/>
      <c r="LF219" s="1"/>
      <c r="LG219" s="1"/>
      <c r="LH219" s="1"/>
      <c r="LI219" s="1"/>
      <c r="LJ219" s="1"/>
      <c r="LK219" s="1"/>
      <c r="LL219" s="1"/>
      <c r="LM219" s="1"/>
      <c r="LN219" s="1"/>
      <c r="LO219" s="1"/>
      <c r="LP219" s="1"/>
      <c r="LQ219" s="1"/>
      <c r="LR219" s="1"/>
      <c r="LS219" s="1"/>
    </row>
    <row r="220" spans="1:331" s="25" customFormat="1" x14ac:dyDescent="0.25">
      <c r="A220" s="25" t="s">
        <v>805</v>
      </c>
      <c r="B220" s="29" t="s">
        <v>806</v>
      </c>
      <c r="C220" s="13" t="s">
        <v>1650</v>
      </c>
      <c r="D220" s="25">
        <v>0</v>
      </c>
      <c r="H220" s="25" t="s">
        <v>807</v>
      </c>
      <c r="I220" s="25" t="s">
        <v>807</v>
      </c>
      <c r="J220" s="25" t="s">
        <v>807</v>
      </c>
      <c r="K220" s="25" t="s">
        <v>1699</v>
      </c>
      <c r="L220" s="25">
        <v>0</v>
      </c>
      <c r="O220" s="25">
        <v>1</v>
      </c>
      <c r="Q220" s="1" t="s">
        <v>813</v>
      </c>
      <c r="R220" s="1"/>
      <c r="T220" s="25">
        <v>6.6</v>
      </c>
      <c r="V220" s="25">
        <v>9</v>
      </c>
      <c r="W220" s="1">
        <v>7</v>
      </c>
      <c r="X220" s="1">
        <v>12</v>
      </c>
      <c r="Y220" s="1" t="s">
        <v>2215</v>
      </c>
      <c r="Z220" s="25">
        <v>5</v>
      </c>
      <c r="AA220" s="13" t="b">
        <v>1</v>
      </c>
      <c r="AB220" s="1" t="s">
        <v>1894</v>
      </c>
      <c r="AC220" s="57" t="s">
        <v>1339</v>
      </c>
      <c r="AD220" s="1"/>
      <c r="AE220" s="57"/>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row>
    <row r="221" spans="1:331" s="49" customFormat="1" x14ac:dyDescent="0.25">
      <c r="A221" s="49" t="s">
        <v>808</v>
      </c>
      <c r="B221" s="51" t="s">
        <v>809</v>
      </c>
      <c r="C221" s="13" t="s">
        <v>1650</v>
      </c>
      <c r="D221" s="49">
        <v>0</v>
      </c>
      <c r="H221" s="49" t="s">
        <v>810</v>
      </c>
      <c r="I221" s="49" t="s">
        <v>811</v>
      </c>
      <c r="J221" s="49" t="s">
        <v>812</v>
      </c>
      <c r="K221" s="49" t="s">
        <v>811</v>
      </c>
      <c r="L221" s="49">
        <v>0</v>
      </c>
      <c r="O221" s="49">
        <v>1</v>
      </c>
      <c r="Q221" s="1"/>
      <c r="R221" s="1" t="s">
        <v>813</v>
      </c>
      <c r="T221" s="49">
        <v>20</v>
      </c>
      <c r="V221" s="49">
        <v>22</v>
      </c>
      <c r="W221" s="1">
        <v>20</v>
      </c>
      <c r="X221" s="1">
        <v>21</v>
      </c>
      <c r="Y221" s="1" t="s">
        <v>2216</v>
      </c>
      <c r="Z221" s="49">
        <v>9</v>
      </c>
      <c r="AA221" s="13" t="b">
        <v>1</v>
      </c>
      <c r="AB221" s="1"/>
      <c r="AC221" s="57" t="s">
        <v>1423</v>
      </c>
      <c r="AD221" s="1"/>
      <c r="AE221" s="57"/>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c r="LO221" s="1"/>
      <c r="LP221" s="1"/>
      <c r="LQ221" s="1"/>
      <c r="LR221" s="1"/>
      <c r="LS221" s="1"/>
    </row>
    <row r="222" spans="1:331" s="64" customFormat="1" x14ac:dyDescent="0.25">
      <c r="A222" s="64" t="s">
        <v>814</v>
      </c>
      <c r="B222" s="66" t="s">
        <v>815</v>
      </c>
      <c r="C222" s="13" t="s">
        <v>1650</v>
      </c>
      <c r="D222" s="64">
        <v>1</v>
      </c>
      <c r="E222" s="64" t="s">
        <v>816</v>
      </c>
      <c r="H222" s="64" t="s">
        <v>817</v>
      </c>
      <c r="I222" s="64" t="s">
        <v>818</v>
      </c>
      <c r="J222" s="67">
        <v>43749</v>
      </c>
      <c r="K222" s="67" t="s">
        <v>1700</v>
      </c>
      <c r="L222" s="64">
        <v>0</v>
      </c>
      <c r="O222" s="64">
        <v>1</v>
      </c>
      <c r="Q222" s="1"/>
      <c r="R222" s="1" t="s">
        <v>819</v>
      </c>
      <c r="T222" s="64">
        <v>22</v>
      </c>
      <c r="V222" s="64">
        <v>24</v>
      </c>
      <c r="W222" s="1">
        <v>22</v>
      </c>
      <c r="X222" s="1">
        <v>22</v>
      </c>
      <c r="Y222" s="1" t="s">
        <v>2217</v>
      </c>
      <c r="Z222" s="64">
        <v>12</v>
      </c>
      <c r="AA222" s="13" t="b">
        <v>1</v>
      </c>
      <c r="AB222" s="1"/>
      <c r="AC222" s="57" t="s">
        <v>1428</v>
      </c>
      <c r="AD222" s="1"/>
      <c r="AE222" s="57"/>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row>
    <row r="223" spans="1:331" s="17" customFormat="1" x14ac:dyDescent="0.25">
      <c r="A223" s="17" t="s">
        <v>820</v>
      </c>
      <c r="B223" s="21" t="s">
        <v>821</v>
      </c>
      <c r="C223" s="13" t="s">
        <v>1650</v>
      </c>
      <c r="D223" s="17">
        <v>1</v>
      </c>
      <c r="E223" s="17" t="s">
        <v>822</v>
      </c>
      <c r="J223" s="17" t="s">
        <v>823</v>
      </c>
      <c r="K223" s="17" t="s">
        <v>822</v>
      </c>
      <c r="L223" s="17">
        <v>1</v>
      </c>
      <c r="M223" s="17" t="s">
        <v>824</v>
      </c>
      <c r="O223" s="17">
        <v>1</v>
      </c>
      <c r="P223" s="17" t="s">
        <v>825</v>
      </c>
      <c r="Q223" s="1" t="s">
        <v>1573</v>
      </c>
      <c r="R223" s="1"/>
      <c r="S223" s="17">
        <v>13</v>
      </c>
      <c r="U223" s="17">
        <v>13</v>
      </c>
      <c r="W223" s="1">
        <v>13</v>
      </c>
      <c r="X223" s="1">
        <v>15</v>
      </c>
      <c r="Y223" s="1" t="s">
        <v>2218</v>
      </c>
      <c r="Z223" s="17">
        <v>3</v>
      </c>
      <c r="AA223" s="13" t="b">
        <v>1</v>
      </c>
      <c r="AB223" s="1"/>
      <c r="AC223" s="57" t="s">
        <v>1379</v>
      </c>
      <c r="AD223" s="1"/>
      <c r="AE223" t="s">
        <v>1867</v>
      </c>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c r="IY223" s="1"/>
      <c r="IZ223" s="1"/>
      <c r="JA223" s="1"/>
      <c r="JB223" s="1"/>
      <c r="JC223" s="1"/>
      <c r="JD223" s="1"/>
      <c r="JE223" s="1"/>
      <c r="JF223" s="1"/>
      <c r="JG223" s="1"/>
      <c r="JH223" s="1"/>
      <c r="JI223" s="1"/>
      <c r="JJ223" s="1"/>
      <c r="JK223" s="1"/>
      <c r="JL223" s="1"/>
      <c r="JM223" s="1"/>
      <c r="JN223" s="1"/>
      <c r="JO223" s="1"/>
      <c r="JP223" s="1"/>
      <c r="JQ223" s="1"/>
      <c r="JR223" s="1"/>
      <c r="JS223" s="1"/>
      <c r="JT223" s="1"/>
      <c r="JU223" s="1"/>
      <c r="JV223" s="1"/>
      <c r="JW223" s="1"/>
      <c r="JX223" s="1"/>
      <c r="JY223" s="1"/>
      <c r="JZ223" s="1"/>
      <c r="KA223" s="1"/>
      <c r="KB223" s="1"/>
      <c r="KC223" s="1"/>
      <c r="KD223" s="1"/>
      <c r="KE223" s="1"/>
      <c r="KF223" s="1"/>
      <c r="KG223" s="1"/>
      <c r="KH223" s="1"/>
      <c r="KI223" s="1"/>
      <c r="KJ223" s="1"/>
      <c r="KK223" s="1"/>
      <c r="KL223" s="1"/>
      <c r="KM223" s="1"/>
      <c r="KN223" s="1"/>
      <c r="KO223" s="1"/>
      <c r="KP223" s="1"/>
      <c r="KQ223" s="1"/>
      <c r="KR223" s="1"/>
      <c r="KS223" s="1"/>
      <c r="KT223" s="1"/>
      <c r="KU223" s="1"/>
      <c r="KV223" s="1"/>
      <c r="KW223" s="1"/>
      <c r="KX223" s="1"/>
      <c r="KY223" s="1"/>
      <c r="KZ223" s="1"/>
      <c r="LA223" s="1"/>
      <c r="LB223" s="1"/>
      <c r="LC223" s="1"/>
      <c r="LD223" s="1"/>
      <c r="LE223" s="1"/>
      <c r="LF223" s="1"/>
      <c r="LG223" s="1"/>
      <c r="LH223" s="1"/>
      <c r="LI223" s="1"/>
      <c r="LJ223" s="1"/>
      <c r="LK223" s="1"/>
      <c r="LL223" s="1"/>
      <c r="LM223" s="1"/>
      <c r="LN223" s="1"/>
      <c r="LO223" s="1"/>
      <c r="LP223" s="1"/>
      <c r="LQ223" s="1"/>
      <c r="LR223" s="1"/>
      <c r="LS223" s="1"/>
    </row>
    <row r="224" spans="1:331" s="35" customFormat="1" x14ac:dyDescent="0.25">
      <c r="A224" s="35" t="s">
        <v>826</v>
      </c>
      <c r="B224" s="39" t="s">
        <v>827</v>
      </c>
      <c r="C224" s="13" t="s">
        <v>1650</v>
      </c>
      <c r="D224" s="35">
        <v>1</v>
      </c>
      <c r="E224" s="35" t="s">
        <v>828</v>
      </c>
      <c r="H224" s="35" t="s">
        <v>829</v>
      </c>
      <c r="I224" s="35" t="s">
        <v>828</v>
      </c>
      <c r="J224" s="35" t="s">
        <v>829</v>
      </c>
      <c r="K224" s="35" t="s">
        <v>828</v>
      </c>
      <c r="L224" s="35">
        <v>0</v>
      </c>
      <c r="O224" s="35">
        <v>1</v>
      </c>
      <c r="P224" s="35" t="s">
        <v>830</v>
      </c>
      <c r="Q224" s="1" t="s">
        <v>1574</v>
      </c>
      <c r="R224" s="1"/>
      <c r="S224" s="35">
        <v>20</v>
      </c>
      <c r="V224" s="35">
        <v>20</v>
      </c>
      <c r="W224" s="1">
        <v>20</v>
      </c>
      <c r="X224" s="1">
        <v>18</v>
      </c>
      <c r="Y224" s="1" t="s">
        <v>2219</v>
      </c>
      <c r="Z224" s="35">
        <v>7</v>
      </c>
      <c r="AA224" s="13" t="b">
        <v>1</v>
      </c>
      <c r="AB224" s="1"/>
      <c r="AC224" s="57" t="s">
        <v>1372</v>
      </c>
      <c r="AD224" s="1"/>
      <c r="AE224" s="57"/>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c r="LC224" s="1"/>
      <c r="LD224" s="1"/>
      <c r="LE224" s="1"/>
      <c r="LF224" s="1"/>
      <c r="LG224" s="1"/>
      <c r="LH224" s="1"/>
      <c r="LI224" s="1"/>
      <c r="LJ224" s="1"/>
      <c r="LK224" s="1"/>
      <c r="LL224" s="1"/>
      <c r="LM224" s="1"/>
      <c r="LN224" s="1"/>
      <c r="LO224" s="1"/>
      <c r="LP224" s="1"/>
      <c r="LQ224" s="1"/>
      <c r="LR224" s="1"/>
      <c r="LS224" s="1"/>
    </row>
    <row r="225" spans="1:331" s="3" customFormat="1" x14ac:dyDescent="0.25">
      <c r="A225" s="3" t="s">
        <v>831</v>
      </c>
      <c r="B225" s="5" t="s">
        <v>832</v>
      </c>
      <c r="C225" s="13" t="s">
        <v>1650</v>
      </c>
      <c r="D225" s="3">
        <v>0</v>
      </c>
      <c r="H225" s="3" t="s">
        <v>833</v>
      </c>
      <c r="I225" s="3" t="s">
        <v>834</v>
      </c>
      <c r="J225" s="3" t="s">
        <v>829</v>
      </c>
      <c r="K225" s="3" t="s">
        <v>833</v>
      </c>
      <c r="L225" s="3">
        <v>1</v>
      </c>
      <c r="M225" s="3" t="s">
        <v>835</v>
      </c>
      <c r="O225" s="3">
        <v>1</v>
      </c>
      <c r="P225" s="3" t="s">
        <v>836</v>
      </c>
      <c r="Q225" s="1" t="s">
        <v>1575</v>
      </c>
      <c r="R225" s="1"/>
      <c r="S225" s="3">
        <v>17</v>
      </c>
      <c r="U225" s="3">
        <v>18</v>
      </c>
      <c r="W225" s="1">
        <v>17</v>
      </c>
      <c r="X225" s="1">
        <v>28</v>
      </c>
      <c r="Y225" s="1" t="s">
        <v>2220</v>
      </c>
      <c r="Z225" s="3">
        <v>1</v>
      </c>
      <c r="AA225" s="13" t="b">
        <v>1</v>
      </c>
      <c r="AB225" s="1"/>
      <c r="AC225" s="57" t="s">
        <v>1371</v>
      </c>
      <c r="AD225" s="1"/>
      <c r="AE225" t="s">
        <v>1868</v>
      </c>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c r="LC225" s="1"/>
      <c r="LD225" s="1"/>
      <c r="LE225" s="1"/>
      <c r="LF225" s="1"/>
      <c r="LG225" s="1"/>
      <c r="LH225" s="1"/>
      <c r="LI225" s="1"/>
      <c r="LJ225" s="1"/>
      <c r="LK225" s="1"/>
      <c r="LL225" s="1"/>
      <c r="LM225" s="1"/>
      <c r="LN225" s="1"/>
      <c r="LO225" s="1"/>
      <c r="LP225" s="1"/>
      <c r="LQ225" s="1"/>
      <c r="LR225" s="1"/>
      <c r="LS225" s="1"/>
    </row>
    <row r="226" spans="1:331" s="25" customFormat="1" x14ac:dyDescent="0.25">
      <c r="A226" s="25" t="s">
        <v>837</v>
      </c>
      <c r="B226" s="29" t="s">
        <v>838</v>
      </c>
      <c r="C226" s="13" t="s">
        <v>1650</v>
      </c>
      <c r="D226" s="25">
        <v>0</v>
      </c>
      <c r="H226" s="25" t="s">
        <v>839</v>
      </c>
      <c r="I226" s="25" t="s">
        <v>840</v>
      </c>
      <c r="J226" s="25" t="s">
        <v>836</v>
      </c>
      <c r="K226" s="25" t="s">
        <v>840</v>
      </c>
      <c r="L226" s="25">
        <v>0</v>
      </c>
      <c r="O226" s="25">
        <v>0</v>
      </c>
      <c r="Q226" s="1" t="s">
        <v>1576</v>
      </c>
      <c r="R226" s="1"/>
      <c r="T226" s="25">
        <v>4</v>
      </c>
      <c r="V226" s="25">
        <v>5</v>
      </c>
      <c r="W226" s="1">
        <v>4</v>
      </c>
      <c r="X226" s="1">
        <v>7</v>
      </c>
      <c r="Y226" s="1" t="s">
        <v>2221</v>
      </c>
      <c r="Z226" s="25">
        <v>5</v>
      </c>
      <c r="AA226" s="13" t="b">
        <v>1</v>
      </c>
      <c r="AB226" s="1"/>
      <c r="AC226" s="57" t="s">
        <v>1298</v>
      </c>
      <c r="AD226" s="1"/>
      <c r="AE226" s="57"/>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c r="LC226" s="1"/>
      <c r="LD226" s="1"/>
      <c r="LE226" s="1"/>
      <c r="LF226" s="1"/>
      <c r="LG226" s="1"/>
      <c r="LH226" s="1"/>
      <c r="LI226" s="1"/>
      <c r="LJ226" s="1"/>
      <c r="LK226" s="1"/>
      <c r="LL226" s="1"/>
      <c r="LM226" s="1"/>
      <c r="LN226" s="1"/>
      <c r="LO226" s="1"/>
      <c r="LP226" s="1"/>
      <c r="LQ226" s="1"/>
      <c r="LR226" s="1"/>
      <c r="LS226" s="1"/>
    </row>
    <row r="227" spans="1:331" s="40" customFormat="1" x14ac:dyDescent="0.25">
      <c r="A227" s="40" t="s">
        <v>841</v>
      </c>
      <c r="B227" s="44" t="s">
        <v>842</v>
      </c>
      <c r="C227" s="13" t="s">
        <v>1650</v>
      </c>
      <c r="D227" s="40">
        <v>0</v>
      </c>
      <c r="H227" s="40" t="s">
        <v>843</v>
      </c>
      <c r="I227" s="40" t="s">
        <v>593</v>
      </c>
      <c r="J227" s="40" t="s">
        <v>843</v>
      </c>
      <c r="K227" s="40" t="s">
        <v>1701</v>
      </c>
      <c r="L227" s="40">
        <v>0</v>
      </c>
      <c r="O227" s="40">
        <v>1</v>
      </c>
      <c r="P227" s="40" t="s">
        <v>844</v>
      </c>
      <c r="Q227" s="1" t="s">
        <v>1577</v>
      </c>
      <c r="R227" s="1"/>
      <c r="T227" s="40">
        <v>22</v>
      </c>
      <c r="V227" s="40">
        <v>20</v>
      </c>
      <c r="W227" s="1">
        <v>22</v>
      </c>
      <c r="X227" s="1">
        <v>22</v>
      </c>
      <c r="Y227" s="1" t="s">
        <v>2222</v>
      </c>
      <c r="Z227" s="40">
        <v>8</v>
      </c>
      <c r="AA227" s="13" t="b">
        <v>1</v>
      </c>
      <c r="AB227" s="1"/>
      <c r="AC227" s="57" t="s">
        <v>1429</v>
      </c>
      <c r="AD227" s="1"/>
      <c r="AE227" s="57"/>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c r="LC227" s="1"/>
      <c r="LD227" s="1"/>
      <c r="LE227" s="1"/>
      <c r="LF227" s="1"/>
      <c r="LG227" s="1"/>
      <c r="LH227" s="1"/>
      <c r="LI227" s="1"/>
      <c r="LJ227" s="1"/>
      <c r="LK227" s="1"/>
      <c r="LL227" s="1"/>
      <c r="LM227" s="1"/>
      <c r="LN227" s="1"/>
      <c r="LO227" s="1"/>
      <c r="LP227" s="1"/>
      <c r="LQ227" s="1"/>
      <c r="LR227" s="1"/>
      <c r="LS227" s="1"/>
    </row>
    <row r="228" spans="1:331" s="40" customFormat="1" x14ac:dyDescent="0.25">
      <c r="A228" s="40" t="s">
        <v>845</v>
      </c>
      <c r="B228" s="44" t="s">
        <v>846</v>
      </c>
      <c r="C228" s="13" t="s">
        <v>1650</v>
      </c>
      <c r="D228" s="40">
        <v>0</v>
      </c>
      <c r="H228" s="40" t="s">
        <v>847</v>
      </c>
      <c r="I228" s="44" t="s">
        <v>848</v>
      </c>
      <c r="J228" s="40" t="s">
        <v>847</v>
      </c>
      <c r="K228" s="40" t="s">
        <v>847</v>
      </c>
      <c r="L228" s="40">
        <v>0</v>
      </c>
      <c r="O228" s="40">
        <v>1</v>
      </c>
      <c r="P228" s="40" t="s">
        <v>849</v>
      </c>
      <c r="Q228" s="13" t="s">
        <v>1544</v>
      </c>
      <c r="R228" s="1"/>
      <c r="T228" s="40">
        <v>9</v>
      </c>
      <c r="V228" s="40">
        <v>10</v>
      </c>
      <c r="W228" s="1">
        <v>9</v>
      </c>
      <c r="X228" s="1">
        <v>19</v>
      </c>
      <c r="Y228" s="1" t="s">
        <v>2223</v>
      </c>
      <c r="Z228" s="40">
        <v>8</v>
      </c>
      <c r="AA228" s="13" t="b">
        <v>1</v>
      </c>
      <c r="AB228" s="1"/>
      <c r="AC228" s="57" t="s">
        <v>1995</v>
      </c>
      <c r="AD228" s="1"/>
      <c r="AE228" t="s">
        <v>1869</v>
      </c>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c r="IY228" s="1"/>
      <c r="IZ228" s="1"/>
      <c r="JA228" s="1"/>
      <c r="JB228" s="1"/>
      <c r="JC228" s="1"/>
      <c r="JD228" s="1"/>
      <c r="JE228" s="1"/>
      <c r="JF228" s="1"/>
      <c r="JG228" s="1"/>
      <c r="JH228" s="1"/>
      <c r="JI228" s="1"/>
      <c r="JJ228" s="1"/>
      <c r="JK228" s="1"/>
      <c r="JL228" s="1"/>
      <c r="JM228" s="1"/>
      <c r="JN228" s="1"/>
      <c r="JO228" s="1"/>
      <c r="JP228" s="1"/>
      <c r="JQ228" s="1"/>
      <c r="JR228" s="1"/>
      <c r="JS228" s="1"/>
      <c r="JT228" s="1"/>
      <c r="JU228" s="1"/>
      <c r="JV228" s="1"/>
      <c r="JW228" s="1"/>
      <c r="JX228" s="1"/>
      <c r="JY228" s="1"/>
      <c r="JZ228" s="1"/>
      <c r="KA228" s="1"/>
      <c r="KB228" s="1"/>
      <c r="KC228" s="1"/>
      <c r="KD228" s="1"/>
      <c r="KE228" s="1"/>
      <c r="KF228" s="1"/>
      <c r="KG228" s="1"/>
      <c r="KH228" s="1"/>
      <c r="KI228" s="1"/>
      <c r="KJ228" s="1"/>
      <c r="KK228" s="1"/>
      <c r="KL228" s="1"/>
      <c r="KM228" s="1"/>
      <c r="KN228" s="1"/>
      <c r="KO228" s="1"/>
      <c r="KP228" s="1"/>
      <c r="KQ228" s="1"/>
      <c r="KR228" s="1"/>
      <c r="KS228" s="1"/>
      <c r="KT228" s="1"/>
      <c r="KU228" s="1"/>
      <c r="KV228" s="1"/>
      <c r="KW228" s="1"/>
      <c r="KX228" s="1"/>
      <c r="KY228" s="1"/>
      <c r="KZ228" s="1"/>
      <c r="LA228" s="1"/>
      <c r="LB228" s="1"/>
      <c r="LC228" s="1"/>
      <c r="LD228" s="1"/>
      <c r="LE228" s="1"/>
      <c r="LF228" s="1"/>
      <c r="LG228" s="1"/>
      <c r="LH228" s="1"/>
      <c r="LI228" s="1"/>
      <c r="LJ228" s="1"/>
      <c r="LK228" s="1"/>
      <c r="LL228" s="1"/>
      <c r="LM228" s="1"/>
      <c r="LN228" s="1"/>
      <c r="LO228" s="1"/>
      <c r="LP228" s="1"/>
      <c r="LQ228" s="1"/>
      <c r="LR228" s="1"/>
      <c r="LS228" s="1"/>
    </row>
    <row r="229" spans="1:331" s="25" customFormat="1" x14ac:dyDescent="0.25">
      <c r="A229" s="25" t="s">
        <v>850</v>
      </c>
      <c r="B229" s="29" t="s">
        <v>851</v>
      </c>
      <c r="C229" s="13" t="s">
        <v>1650</v>
      </c>
      <c r="D229" s="25">
        <v>0</v>
      </c>
      <c r="H229" s="25" t="s">
        <v>852</v>
      </c>
      <c r="I229" s="25" t="s">
        <v>853</v>
      </c>
      <c r="J229" s="25" t="s">
        <v>852</v>
      </c>
      <c r="K229" s="25" t="s">
        <v>853</v>
      </c>
      <c r="L229" s="25">
        <v>0</v>
      </c>
      <c r="O229" s="25">
        <v>0</v>
      </c>
      <c r="Q229" s="1" t="s">
        <v>1134</v>
      </c>
      <c r="R229" s="1"/>
      <c r="S229" s="25">
        <v>12</v>
      </c>
      <c r="U229" s="25">
        <v>9</v>
      </c>
      <c r="W229" s="1">
        <v>12</v>
      </c>
      <c r="X229" s="1">
        <v>8</v>
      </c>
      <c r="Y229" s="1" t="s">
        <v>2224</v>
      </c>
      <c r="Z229" s="25">
        <v>5</v>
      </c>
      <c r="AA229" s="13" t="b">
        <v>1</v>
      </c>
      <c r="AB229" s="1" t="s">
        <v>1899</v>
      </c>
      <c r="AC229" s="57" t="s">
        <v>1299</v>
      </c>
      <c r="AD229" s="1"/>
      <c r="AE229" t="s">
        <v>1870</v>
      </c>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c r="LC229" s="1"/>
      <c r="LD229" s="1"/>
      <c r="LE229" s="1"/>
      <c r="LF229" s="1"/>
      <c r="LG229" s="1"/>
      <c r="LH229" s="1"/>
      <c r="LI229" s="1"/>
      <c r="LJ229" s="1"/>
      <c r="LK229" s="1"/>
      <c r="LL229" s="1"/>
      <c r="LM229" s="1"/>
      <c r="LN229" s="1"/>
      <c r="LO229" s="1"/>
      <c r="LP229" s="1"/>
      <c r="LQ229" s="1"/>
      <c r="LR229" s="1"/>
      <c r="LS229" s="1"/>
    </row>
    <row r="230" spans="1:331" s="25" customFormat="1" x14ac:dyDescent="0.25">
      <c r="A230" s="25" t="s">
        <v>854</v>
      </c>
      <c r="B230" s="29" t="s">
        <v>855</v>
      </c>
      <c r="C230" s="13" t="s">
        <v>1650</v>
      </c>
      <c r="D230" s="25">
        <v>0</v>
      </c>
      <c r="H230" s="25" t="s">
        <v>856</v>
      </c>
      <c r="I230" s="25" t="s">
        <v>80</v>
      </c>
      <c r="J230" s="25" t="s">
        <v>856</v>
      </c>
      <c r="K230" s="25" t="s">
        <v>80</v>
      </c>
      <c r="L230" s="25">
        <v>0</v>
      </c>
      <c r="O230" s="25">
        <v>0</v>
      </c>
      <c r="Q230" s="1" t="s">
        <v>1578</v>
      </c>
      <c r="R230" s="1"/>
      <c r="S230" s="25">
        <v>9</v>
      </c>
      <c r="U230" s="25">
        <v>10</v>
      </c>
      <c r="W230" s="1">
        <v>9</v>
      </c>
      <c r="X230" s="1">
        <v>11</v>
      </c>
      <c r="Y230" s="1" t="s">
        <v>2225</v>
      </c>
      <c r="Z230" s="25">
        <v>5</v>
      </c>
      <c r="AA230" s="13" t="b">
        <v>1</v>
      </c>
      <c r="AB230" s="1"/>
      <c r="AC230" s="57" t="s">
        <v>1297</v>
      </c>
      <c r="AD230" s="1"/>
      <c r="AE230" t="s">
        <v>1871</v>
      </c>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1"/>
      <c r="JF230" s="1"/>
      <c r="JG230" s="1"/>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c r="KN230" s="1"/>
      <c r="KO230" s="1"/>
      <c r="KP230" s="1"/>
      <c r="KQ230" s="1"/>
      <c r="KR230" s="1"/>
      <c r="KS230" s="1"/>
      <c r="KT230" s="1"/>
      <c r="KU230" s="1"/>
      <c r="KV230" s="1"/>
      <c r="KW230" s="1"/>
      <c r="KX230" s="1"/>
      <c r="KY230" s="1"/>
      <c r="KZ230" s="1"/>
      <c r="LA230" s="1"/>
      <c r="LB230" s="1"/>
      <c r="LC230" s="1"/>
      <c r="LD230" s="1"/>
      <c r="LE230" s="1"/>
      <c r="LF230" s="1"/>
      <c r="LG230" s="1"/>
      <c r="LH230" s="1"/>
      <c r="LI230" s="1"/>
      <c r="LJ230" s="1"/>
      <c r="LK230" s="1"/>
      <c r="LL230" s="1"/>
      <c r="LM230" s="1"/>
      <c r="LN230" s="1"/>
      <c r="LO230" s="1"/>
      <c r="LP230" s="1"/>
      <c r="LQ230" s="1"/>
      <c r="LR230" s="1"/>
      <c r="LS230" s="1"/>
    </row>
    <row r="231" spans="1:331" s="25" customFormat="1" x14ac:dyDescent="0.25">
      <c r="A231" s="25" t="s">
        <v>857</v>
      </c>
      <c r="B231" s="29" t="s">
        <v>858</v>
      </c>
      <c r="C231" s="13" t="s">
        <v>1650</v>
      </c>
      <c r="D231" s="25">
        <v>0</v>
      </c>
      <c r="H231" s="25" t="s">
        <v>859</v>
      </c>
      <c r="I231" s="25" t="s">
        <v>859</v>
      </c>
      <c r="J231" s="25" t="s">
        <v>859</v>
      </c>
      <c r="K231" s="25" t="s">
        <v>859</v>
      </c>
      <c r="L231" s="25">
        <v>0</v>
      </c>
      <c r="O231" s="25">
        <v>0</v>
      </c>
      <c r="Q231" s="1" t="s">
        <v>81</v>
      </c>
      <c r="R231" s="1"/>
      <c r="T231" s="25">
        <v>9</v>
      </c>
      <c r="V231" s="25">
        <v>11</v>
      </c>
      <c r="W231" s="1">
        <v>9</v>
      </c>
      <c r="X231" s="1">
        <v>10</v>
      </c>
      <c r="Y231" s="1" t="s">
        <v>2226</v>
      </c>
      <c r="Z231" s="25">
        <v>5</v>
      </c>
      <c r="AA231" s="13" t="b">
        <v>1</v>
      </c>
      <c r="AB231" s="1"/>
      <c r="AC231" s="57" t="s">
        <v>1340</v>
      </c>
      <c r="AD231" s="1"/>
      <c r="AE231" t="s">
        <v>1872</v>
      </c>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c r="LC231" s="1"/>
      <c r="LD231" s="1"/>
      <c r="LE231" s="1"/>
      <c r="LF231" s="1"/>
      <c r="LG231" s="1"/>
      <c r="LH231" s="1"/>
      <c r="LI231" s="1"/>
      <c r="LJ231" s="1"/>
      <c r="LK231" s="1"/>
      <c r="LL231" s="1"/>
      <c r="LM231" s="1"/>
      <c r="LN231" s="1"/>
      <c r="LO231" s="1"/>
      <c r="LP231" s="1"/>
      <c r="LQ231" s="1"/>
      <c r="LR231" s="1"/>
      <c r="LS231" s="1"/>
    </row>
    <row r="232" spans="1:331" s="30" customFormat="1" x14ac:dyDescent="0.25">
      <c r="A232" s="30" t="s">
        <v>860</v>
      </c>
      <c r="B232" s="34" t="s">
        <v>861</v>
      </c>
      <c r="C232" s="13" t="s">
        <v>1650</v>
      </c>
      <c r="D232" s="30">
        <v>1</v>
      </c>
      <c r="E232" s="30" t="s">
        <v>81</v>
      </c>
      <c r="H232" s="30" t="s">
        <v>862</v>
      </c>
      <c r="I232" s="30" t="s">
        <v>81</v>
      </c>
      <c r="J232" s="30" t="s">
        <v>862</v>
      </c>
      <c r="K232" s="30" t="s">
        <v>1702</v>
      </c>
      <c r="L232" s="30">
        <v>0</v>
      </c>
      <c r="O232" s="30">
        <v>0</v>
      </c>
      <c r="Q232" s="1" t="s">
        <v>1579</v>
      </c>
      <c r="R232" s="1"/>
      <c r="S232" s="30">
        <v>7</v>
      </c>
      <c r="U232" s="30">
        <v>8</v>
      </c>
      <c r="W232" s="1">
        <v>7</v>
      </c>
      <c r="X232" s="1">
        <v>9</v>
      </c>
      <c r="Y232" s="1" t="s">
        <v>2227</v>
      </c>
      <c r="Z232" s="30">
        <v>6</v>
      </c>
      <c r="AA232" s="13" t="b">
        <v>1</v>
      </c>
      <c r="AB232" s="1"/>
      <c r="AC232" s="57" t="s">
        <v>1387</v>
      </c>
      <c r="AD232" s="1"/>
      <c r="AE232" t="s">
        <v>1873</v>
      </c>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c r="IY232" s="1"/>
      <c r="IZ232" s="1"/>
      <c r="JA232" s="1"/>
      <c r="JB232" s="1"/>
      <c r="JC232" s="1"/>
      <c r="JD232" s="1"/>
      <c r="JE232" s="1"/>
      <c r="JF232" s="1"/>
      <c r="JG232" s="1"/>
      <c r="JH232" s="1"/>
      <c r="JI232" s="1"/>
      <c r="JJ232" s="1"/>
      <c r="JK232" s="1"/>
      <c r="JL232" s="1"/>
      <c r="JM232" s="1"/>
      <c r="JN232" s="1"/>
      <c r="JO232" s="1"/>
      <c r="JP232" s="1"/>
      <c r="JQ232" s="1"/>
      <c r="JR232" s="1"/>
      <c r="JS232" s="1"/>
      <c r="JT232" s="1"/>
      <c r="JU232" s="1"/>
      <c r="JV232" s="1"/>
      <c r="JW232" s="1"/>
      <c r="JX232" s="1"/>
      <c r="JY232" s="1"/>
      <c r="JZ232" s="1"/>
      <c r="KA232" s="1"/>
      <c r="KB232" s="1"/>
      <c r="KC232" s="1"/>
      <c r="KD232" s="1"/>
      <c r="KE232" s="1"/>
      <c r="KF232" s="1"/>
      <c r="KG232" s="1"/>
      <c r="KH232" s="1"/>
      <c r="KI232" s="1"/>
      <c r="KJ232" s="1"/>
      <c r="KK232" s="1"/>
      <c r="KL232" s="1"/>
      <c r="KM232" s="1"/>
      <c r="KN232" s="1"/>
      <c r="KO232" s="1"/>
      <c r="KP232" s="1"/>
      <c r="KQ232" s="1"/>
      <c r="KR232" s="1"/>
      <c r="KS232" s="1"/>
      <c r="KT232" s="1"/>
      <c r="KU232" s="1"/>
      <c r="KV232" s="1"/>
      <c r="KW232" s="1"/>
      <c r="KX232" s="1"/>
      <c r="KY232" s="1"/>
      <c r="KZ232" s="1"/>
      <c r="LA232" s="1"/>
      <c r="LB232" s="1"/>
      <c r="LC232" s="1"/>
      <c r="LD232" s="1"/>
      <c r="LE232" s="1"/>
      <c r="LF232" s="1"/>
      <c r="LG232" s="1"/>
      <c r="LH232" s="1"/>
      <c r="LI232" s="1"/>
      <c r="LJ232" s="1"/>
      <c r="LK232" s="1"/>
      <c r="LL232" s="1"/>
      <c r="LM232" s="1"/>
      <c r="LN232" s="1"/>
      <c r="LO232" s="1"/>
      <c r="LP232" s="1"/>
      <c r="LQ232" s="1"/>
      <c r="LR232" s="1"/>
      <c r="LS232" s="1"/>
    </row>
    <row r="233" spans="1:331" s="3" customFormat="1" x14ac:dyDescent="0.25">
      <c r="A233" s="3" t="s">
        <v>863</v>
      </c>
      <c r="B233" s="5" t="s">
        <v>864</v>
      </c>
      <c r="C233" s="13" t="s">
        <v>1650</v>
      </c>
      <c r="D233" s="3">
        <v>0</v>
      </c>
      <c r="H233" s="3" t="s">
        <v>839</v>
      </c>
      <c r="I233" s="3" t="s">
        <v>865</v>
      </c>
      <c r="J233" s="78">
        <v>43892</v>
      </c>
      <c r="K233" s="78" t="s">
        <v>840</v>
      </c>
      <c r="L233" s="3">
        <v>1</v>
      </c>
      <c r="M233" s="78">
        <v>43907</v>
      </c>
      <c r="O233" s="3">
        <v>1</v>
      </c>
      <c r="P233" s="3" t="s">
        <v>592</v>
      </c>
      <c r="Q233" s="1" t="s">
        <v>1580</v>
      </c>
      <c r="R233" s="1"/>
      <c r="T233" s="3">
        <v>16</v>
      </c>
      <c r="V233" s="3">
        <v>14</v>
      </c>
      <c r="W233" s="1">
        <v>16</v>
      </c>
      <c r="X233" s="1">
        <v>13</v>
      </c>
      <c r="Y233" s="1" t="s">
        <v>2228</v>
      </c>
      <c r="Z233" s="3">
        <v>1</v>
      </c>
      <c r="AA233" s="13" t="b">
        <v>1</v>
      </c>
      <c r="AB233" s="1"/>
      <c r="AC233" s="57" t="s">
        <v>1627</v>
      </c>
      <c r="AD233" s="1"/>
      <c r="AE233" t="s">
        <v>1874</v>
      </c>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c r="KD233" s="1"/>
      <c r="KE233" s="1"/>
      <c r="KF233" s="1"/>
      <c r="KG233" s="1"/>
      <c r="KH233" s="1"/>
      <c r="KI233" s="1"/>
      <c r="KJ233" s="1"/>
      <c r="KK233" s="1"/>
      <c r="KL233" s="1"/>
      <c r="KM233" s="1"/>
      <c r="KN233" s="1"/>
      <c r="KO233" s="1"/>
      <c r="KP233" s="1"/>
      <c r="KQ233" s="1"/>
      <c r="KR233" s="1"/>
      <c r="KS233" s="1"/>
      <c r="KT233" s="1"/>
      <c r="KU233" s="1"/>
      <c r="KV233" s="1"/>
      <c r="KW233" s="1"/>
      <c r="KX233" s="1"/>
      <c r="KY233" s="1"/>
      <c r="KZ233" s="1"/>
      <c r="LA233" s="1"/>
      <c r="LB233" s="1"/>
      <c r="LC233" s="1"/>
      <c r="LD233" s="1"/>
      <c r="LE233" s="1"/>
      <c r="LF233" s="1"/>
      <c r="LG233" s="1"/>
      <c r="LH233" s="1"/>
      <c r="LI233" s="1"/>
      <c r="LJ233" s="1"/>
      <c r="LK233" s="1"/>
      <c r="LL233" s="1"/>
      <c r="LM233" s="1"/>
      <c r="LN233" s="1"/>
      <c r="LO233" s="1"/>
      <c r="LP233" s="1"/>
      <c r="LQ233" s="1"/>
      <c r="LR233" s="1"/>
      <c r="LS233" s="1"/>
    </row>
    <row r="234" spans="1:331" s="17" customFormat="1" x14ac:dyDescent="0.25">
      <c r="A234" s="17" t="s">
        <v>867</v>
      </c>
      <c r="B234" s="21" t="s">
        <v>868</v>
      </c>
      <c r="C234" s="13" t="s">
        <v>1650</v>
      </c>
      <c r="D234" s="17">
        <v>1</v>
      </c>
      <c r="E234" s="17" t="s">
        <v>869</v>
      </c>
      <c r="H234" s="17" t="s">
        <v>869</v>
      </c>
      <c r="I234" s="17" t="s">
        <v>869</v>
      </c>
      <c r="J234" s="17" t="s">
        <v>869</v>
      </c>
      <c r="K234" s="17" t="s">
        <v>869</v>
      </c>
      <c r="L234" s="17">
        <v>1</v>
      </c>
      <c r="M234" s="17" t="s">
        <v>870</v>
      </c>
      <c r="O234" s="17">
        <v>1</v>
      </c>
      <c r="P234" s="17" t="s">
        <v>871</v>
      </c>
      <c r="Q234" s="1" t="s">
        <v>866</v>
      </c>
      <c r="R234" s="1"/>
      <c r="S234" s="17">
        <v>8</v>
      </c>
      <c r="W234" s="1">
        <v>8</v>
      </c>
      <c r="X234" s="1">
        <v>9</v>
      </c>
      <c r="Y234" s="1" t="s">
        <v>2229</v>
      </c>
      <c r="Z234" s="17">
        <v>3</v>
      </c>
      <c r="AA234" s="13" t="b">
        <v>1</v>
      </c>
      <c r="AB234" s="1" t="s">
        <v>1894</v>
      </c>
      <c r="AC234" s="57" t="s">
        <v>1720</v>
      </c>
      <c r="AD234" s="1"/>
      <c r="AE234" t="s">
        <v>1875</v>
      </c>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c r="KD234" s="1"/>
      <c r="KE234" s="1"/>
      <c r="KF234" s="1"/>
      <c r="KG234" s="1"/>
      <c r="KH234" s="1"/>
      <c r="KI234" s="1"/>
      <c r="KJ234" s="1"/>
      <c r="KK234" s="1"/>
      <c r="KL234" s="1"/>
      <c r="KM234" s="1"/>
      <c r="KN234" s="1"/>
      <c r="KO234" s="1"/>
      <c r="KP234" s="1"/>
      <c r="KQ234" s="1"/>
      <c r="KR234" s="1"/>
      <c r="KS234" s="1"/>
      <c r="KT234" s="1"/>
      <c r="KU234" s="1"/>
      <c r="KV234" s="1"/>
      <c r="KW234" s="1"/>
      <c r="KX234" s="1"/>
      <c r="KY234" s="1"/>
      <c r="KZ234" s="1"/>
      <c r="LA234" s="1"/>
      <c r="LB234" s="1"/>
      <c r="LC234" s="1"/>
      <c r="LD234" s="1"/>
      <c r="LE234" s="1"/>
      <c r="LF234" s="1"/>
      <c r="LG234" s="1"/>
      <c r="LH234" s="1"/>
      <c r="LI234" s="1"/>
      <c r="LJ234" s="1"/>
      <c r="LK234" s="1"/>
      <c r="LL234" s="1"/>
      <c r="LM234" s="1"/>
      <c r="LN234" s="1"/>
      <c r="LO234" s="1"/>
      <c r="LP234" s="1"/>
      <c r="LQ234" s="1"/>
      <c r="LR234" s="1"/>
      <c r="LS234" s="1"/>
    </row>
    <row r="235" spans="1:331" s="49" customFormat="1" x14ac:dyDescent="0.25">
      <c r="A235" s="49" t="s">
        <v>872</v>
      </c>
      <c r="B235" s="51" t="s">
        <v>873</v>
      </c>
      <c r="C235" s="13" t="s">
        <v>1650</v>
      </c>
      <c r="D235" s="49">
        <v>0</v>
      </c>
      <c r="H235" s="49" t="s">
        <v>91</v>
      </c>
      <c r="I235" s="49" t="s">
        <v>90</v>
      </c>
      <c r="J235" s="49" t="s">
        <v>91</v>
      </c>
      <c r="K235" s="49" t="s">
        <v>90</v>
      </c>
      <c r="L235" s="49">
        <v>0</v>
      </c>
      <c r="O235" s="49">
        <v>1</v>
      </c>
      <c r="Q235" s="1"/>
      <c r="R235" s="1" t="s">
        <v>874</v>
      </c>
      <c r="T235" s="49">
        <v>13</v>
      </c>
      <c r="V235" s="49">
        <v>12</v>
      </c>
      <c r="W235" s="1">
        <v>13</v>
      </c>
      <c r="X235" s="1">
        <v>17</v>
      </c>
      <c r="Y235" s="1" t="s">
        <v>2230</v>
      </c>
      <c r="Z235" s="49">
        <v>9</v>
      </c>
      <c r="AA235" s="13" t="b">
        <v>1</v>
      </c>
      <c r="AB235" s="1"/>
      <c r="AC235" s="57" t="s">
        <v>1426</v>
      </c>
      <c r="AD235" s="1"/>
      <c r="AE235" t="s">
        <v>1873</v>
      </c>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1"/>
      <c r="JF235" s="1"/>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c r="KE235" s="1"/>
      <c r="KF235" s="1"/>
      <c r="KG235" s="1"/>
      <c r="KH235" s="1"/>
      <c r="KI235" s="1"/>
      <c r="KJ235" s="1"/>
      <c r="KK235" s="1"/>
      <c r="KL235" s="1"/>
      <c r="KM235" s="1"/>
      <c r="KN235" s="1"/>
      <c r="KO235" s="1"/>
      <c r="KP235" s="1"/>
      <c r="KQ235" s="1"/>
      <c r="KR235" s="1"/>
      <c r="KS235" s="1"/>
      <c r="KT235" s="1"/>
      <c r="KU235" s="1"/>
      <c r="KV235" s="1"/>
      <c r="KW235" s="1"/>
      <c r="KX235" s="1"/>
      <c r="KY235" s="1"/>
      <c r="KZ235" s="1"/>
      <c r="LA235" s="1"/>
      <c r="LB235" s="1"/>
      <c r="LC235" s="1"/>
      <c r="LD235" s="1"/>
      <c r="LE235" s="1"/>
      <c r="LF235" s="1"/>
      <c r="LG235" s="1"/>
      <c r="LH235" s="1"/>
      <c r="LI235" s="1"/>
      <c r="LJ235" s="1"/>
      <c r="LK235" s="1"/>
      <c r="LL235" s="1"/>
      <c r="LM235" s="1"/>
      <c r="LN235" s="1"/>
      <c r="LO235" s="1"/>
      <c r="LP235" s="1"/>
      <c r="LQ235" s="1"/>
      <c r="LR235" s="1"/>
      <c r="LS235" s="1"/>
    </row>
    <row r="236" spans="1:331" s="40" customFormat="1" x14ac:dyDescent="0.25">
      <c r="A236" s="40" t="s">
        <v>875</v>
      </c>
      <c r="B236" s="44" t="s">
        <v>876</v>
      </c>
      <c r="C236" s="13" t="s">
        <v>1650</v>
      </c>
      <c r="D236" s="40">
        <v>0</v>
      </c>
      <c r="H236" s="40" t="s">
        <v>94</v>
      </c>
      <c r="I236" s="40" t="s">
        <v>93</v>
      </c>
      <c r="J236" s="40" t="s">
        <v>94</v>
      </c>
      <c r="K236" s="40" t="s">
        <v>94</v>
      </c>
      <c r="L236" s="40">
        <v>0</v>
      </c>
      <c r="O236" s="40">
        <v>1</v>
      </c>
      <c r="P236" s="40" t="s">
        <v>147</v>
      </c>
      <c r="Q236" s="1" t="s">
        <v>1485</v>
      </c>
      <c r="R236" s="1"/>
      <c r="S236" s="40">
        <v>33</v>
      </c>
      <c r="U236" s="40">
        <v>34</v>
      </c>
      <c r="W236" s="1">
        <v>33</v>
      </c>
      <c r="X236" s="1">
        <v>16</v>
      </c>
      <c r="Y236" s="1" t="s">
        <v>2231</v>
      </c>
      <c r="Z236" s="40">
        <v>8</v>
      </c>
      <c r="AA236" s="13" t="b">
        <v>1</v>
      </c>
      <c r="AB236" s="1"/>
      <c r="AC236" s="57" t="s">
        <v>1427</v>
      </c>
      <c r="AD236" s="1"/>
      <c r="AE236" t="s">
        <v>1876</v>
      </c>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c r="LC236" s="1"/>
      <c r="LD236" s="1"/>
      <c r="LE236" s="1"/>
      <c r="LF236" s="1"/>
      <c r="LG236" s="1"/>
      <c r="LH236" s="1"/>
      <c r="LI236" s="1"/>
      <c r="LJ236" s="1"/>
      <c r="LK236" s="1"/>
      <c r="LL236" s="1"/>
      <c r="LM236" s="1"/>
      <c r="LN236" s="1"/>
      <c r="LO236" s="1"/>
      <c r="LP236" s="1"/>
      <c r="LQ236" s="1"/>
      <c r="LR236" s="1"/>
      <c r="LS236" s="1"/>
    </row>
    <row r="237" spans="1:331" s="25" customFormat="1" x14ac:dyDescent="0.25">
      <c r="A237" s="25" t="s">
        <v>877</v>
      </c>
      <c r="B237" s="29" t="s">
        <v>878</v>
      </c>
      <c r="C237" s="13" t="s">
        <v>1650</v>
      </c>
      <c r="D237" s="25">
        <v>0</v>
      </c>
      <c r="H237" s="25" t="s">
        <v>87</v>
      </c>
      <c r="I237" s="25" t="s">
        <v>93</v>
      </c>
      <c r="J237" s="25" t="s">
        <v>87</v>
      </c>
      <c r="K237" s="25" t="s">
        <v>1703</v>
      </c>
      <c r="L237" s="25">
        <v>0</v>
      </c>
      <c r="O237" s="25">
        <v>0</v>
      </c>
      <c r="Q237" s="1" t="s">
        <v>1581</v>
      </c>
      <c r="R237" s="1"/>
      <c r="S237" s="25">
        <v>9</v>
      </c>
      <c r="U237" s="25">
        <v>9</v>
      </c>
      <c r="W237" s="1">
        <v>9</v>
      </c>
      <c r="X237" s="1">
        <v>7</v>
      </c>
      <c r="Y237" s="1" t="s">
        <v>2232</v>
      </c>
      <c r="Z237" s="25">
        <v>5</v>
      </c>
      <c r="AA237" s="13" t="b">
        <v>1</v>
      </c>
      <c r="AB237" s="1"/>
      <c r="AC237" s="57" t="s">
        <v>1297</v>
      </c>
      <c r="AD237" s="1"/>
      <c r="AE237" t="s">
        <v>1873</v>
      </c>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1"/>
      <c r="JC237" s="1"/>
      <c r="JD237" s="1"/>
      <c r="JE237" s="1"/>
      <c r="JF237" s="1"/>
      <c r="JG237" s="1"/>
      <c r="JH237" s="1"/>
      <c r="JI237" s="1"/>
      <c r="JJ237" s="1"/>
      <c r="JK237" s="1"/>
      <c r="JL237" s="1"/>
      <c r="JM237" s="1"/>
      <c r="JN237" s="1"/>
      <c r="JO237" s="1"/>
      <c r="JP237" s="1"/>
      <c r="JQ237" s="1"/>
      <c r="JR237" s="1"/>
      <c r="JS237" s="1"/>
      <c r="JT237" s="1"/>
      <c r="JU237" s="1"/>
      <c r="JV237" s="1"/>
      <c r="JW237" s="1"/>
      <c r="JX237" s="1"/>
      <c r="JY237" s="1"/>
      <c r="JZ237" s="1"/>
      <c r="KA237" s="1"/>
      <c r="KB237" s="1"/>
      <c r="KC237" s="1"/>
      <c r="KD237" s="1"/>
      <c r="KE237" s="1"/>
      <c r="KF237" s="1"/>
      <c r="KG237" s="1"/>
      <c r="KH237" s="1"/>
      <c r="KI237" s="1"/>
      <c r="KJ237" s="1"/>
      <c r="KK237" s="1"/>
      <c r="KL237" s="1"/>
      <c r="KM237" s="1"/>
      <c r="KN237" s="1"/>
      <c r="KO237" s="1"/>
      <c r="KP237" s="1"/>
      <c r="KQ237" s="1"/>
      <c r="KR237" s="1"/>
      <c r="KS237" s="1"/>
      <c r="KT237" s="1"/>
      <c r="KU237" s="1"/>
      <c r="KV237" s="1"/>
      <c r="KW237" s="1"/>
      <c r="KX237" s="1"/>
      <c r="KY237" s="1"/>
      <c r="KZ237" s="1"/>
      <c r="LA237" s="1"/>
      <c r="LB237" s="1"/>
      <c r="LC237" s="1"/>
      <c r="LD237" s="1"/>
      <c r="LE237" s="1"/>
      <c r="LF237" s="1"/>
      <c r="LG237" s="1"/>
      <c r="LH237" s="1"/>
      <c r="LI237" s="1"/>
      <c r="LJ237" s="1"/>
      <c r="LK237" s="1"/>
      <c r="LL237" s="1"/>
      <c r="LM237" s="1"/>
      <c r="LN237" s="1"/>
      <c r="LO237" s="1"/>
      <c r="LP237" s="1"/>
      <c r="LQ237" s="1"/>
      <c r="LR237" s="1"/>
      <c r="LS237" s="1"/>
    </row>
    <row r="238" spans="1:331" s="25" customFormat="1" x14ac:dyDescent="0.25">
      <c r="A238" s="25" t="s">
        <v>879</v>
      </c>
      <c r="B238" s="29" t="s">
        <v>880</v>
      </c>
      <c r="C238" s="13" t="s">
        <v>1650</v>
      </c>
      <c r="D238" s="25">
        <v>0</v>
      </c>
      <c r="H238" s="25" t="s">
        <v>881</v>
      </c>
      <c r="I238" s="25" t="s">
        <v>881</v>
      </c>
      <c r="J238" s="25" t="s">
        <v>882</v>
      </c>
      <c r="K238" s="25" t="s">
        <v>881</v>
      </c>
      <c r="L238" s="25">
        <v>0</v>
      </c>
      <c r="O238" s="25">
        <v>0</v>
      </c>
      <c r="Q238" s="1" t="s">
        <v>890</v>
      </c>
      <c r="R238" s="1"/>
      <c r="T238" s="25">
        <v>6</v>
      </c>
      <c r="W238" s="1">
        <v>6</v>
      </c>
      <c r="X238" s="1">
        <v>15</v>
      </c>
      <c r="Y238" s="1" t="s">
        <v>2233</v>
      </c>
      <c r="Z238" s="25">
        <v>5</v>
      </c>
      <c r="AA238" s="13" t="b">
        <v>1</v>
      </c>
      <c r="AB238" s="1"/>
      <c r="AC238" s="57" t="s">
        <v>1862</v>
      </c>
      <c r="AD238" s="1"/>
      <c r="AE238" t="s">
        <v>1873</v>
      </c>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c r="IY238" s="1"/>
      <c r="IZ238" s="1"/>
      <c r="JA238" s="1"/>
      <c r="JB238" s="1"/>
      <c r="JC238" s="1"/>
      <c r="JD238" s="1"/>
      <c r="JE238" s="1"/>
      <c r="JF238" s="1"/>
      <c r="JG238" s="1"/>
      <c r="JH238" s="1"/>
      <c r="JI238" s="1"/>
      <c r="JJ238" s="1"/>
      <c r="JK238" s="1"/>
      <c r="JL238" s="1"/>
      <c r="JM238" s="1"/>
      <c r="JN238" s="1"/>
      <c r="JO238" s="1"/>
      <c r="JP238" s="1"/>
      <c r="JQ238" s="1"/>
      <c r="JR238" s="1"/>
      <c r="JS238" s="1"/>
      <c r="JT238" s="1"/>
      <c r="JU238" s="1"/>
      <c r="JV238" s="1"/>
      <c r="JW238" s="1"/>
      <c r="JX238" s="1"/>
      <c r="JY238" s="1"/>
      <c r="JZ238" s="1"/>
      <c r="KA238" s="1"/>
      <c r="KB238" s="1"/>
      <c r="KC238" s="1"/>
      <c r="KD238" s="1"/>
      <c r="KE238" s="1"/>
      <c r="KF238" s="1"/>
      <c r="KG238" s="1"/>
      <c r="KH238" s="1"/>
      <c r="KI238" s="1"/>
      <c r="KJ238" s="1"/>
      <c r="KK238" s="1"/>
      <c r="KL238" s="1"/>
      <c r="KM238" s="1"/>
      <c r="KN238" s="1"/>
      <c r="KO238" s="1"/>
      <c r="KP238" s="1"/>
      <c r="KQ238" s="1"/>
      <c r="KR238" s="1"/>
      <c r="KS238" s="1"/>
      <c r="KT238" s="1"/>
      <c r="KU238" s="1"/>
      <c r="KV238" s="1"/>
      <c r="KW238" s="1"/>
      <c r="KX238" s="1"/>
      <c r="KY238" s="1"/>
      <c r="KZ238" s="1"/>
      <c r="LA238" s="1"/>
      <c r="LB238" s="1"/>
      <c r="LC238" s="1"/>
      <c r="LD238" s="1"/>
      <c r="LE238" s="1"/>
      <c r="LF238" s="1"/>
      <c r="LG238" s="1"/>
      <c r="LH238" s="1"/>
      <c r="LI238" s="1"/>
      <c r="LJ238" s="1"/>
      <c r="LK238" s="1"/>
      <c r="LL238" s="1"/>
      <c r="LM238" s="1"/>
      <c r="LN238" s="1"/>
      <c r="LO238" s="1"/>
      <c r="LP238" s="1"/>
      <c r="LQ238" s="1"/>
      <c r="LR238" s="1"/>
      <c r="LS238" s="1"/>
    </row>
    <row r="239" spans="1:331" s="25" customFormat="1" x14ac:dyDescent="0.25">
      <c r="A239" s="25" t="s">
        <v>883</v>
      </c>
      <c r="B239" s="29" t="s">
        <v>884</v>
      </c>
      <c r="C239" s="13" t="s">
        <v>1650</v>
      </c>
      <c r="D239" s="25">
        <v>0</v>
      </c>
      <c r="H239" s="25" t="s">
        <v>885</v>
      </c>
      <c r="I239" s="25" t="s">
        <v>886</v>
      </c>
      <c r="J239" s="25" t="s">
        <v>885</v>
      </c>
      <c r="K239" s="25" t="s">
        <v>886</v>
      </c>
      <c r="L239" s="25">
        <v>0</v>
      </c>
      <c r="O239" s="25">
        <v>0</v>
      </c>
      <c r="Q239" s="1" t="s">
        <v>889</v>
      </c>
      <c r="R239" s="1"/>
      <c r="S239" s="25">
        <v>14</v>
      </c>
      <c r="U239" s="25">
        <v>11</v>
      </c>
      <c r="W239" s="1">
        <v>14</v>
      </c>
      <c r="X239" s="1">
        <v>10</v>
      </c>
      <c r="Y239" s="1" t="s">
        <v>2234</v>
      </c>
      <c r="Z239" s="25">
        <v>5</v>
      </c>
      <c r="AA239" s="13" t="b">
        <v>1</v>
      </c>
      <c r="AB239" s="1" t="s">
        <v>1899</v>
      </c>
      <c r="AC239" s="57" t="s">
        <v>1903</v>
      </c>
      <c r="AD239" s="1"/>
      <c r="AE239" t="s">
        <v>1873</v>
      </c>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c r="IY239" s="1"/>
      <c r="IZ239" s="1"/>
      <c r="JA239" s="1"/>
      <c r="JB239" s="1"/>
      <c r="JC239" s="1"/>
      <c r="JD239" s="1"/>
      <c r="JE239" s="1"/>
      <c r="JF239" s="1"/>
      <c r="JG239" s="1"/>
      <c r="JH239" s="1"/>
      <c r="JI239" s="1"/>
      <c r="JJ239" s="1"/>
      <c r="JK239" s="1"/>
      <c r="JL239" s="1"/>
      <c r="JM239" s="1"/>
      <c r="JN239" s="1"/>
      <c r="JO239" s="1"/>
      <c r="JP239" s="1"/>
      <c r="JQ239" s="1"/>
      <c r="JR239" s="1"/>
      <c r="JS239" s="1"/>
      <c r="JT239" s="1"/>
      <c r="JU239" s="1"/>
      <c r="JV239" s="1"/>
      <c r="JW239" s="1"/>
      <c r="JX239" s="1"/>
      <c r="JY239" s="1"/>
      <c r="JZ239" s="1"/>
      <c r="KA239" s="1"/>
      <c r="KB239" s="1"/>
      <c r="KC239" s="1"/>
      <c r="KD239" s="1"/>
      <c r="KE239" s="1"/>
      <c r="KF239" s="1"/>
      <c r="KG239" s="1"/>
      <c r="KH239" s="1"/>
      <c r="KI239" s="1"/>
      <c r="KJ239" s="1"/>
      <c r="KK239" s="1"/>
      <c r="KL239" s="1"/>
      <c r="KM239" s="1"/>
      <c r="KN239" s="1"/>
      <c r="KO239" s="1"/>
      <c r="KP239" s="1"/>
      <c r="KQ239" s="1"/>
      <c r="KR239" s="1"/>
      <c r="KS239" s="1"/>
      <c r="KT239" s="1"/>
      <c r="KU239" s="1"/>
      <c r="KV239" s="1"/>
      <c r="KW239" s="1"/>
      <c r="KX239" s="1"/>
      <c r="KY239" s="1"/>
      <c r="KZ239" s="1"/>
      <c r="LA239" s="1"/>
      <c r="LB239" s="1"/>
      <c r="LC239" s="1"/>
      <c r="LD239" s="1"/>
      <c r="LE239" s="1"/>
      <c r="LF239" s="1"/>
      <c r="LG239" s="1"/>
      <c r="LH239" s="1"/>
      <c r="LI239" s="1"/>
      <c r="LJ239" s="1"/>
      <c r="LK239" s="1"/>
      <c r="LL239" s="1"/>
      <c r="LM239" s="1"/>
      <c r="LN239" s="1"/>
      <c r="LO239" s="1"/>
      <c r="LP239" s="1"/>
      <c r="LQ239" s="1"/>
      <c r="LR239" s="1"/>
      <c r="LS239" s="1"/>
    </row>
    <row r="240" spans="1:331" s="3" customFormat="1" x14ac:dyDescent="0.25">
      <c r="A240" s="3" t="s">
        <v>887</v>
      </c>
      <c r="B240" s="5" t="s">
        <v>888</v>
      </c>
      <c r="C240" s="13" t="s">
        <v>1650</v>
      </c>
      <c r="D240" s="3">
        <v>0</v>
      </c>
      <c r="H240" s="3" t="s">
        <v>874</v>
      </c>
      <c r="I240" s="3" t="s">
        <v>889</v>
      </c>
      <c r="J240" s="3" t="s">
        <v>874</v>
      </c>
      <c r="K240" s="3" t="s">
        <v>889</v>
      </c>
      <c r="L240" s="3">
        <v>1</v>
      </c>
      <c r="M240" s="3" t="s">
        <v>890</v>
      </c>
      <c r="O240" s="3">
        <v>1</v>
      </c>
      <c r="P240" s="3" t="s">
        <v>891</v>
      </c>
      <c r="Q240" s="1" t="s">
        <v>1582</v>
      </c>
      <c r="R240" s="1"/>
      <c r="S240" s="3">
        <v>15.5</v>
      </c>
      <c r="U240" s="3">
        <v>16</v>
      </c>
      <c r="W240" s="1">
        <v>16</v>
      </c>
      <c r="X240" s="1">
        <v>12</v>
      </c>
      <c r="Y240" s="1" t="s">
        <v>2235</v>
      </c>
      <c r="Z240" s="3">
        <v>1</v>
      </c>
      <c r="AA240" s="13" t="b">
        <v>1</v>
      </c>
      <c r="AB240" s="1"/>
      <c r="AC240" s="57" t="s">
        <v>1372</v>
      </c>
      <c r="AD240" s="1"/>
      <c r="AE240" t="s">
        <v>1877</v>
      </c>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c r="IY240" s="1"/>
      <c r="IZ240" s="1"/>
      <c r="JA240" s="1"/>
      <c r="JB240" s="1"/>
      <c r="JC240" s="1"/>
      <c r="JD240" s="1"/>
      <c r="JE240" s="1"/>
      <c r="JF240" s="1"/>
      <c r="JG240" s="1"/>
      <c r="JH240" s="1"/>
      <c r="JI240" s="1"/>
      <c r="JJ240" s="1"/>
      <c r="JK240" s="1"/>
      <c r="JL240" s="1"/>
      <c r="JM240" s="1"/>
      <c r="JN240" s="1"/>
      <c r="JO240" s="1"/>
      <c r="JP240" s="1"/>
      <c r="JQ240" s="1"/>
      <c r="JR240" s="1"/>
      <c r="JS240" s="1"/>
      <c r="JT240" s="1"/>
      <c r="JU240" s="1"/>
      <c r="JV240" s="1"/>
      <c r="JW240" s="1"/>
      <c r="JX240" s="1"/>
      <c r="JY240" s="1"/>
      <c r="JZ240" s="1"/>
      <c r="KA240" s="1"/>
      <c r="KB240" s="1"/>
      <c r="KC240" s="1"/>
      <c r="KD240" s="1"/>
      <c r="KE240" s="1"/>
      <c r="KF240" s="1"/>
      <c r="KG240" s="1"/>
      <c r="KH240" s="1"/>
      <c r="KI240" s="1"/>
      <c r="KJ240" s="1"/>
      <c r="KK240" s="1"/>
      <c r="KL240" s="1"/>
      <c r="KM240" s="1"/>
      <c r="KN240" s="1"/>
      <c r="KO240" s="1"/>
      <c r="KP240" s="1"/>
      <c r="KQ240" s="1"/>
      <c r="KR240" s="1"/>
      <c r="KS240" s="1"/>
      <c r="KT240" s="1"/>
      <c r="KU240" s="1"/>
      <c r="KV240" s="1"/>
      <c r="KW240" s="1"/>
      <c r="KX240" s="1"/>
      <c r="KY240" s="1"/>
      <c r="KZ240" s="1"/>
      <c r="LA240" s="1"/>
      <c r="LB240" s="1"/>
      <c r="LC240" s="1"/>
      <c r="LD240" s="1"/>
      <c r="LE240" s="1"/>
      <c r="LF240" s="1"/>
      <c r="LG240" s="1"/>
      <c r="LH240" s="1"/>
      <c r="LI240" s="1"/>
      <c r="LJ240" s="1"/>
      <c r="LK240" s="1"/>
      <c r="LL240" s="1"/>
      <c r="LM240" s="1"/>
      <c r="LN240" s="1"/>
      <c r="LO240" s="1"/>
      <c r="LP240" s="1"/>
      <c r="LQ240" s="1"/>
      <c r="LR240" s="1"/>
      <c r="LS240" s="1"/>
    </row>
    <row r="241" spans="1:331" s="40" customFormat="1" x14ac:dyDescent="0.25">
      <c r="A241" s="40" t="s">
        <v>892</v>
      </c>
      <c r="B241" s="44" t="s">
        <v>893</v>
      </c>
      <c r="C241" s="13" t="s">
        <v>1650</v>
      </c>
      <c r="D241" s="40">
        <v>0</v>
      </c>
      <c r="H241" s="40" t="s">
        <v>894</v>
      </c>
      <c r="I241" s="40" t="s">
        <v>889</v>
      </c>
      <c r="J241" s="44" t="s">
        <v>894</v>
      </c>
      <c r="K241" s="77" t="s">
        <v>889</v>
      </c>
      <c r="L241" s="40">
        <v>0</v>
      </c>
      <c r="O241" s="40">
        <v>1</v>
      </c>
      <c r="P241" s="40" t="s">
        <v>891</v>
      </c>
      <c r="Q241" s="13" t="s">
        <v>1996</v>
      </c>
      <c r="R241" s="1"/>
      <c r="S241" s="40">
        <v>5</v>
      </c>
      <c r="U241" s="40">
        <v>7</v>
      </c>
      <c r="W241" s="1">
        <v>5</v>
      </c>
      <c r="X241" s="1">
        <v>10</v>
      </c>
      <c r="Y241" s="1" t="s">
        <v>2236</v>
      </c>
      <c r="Z241" s="40">
        <v>8</v>
      </c>
      <c r="AA241" s="13" t="b">
        <v>1</v>
      </c>
      <c r="AB241" s="1" t="s">
        <v>1894</v>
      </c>
      <c r="AC241" s="57" t="s">
        <v>1997</v>
      </c>
      <c r="AD241" s="1"/>
      <c r="AE241" t="s">
        <v>1878</v>
      </c>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c r="IY241" s="1"/>
      <c r="IZ241" s="1"/>
      <c r="JA241" s="1"/>
      <c r="JB241" s="1"/>
      <c r="JC241" s="1"/>
      <c r="JD241" s="1"/>
      <c r="JE241" s="1"/>
      <c r="JF241" s="1"/>
      <c r="JG241" s="1"/>
      <c r="JH241" s="1"/>
      <c r="JI241" s="1"/>
      <c r="JJ241" s="1"/>
      <c r="JK241" s="1"/>
      <c r="JL241" s="1"/>
      <c r="JM241" s="1"/>
      <c r="JN241" s="1"/>
      <c r="JO241" s="1"/>
      <c r="JP241" s="1"/>
      <c r="JQ241" s="1"/>
      <c r="JR241" s="1"/>
      <c r="JS241" s="1"/>
      <c r="JT241" s="1"/>
      <c r="JU241" s="1"/>
      <c r="JV241" s="1"/>
      <c r="JW241" s="1"/>
      <c r="JX241" s="1"/>
      <c r="JY241" s="1"/>
      <c r="JZ241" s="1"/>
      <c r="KA241" s="1"/>
      <c r="KB241" s="1"/>
      <c r="KC241" s="1"/>
      <c r="KD241" s="1"/>
      <c r="KE241" s="1"/>
      <c r="KF241" s="1"/>
      <c r="KG241" s="1"/>
      <c r="KH241" s="1"/>
      <c r="KI241" s="1"/>
      <c r="KJ241" s="1"/>
      <c r="KK241" s="1"/>
      <c r="KL241" s="1"/>
      <c r="KM241" s="1"/>
      <c r="KN241" s="1"/>
      <c r="KO241" s="1"/>
      <c r="KP241" s="1"/>
      <c r="KQ241" s="1"/>
      <c r="KR241" s="1"/>
      <c r="KS241" s="1"/>
      <c r="KT241" s="1"/>
      <c r="KU241" s="1"/>
      <c r="KV241" s="1"/>
      <c r="KW241" s="1"/>
      <c r="KX241" s="1"/>
      <c r="KY241" s="1"/>
      <c r="KZ241" s="1"/>
      <c r="LA241" s="1"/>
      <c r="LB241" s="1"/>
      <c r="LC241" s="1"/>
      <c r="LD241" s="1"/>
      <c r="LE241" s="1"/>
      <c r="LF241" s="1"/>
      <c r="LG241" s="1"/>
      <c r="LH241" s="1"/>
      <c r="LI241" s="1"/>
      <c r="LJ241" s="1"/>
      <c r="LK241" s="1"/>
      <c r="LL241" s="1"/>
      <c r="LM241" s="1"/>
      <c r="LN241" s="1"/>
      <c r="LO241" s="1"/>
      <c r="LP241" s="1"/>
      <c r="LQ241" s="1"/>
      <c r="LR241" s="1"/>
      <c r="LS241" s="1"/>
    </row>
    <row r="242" spans="1:331" s="72" customFormat="1" x14ac:dyDescent="0.25">
      <c r="A242" s="72" t="s">
        <v>895</v>
      </c>
      <c r="B242" s="75" t="s">
        <v>896</v>
      </c>
      <c r="C242" s="13" t="s">
        <v>1650</v>
      </c>
      <c r="D242" s="72">
        <v>0</v>
      </c>
      <c r="H242" s="72" t="s">
        <v>897</v>
      </c>
      <c r="I242" s="72" t="s">
        <v>898</v>
      </c>
      <c r="J242" s="72" t="s">
        <v>897</v>
      </c>
      <c r="K242" s="72" t="s">
        <v>898</v>
      </c>
      <c r="L242" s="72">
        <v>0</v>
      </c>
      <c r="O242" s="72">
        <v>1</v>
      </c>
      <c r="P242" s="72" t="s">
        <v>543</v>
      </c>
      <c r="Q242" s="1"/>
      <c r="R242" s="1" t="s">
        <v>899</v>
      </c>
      <c r="S242" s="72">
        <v>7.7</v>
      </c>
      <c r="T242" s="72">
        <v>7</v>
      </c>
      <c r="V242" s="72">
        <v>8</v>
      </c>
      <c r="W242" s="1">
        <v>8</v>
      </c>
      <c r="X242" s="1">
        <v>11</v>
      </c>
      <c r="Y242" s="1" t="s">
        <v>2237</v>
      </c>
      <c r="Z242" s="72">
        <v>14</v>
      </c>
      <c r="AA242" s="13" t="b">
        <v>1</v>
      </c>
      <c r="AB242" s="1"/>
      <c r="AC242" s="57" t="s">
        <v>1431</v>
      </c>
      <c r="AD242" s="1"/>
      <c r="AE242" t="s">
        <v>1879</v>
      </c>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row>
    <row r="243" spans="1:331" s="3" customFormat="1" x14ac:dyDescent="0.25">
      <c r="A243" s="3" t="s">
        <v>900</v>
      </c>
      <c r="B243" s="5" t="s">
        <v>901</v>
      </c>
      <c r="C243" s="13" t="s">
        <v>1650</v>
      </c>
      <c r="D243" s="3">
        <v>0</v>
      </c>
      <c r="H243" s="3" t="s">
        <v>902</v>
      </c>
      <c r="I243" s="3" t="s">
        <v>252</v>
      </c>
      <c r="J243" s="3" t="s">
        <v>902</v>
      </c>
      <c r="K243" s="3" t="s">
        <v>252</v>
      </c>
      <c r="L243" s="3">
        <v>1</v>
      </c>
      <c r="M243" s="3" t="s">
        <v>206</v>
      </c>
      <c r="O243" s="3">
        <v>1</v>
      </c>
      <c r="P243" s="3" t="s">
        <v>903</v>
      </c>
      <c r="Q243" s="1" t="s">
        <v>772</v>
      </c>
      <c r="R243" s="1"/>
      <c r="S243" s="3">
        <v>13</v>
      </c>
      <c r="W243" s="1">
        <v>13</v>
      </c>
      <c r="X243" s="1">
        <v>10</v>
      </c>
      <c r="Y243" s="1" t="s">
        <v>2238</v>
      </c>
      <c r="Z243" s="3">
        <v>1</v>
      </c>
      <c r="AA243" s="13" t="b">
        <v>1</v>
      </c>
      <c r="AB243" s="1"/>
      <c r="AC243" s="57" t="s">
        <v>1373</v>
      </c>
      <c r="AD243" s="1"/>
      <c r="AE243" t="s">
        <v>1880</v>
      </c>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c r="IY243" s="1"/>
      <c r="IZ243" s="1"/>
      <c r="JA243" s="1"/>
      <c r="JB243" s="1"/>
      <c r="JC243" s="1"/>
      <c r="JD243" s="1"/>
      <c r="JE243" s="1"/>
      <c r="JF243" s="1"/>
      <c r="JG243" s="1"/>
      <c r="JH243" s="1"/>
      <c r="JI243" s="1"/>
      <c r="JJ243" s="1"/>
      <c r="JK243" s="1"/>
      <c r="JL243" s="1"/>
      <c r="JM243" s="1"/>
      <c r="JN243" s="1"/>
      <c r="JO243" s="1"/>
      <c r="JP243" s="1"/>
      <c r="JQ243" s="1"/>
      <c r="JR243" s="1"/>
      <c r="JS243" s="1"/>
      <c r="JT243" s="1"/>
      <c r="JU243" s="1"/>
      <c r="JV243" s="1"/>
      <c r="JW243" s="1"/>
      <c r="JX243" s="1"/>
      <c r="JY243" s="1"/>
      <c r="JZ243" s="1"/>
      <c r="KA243" s="1"/>
      <c r="KB243" s="1"/>
      <c r="KC243" s="1"/>
      <c r="KD243" s="1"/>
      <c r="KE243" s="1"/>
      <c r="KF243" s="1"/>
      <c r="KG243" s="1"/>
      <c r="KH243" s="1"/>
      <c r="KI243" s="1"/>
      <c r="KJ243" s="1"/>
      <c r="KK243" s="1"/>
      <c r="KL243" s="1"/>
      <c r="KM243" s="1"/>
      <c r="KN243" s="1"/>
      <c r="KO243" s="1"/>
      <c r="KP243" s="1"/>
      <c r="KQ243" s="1"/>
      <c r="KR243" s="1"/>
      <c r="KS243" s="1"/>
      <c r="KT243" s="1"/>
      <c r="KU243" s="1"/>
      <c r="KV243" s="1"/>
      <c r="KW243" s="1"/>
      <c r="KX243" s="1"/>
      <c r="KY243" s="1"/>
      <c r="KZ243" s="1"/>
      <c r="LA243" s="1"/>
      <c r="LB243" s="1"/>
      <c r="LC243" s="1"/>
      <c r="LD243" s="1"/>
      <c r="LE243" s="1"/>
      <c r="LF243" s="1"/>
      <c r="LG243" s="1"/>
      <c r="LH243" s="1"/>
      <c r="LI243" s="1"/>
      <c r="LJ243" s="1"/>
      <c r="LK243" s="1"/>
      <c r="LL243" s="1"/>
      <c r="LM243" s="1"/>
      <c r="LN243" s="1"/>
      <c r="LO243" s="1"/>
      <c r="LP243" s="1"/>
      <c r="LQ243" s="1"/>
      <c r="LR243" s="1"/>
      <c r="LS243" s="1"/>
    </row>
    <row r="244" spans="1:331" s="45" customFormat="1" x14ac:dyDescent="0.25">
      <c r="A244" s="45" t="s">
        <v>904</v>
      </c>
      <c r="B244" s="45" t="s">
        <v>905</v>
      </c>
      <c r="C244" s="1" t="s">
        <v>1650</v>
      </c>
      <c r="D244" s="45">
        <v>0</v>
      </c>
      <c r="H244" s="45" t="s">
        <v>906</v>
      </c>
      <c r="I244" s="45" t="s">
        <v>206</v>
      </c>
      <c r="J244" s="45" t="s">
        <v>906</v>
      </c>
      <c r="K244" s="45" t="s">
        <v>906</v>
      </c>
      <c r="L244" s="45">
        <v>0</v>
      </c>
      <c r="O244" s="45">
        <v>0</v>
      </c>
      <c r="Q244" s="1" t="s">
        <v>770</v>
      </c>
      <c r="R244" s="1"/>
      <c r="T244" s="45">
        <v>15</v>
      </c>
      <c r="V244" s="45">
        <v>15</v>
      </c>
      <c r="W244" s="1"/>
      <c r="X244" s="1"/>
      <c r="Y244" s="1"/>
      <c r="Z244" s="45">
        <v>-1</v>
      </c>
      <c r="AA244" s="13" t="b">
        <v>0</v>
      </c>
      <c r="AB244" s="1" t="s">
        <v>1893</v>
      </c>
      <c r="AC244" s="57" t="s">
        <v>1940</v>
      </c>
      <c r="AD244" s="1"/>
      <c r="AE244" t="s">
        <v>1881</v>
      </c>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c r="IY244" s="1"/>
      <c r="IZ244" s="1"/>
      <c r="JA244" s="1"/>
      <c r="JB244" s="1"/>
      <c r="JC244" s="1"/>
      <c r="JD244" s="1"/>
      <c r="JE244" s="1"/>
      <c r="JF244" s="1"/>
      <c r="JG244" s="1"/>
      <c r="JH244" s="1"/>
      <c r="JI244" s="1"/>
      <c r="JJ244" s="1"/>
      <c r="JK244" s="1"/>
      <c r="JL244" s="1"/>
      <c r="JM244" s="1"/>
      <c r="JN244" s="1"/>
      <c r="JO244" s="1"/>
      <c r="JP244" s="1"/>
      <c r="JQ244" s="1"/>
      <c r="JR244" s="1"/>
      <c r="JS244" s="1"/>
      <c r="JT244" s="1"/>
      <c r="JU244" s="1"/>
      <c r="JV244" s="1"/>
      <c r="JW244" s="1"/>
      <c r="JX244" s="1"/>
      <c r="JY244" s="1"/>
      <c r="JZ244" s="1"/>
      <c r="KA244" s="1"/>
      <c r="KB244" s="1"/>
      <c r="KC244" s="1"/>
      <c r="KD244" s="1"/>
      <c r="KE244" s="1"/>
      <c r="KF244" s="1"/>
      <c r="KG244" s="1"/>
      <c r="KH244" s="1"/>
      <c r="KI244" s="1"/>
      <c r="KJ244" s="1"/>
      <c r="KK244" s="1"/>
      <c r="KL244" s="1"/>
      <c r="KM244" s="1"/>
      <c r="KN244" s="1"/>
      <c r="KO244" s="1"/>
      <c r="KP244" s="1"/>
      <c r="KQ244" s="1"/>
      <c r="KR244" s="1"/>
      <c r="KS244" s="1"/>
      <c r="KT244" s="1"/>
      <c r="KU244" s="1"/>
      <c r="KV244" s="1"/>
      <c r="KW244" s="1"/>
      <c r="KX244" s="1"/>
      <c r="KY244" s="1"/>
      <c r="KZ244" s="1"/>
      <c r="LA244" s="1"/>
      <c r="LB244" s="1"/>
      <c r="LC244" s="1"/>
      <c r="LD244" s="1"/>
      <c r="LE244" s="1"/>
      <c r="LF244" s="1"/>
      <c r="LG244" s="1"/>
      <c r="LH244" s="1"/>
      <c r="LI244" s="1"/>
      <c r="LJ244" s="1"/>
      <c r="LK244" s="1"/>
      <c r="LL244" s="1"/>
      <c r="LM244" s="1"/>
      <c r="LN244" s="1"/>
      <c r="LO244" s="1"/>
      <c r="LP244" s="1"/>
      <c r="LQ244" s="1"/>
      <c r="LR244" s="1"/>
      <c r="LS244" s="1"/>
    </row>
    <row r="245" spans="1:331" s="25" customFormat="1" x14ac:dyDescent="0.25">
      <c r="A245" s="25" t="s">
        <v>907</v>
      </c>
      <c r="B245" s="29" t="s">
        <v>908</v>
      </c>
      <c r="C245" s="13" t="s">
        <v>1650</v>
      </c>
      <c r="D245" s="25">
        <v>0</v>
      </c>
      <c r="H245" s="25" t="s">
        <v>903</v>
      </c>
      <c r="I245" s="25" t="s">
        <v>354</v>
      </c>
      <c r="J245" s="25" t="s">
        <v>903</v>
      </c>
      <c r="K245" s="25" t="s">
        <v>1519</v>
      </c>
      <c r="L245" s="25">
        <v>0</v>
      </c>
      <c r="O245" s="25">
        <v>0</v>
      </c>
      <c r="Q245" s="1" t="s">
        <v>1583</v>
      </c>
      <c r="R245" s="1"/>
      <c r="T245" s="25">
        <v>6</v>
      </c>
      <c r="V245" s="25">
        <v>7</v>
      </c>
      <c r="W245" s="1">
        <v>6</v>
      </c>
      <c r="X245" s="1">
        <v>12</v>
      </c>
      <c r="Y245" s="1" t="s">
        <v>2239</v>
      </c>
      <c r="Z245" s="25">
        <v>5</v>
      </c>
      <c r="AA245" s="13" t="b">
        <v>1</v>
      </c>
      <c r="AB245" s="1"/>
      <c r="AC245" s="57" t="s">
        <v>1298</v>
      </c>
      <c r="AD245" s="1"/>
      <c r="AE245" t="s">
        <v>1882</v>
      </c>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c r="IY245" s="1"/>
      <c r="IZ245" s="1"/>
      <c r="JA245" s="1"/>
      <c r="JB245" s="1"/>
      <c r="JC245" s="1"/>
      <c r="JD245" s="1"/>
      <c r="JE245" s="1"/>
      <c r="JF245" s="1"/>
      <c r="JG245" s="1"/>
      <c r="JH245" s="1"/>
      <c r="JI245" s="1"/>
      <c r="JJ245" s="1"/>
      <c r="JK245" s="1"/>
      <c r="JL245" s="1"/>
      <c r="JM245" s="1"/>
      <c r="JN245" s="1"/>
      <c r="JO245" s="1"/>
      <c r="JP245" s="1"/>
      <c r="JQ245" s="1"/>
      <c r="JR245" s="1"/>
      <c r="JS245" s="1"/>
      <c r="JT245" s="1"/>
      <c r="JU245" s="1"/>
      <c r="JV245" s="1"/>
      <c r="JW245" s="1"/>
      <c r="JX245" s="1"/>
      <c r="JY245" s="1"/>
      <c r="JZ245" s="1"/>
      <c r="KA245" s="1"/>
      <c r="KB245" s="1"/>
      <c r="KC245" s="1"/>
      <c r="KD245" s="1"/>
      <c r="KE245" s="1"/>
      <c r="KF245" s="1"/>
      <c r="KG245" s="1"/>
      <c r="KH245" s="1"/>
      <c r="KI245" s="1"/>
      <c r="KJ245" s="1"/>
      <c r="KK245" s="1"/>
      <c r="KL245" s="1"/>
      <c r="KM245" s="1"/>
      <c r="KN245" s="1"/>
      <c r="KO245" s="1"/>
      <c r="KP245" s="1"/>
      <c r="KQ245" s="1"/>
      <c r="KR245" s="1"/>
      <c r="KS245" s="1"/>
      <c r="KT245" s="1"/>
      <c r="KU245" s="1"/>
      <c r="KV245" s="1"/>
      <c r="KW245" s="1"/>
      <c r="KX245" s="1"/>
      <c r="KY245" s="1"/>
      <c r="KZ245" s="1"/>
      <c r="LA245" s="1"/>
      <c r="LB245" s="1"/>
      <c r="LC245" s="1"/>
      <c r="LD245" s="1"/>
      <c r="LE245" s="1"/>
      <c r="LF245" s="1"/>
      <c r="LG245" s="1"/>
      <c r="LH245" s="1"/>
      <c r="LI245" s="1"/>
      <c r="LJ245" s="1"/>
      <c r="LK245" s="1"/>
      <c r="LL245" s="1"/>
      <c r="LM245" s="1"/>
      <c r="LN245" s="1"/>
      <c r="LO245" s="1"/>
      <c r="LP245" s="1"/>
      <c r="LQ245" s="1"/>
      <c r="LR245" s="1"/>
      <c r="LS245" s="1"/>
    </row>
    <row r="246" spans="1:331" s="72" customFormat="1" x14ac:dyDescent="0.25">
      <c r="A246" s="72" t="s">
        <v>909</v>
      </c>
      <c r="B246" s="75" t="s">
        <v>910</v>
      </c>
      <c r="C246" s="13" t="s">
        <v>1650</v>
      </c>
      <c r="D246" s="72">
        <v>0</v>
      </c>
      <c r="H246" s="72" t="s">
        <v>903</v>
      </c>
      <c r="I246" s="72" t="s">
        <v>206</v>
      </c>
      <c r="J246" s="72" t="s">
        <v>903</v>
      </c>
      <c r="K246" s="72" t="s">
        <v>206</v>
      </c>
      <c r="L246" s="72">
        <v>0</v>
      </c>
      <c r="O246" s="72">
        <v>1</v>
      </c>
      <c r="P246" s="72" t="s">
        <v>911</v>
      </c>
      <c r="Q246" s="1"/>
      <c r="R246" s="1" t="s">
        <v>912</v>
      </c>
      <c r="T246" s="72">
        <v>17</v>
      </c>
      <c r="V246" s="72">
        <v>18</v>
      </c>
      <c r="W246" s="1">
        <v>17</v>
      </c>
      <c r="X246" s="1">
        <v>18</v>
      </c>
      <c r="Y246" s="1" t="s">
        <v>2240</v>
      </c>
      <c r="Z246" s="72">
        <v>14</v>
      </c>
      <c r="AA246" s="13" t="b">
        <v>1</v>
      </c>
      <c r="AB246" s="1"/>
      <c r="AC246" s="57" t="s">
        <v>1858</v>
      </c>
      <c r="AD246" s="1"/>
      <c r="AE246" t="s">
        <v>1883</v>
      </c>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row>
    <row r="247" spans="1:331" s="40" customFormat="1" x14ac:dyDescent="0.25">
      <c r="A247" s="40" t="s">
        <v>913</v>
      </c>
      <c r="B247" s="44" t="s">
        <v>914</v>
      </c>
      <c r="C247" s="13" t="s">
        <v>1650</v>
      </c>
      <c r="D247" s="40">
        <v>0</v>
      </c>
      <c r="H247" s="40" t="s">
        <v>915</v>
      </c>
      <c r="I247" s="40" t="s">
        <v>345</v>
      </c>
      <c r="J247" s="40" t="s">
        <v>530</v>
      </c>
      <c r="K247" s="40" t="s">
        <v>903</v>
      </c>
      <c r="L247" s="40">
        <v>0</v>
      </c>
      <c r="O247" s="40">
        <v>1</v>
      </c>
      <c r="P247" s="40" t="s">
        <v>526</v>
      </c>
      <c r="Q247" s="1" t="s">
        <v>119</v>
      </c>
      <c r="R247" s="1"/>
      <c r="S247" s="40">
        <v>22</v>
      </c>
      <c r="V247" s="40">
        <v>20</v>
      </c>
      <c r="W247" s="1">
        <v>22</v>
      </c>
      <c r="X247" s="1">
        <v>20</v>
      </c>
      <c r="Y247" s="1" t="s">
        <v>2241</v>
      </c>
      <c r="Z247" s="40">
        <v>8</v>
      </c>
      <c r="AA247" s="13" t="b">
        <v>1</v>
      </c>
      <c r="AB247" s="1"/>
      <c r="AC247" s="57" t="s">
        <v>1394</v>
      </c>
      <c r="AD247" s="1"/>
      <c r="AE247" t="s">
        <v>1884</v>
      </c>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c r="IY247" s="1"/>
      <c r="IZ247" s="1"/>
      <c r="JA247" s="1"/>
      <c r="JB247" s="1"/>
      <c r="JC247" s="1"/>
      <c r="JD247" s="1"/>
      <c r="JE247" s="1"/>
      <c r="JF247" s="1"/>
      <c r="JG247" s="1"/>
      <c r="JH247" s="1"/>
      <c r="JI247" s="1"/>
      <c r="JJ247" s="1"/>
      <c r="JK247" s="1"/>
      <c r="JL247" s="1"/>
      <c r="JM247" s="1"/>
      <c r="JN247" s="1"/>
      <c r="JO247" s="1"/>
      <c r="JP247" s="1"/>
      <c r="JQ247" s="1"/>
      <c r="JR247" s="1"/>
      <c r="JS247" s="1"/>
      <c r="JT247" s="1"/>
      <c r="JU247" s="1"/>
      <c r="JV247" s="1"/>
      <c r="JW247" s="1"/>
      <c r="JX247" s="1"/>
      <c r="JY247" s="1"/>
      <c r="JZ247" s="1"/>
      <c r="KA247" s="1"/>
      <c r="KB247" s="1"/>
      <c r="KC247" s="1"/>
      <c r="KD247" s="1"/>
      <c r="KE247" s="1"/>
      <c r="KF247" s="1"/>
      <c r="KG247" s="1"/>
      <c r="KH247" s="1"/>
      <c r="KI247" s="1"/>
      <c r="KJ247" s="1"/>
      <c r="KK247" s="1"/>
      <c r="KL247" s="1"/>
      <c r="KM247" s="1"/>
      <c r="KN247" s="1"/>
      <c r="KO247" s="1"/>
      <c r="KP247" s="1"/>
      <c r="KQ247" s="1"/>
      <c r="KR247" s="1"/>
      <c r="KS247" s="1"/>
      <c r="KT247" s="1"/>
      <c r="KU247" s="1"/>
      <c r="KV247" s="1"/>
      <c r="KW247" s="1"/>
      <c r="KX247" s="1"/>
      <c r="KY247" s="1"/>
      <c r="KZ247" s="1"/>
      <c r="LA247" s="1"/>
      <c r="LB247" s="1"/>
      <c r="LC247" s="1"/>
      <c r="LD247" s="1"/>
      <c r="LE247" s="1"/>
      <c r="LF247" s="1"/>
      <c r="LG247" s="1"/>
      <c r="LH247" s="1"/>
      <c r="LI247" s="1"/>
      <c r="LJ247" s="1"/>
      <c r="LK247" s="1"/>
      <c r="LL247" s="1"/>
      <c r="LM247" s="1"/>
      <c r="LN247" s="1"/>
      <c r="LO247" s="1"/>
      <c r="LP247" s="1"/>
      <c r="LQ247" s="1"/>
      <c r="LR247" s="1"/>
      <c r="LS247" s="1"/>
    </row>
    <row r="248" spans="1:331" s="40" customFormat="1" x14ac:dyDescent="0.25">
      <c r="A248" s="40" t="s">
        <v>916</v>
      </c>
      <c r="B248" s="44" t="s">
        <v>917</v>
      </c>
      <c r="C248" s="13" t="s">
        <v>1650</v>
      </c>
      <c r="D248" s="40">
        <v>0</v>
      </c>
      <c r="H248" s="40" t="s">
        <v>247</v>
      </c>
      <c r="I248" s="40" t="s">
        <v>255</v>
      </c>
      <c r="J248" s="40" t="s">
        <v>247</v>
      </c>
      <c r="K248" s="40" t="s">
        <v>255</v>
      </c>
      <c r="L248" s="40">
        <v>0</v>
      </c>
      <c r="O248" s="40">
        <v>1</v>
      </c>
      <c r="P248" s="40" t="s">
        <v>918</v>
      </c>
      <c r="Q248" s="1" t="s">
        <v>1584</v>
      </c>
      <c r="R248" s="1"/>
      <c r="T248" s="40">
        <v>15</v>
      </c>
      <c r="V248" s="40">
        <v>15</v>
      </c>
      <c r="W248" s="1">
        <v>15</v>
      </c>
      <c r="X248" s="1">
        <v>14</v>
      </c>
      <c r="Y248" s="1" t="s">
        <v>2242</v>
      </c>
      <c r="Z248" s="40">
        <v>8</v>
      </c>
      <c r="AA248" s="13" t="b">
        <v>1</v>
      </c>
      <c r="AB248" s="1"/>
      <c r="AC248" s="57" t="s">
        <v>1425</v>
      </c>
      <c r="AD248" s="1"/>
      <c r="AE248" t="s">
        <v>1885</v>
      </c>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c r="IY248" s="1"/>
      <c r="IZ248" s="1"/>
      <c r="JA248" s="1"/>
      <c r="JB248" s="1"/>
      <c r="JC248" s="1"/>
      <c r="JD248" s="1"/>
      <c r="JE248" s="1"/>
      <c r="JF248" s="1"/>
      <c r="JG248" s="1"/>
      <c r="JH248" s="1"/>
      <c r="JI248" s="1"/>
      <c r="JJ248" s="1"/>
      <c r="JK248" s="1"/>
      <c r="JL248" s="1"/>
      <c r="JM248" s="1"/>
      <c r="JN248" s="1"/>
      <c r="JO248" s="1"/>
      <c r="JP248" s="1"/>
      <c r="JQ248" s="1"/>
      <c r="JR248" s="1"/>
      <c r="JS248" s="1"/>
      <c r="JT248" s="1"/>
      <c r="JU248" s="1"/>
      <c r="JV248" s="1"/>
      <c r="JW248" s="1"/>
      <c r="JX248" s="1"/>
      <c r="JY248" s="1"/>
      <c r="JZ248" s="1"/>
      <c r="KA248" s="1"/>
      <c r="KB248" s="1"/>
      <c r="KC248" s="1"/>
      <c r="KD248" s="1"/>
      <c r="KE248" s="1"/>
      <c r="KF248" s="1"/>
      <c r="KG248" s="1"/>
      <c r="KH248" s="1"/>
      <c r="KI248" s="1"/>
      <c r="KJ248" s="1"/>
      <c r="KK248" s="1"/>
      <c r="KL248" s="1"/>
      <c r="KM248" s="1"/>
      <c r="KN248" s="1"/>
      <c r="KO248" s="1"/>
      <c r="KP248" s="1"/>
      <c r="KQ248" s="1"/>
      <c r="KR248" s="1"/>
      <c r="KS248" s="1"/>
      <c r="KT248" s="1"/>
      <c r="KU248" s="1"/>
      <c r="KV248" s="1"/>
      <c r="KW248" s="1"/>
      <c r="KX248" s="1"/>
      <c r="KY248" s="1"/>
      <c r="KZ248" s="1"/>
      <c r="LA248" s="1"/>
      <c r="LB248" s="1"/>
      <c r="LC248" s="1"/>
      <c r="LD248" s="1"/>
      <c r="LE248" s="1"/>
      <c r="LF248" s="1"/>
      <c r="LG248" s="1"/>
      <c r="LH248" s="1"/>
      <c r="LI248" s="1"/>
      <c r="LJ248" s="1"/>
      <c r="LK248" s="1"/>
      <c r="LL248" s="1"/>
      <c r="LM248" s="1"/>
      <c r="LN248" s="1"/>
      <c r="LO248" s="1"/>
      <c r="LP248" s="1"/>
      <c r="LQ248" s="1"/>
      <c r="LR248" s="1"/>
      <c r="LS248" s="1"/>
    </row>
    <row r="249" spans="1:331" s="25" customFormat="1" x14ac:dyDescent="0.25">
      <c r="A249" s="25" t="s">
        <v>919</v>
      </c>
      <c r="B249" s="29" t="s">
        <v>920</v>
      </c>
      <c r="C249" s="13" t="s">
        <v>1650</v>
      </c>
      <c r="D249" s="25">
        <v>0</v>
      </c>
      <c r="H249" s="25" t="s">
        <v>776</v>
      </c>
      <c r="I249" s="25" t="s">
        <v>918</v>
      </c>
      <c r="J249" s="25" t="s">
        <v>776</v>
      </c>
      <c r="K249" s="25" t="s">
        <v>245</v>
      </c>
      <c r="L249" s="25">
        <v>0</v>
      </c>
      <c r="O249" s="25">
        <v>1</v>
      </c>
      <c r="Q249" s="13" t="s">
        <v>1584</v>
      </c>
      <c r="R249" s="1"/>
      <c r="T249" s="25">
        <v>20</v>
      </c>
      <c r="V249" s="25">
        <v>11</v>
      </c>
      <c r="W249" s="1">
        <v>20</v>
      </c>
      <c r="X249" s="1">
        <v>10</v>
      </c>
      <c r="Y249" s="1" t="s">
        <v>2243</v>
      </c>
      <c r="Z249" s="25">
        <v>5</v>
      </c>
      <c r="AA249" s="13" t="b">
        <v>1</v>
      </c>
      <c r="AB249" s="1" t="s">
        <v>1898</v>
      </c>
      <c r="AC249" s="57" t="s">
        <v>1998</v>
      </c>
      <c r="AD249" s="1"/>
      <c r="AE249" t="s">
        <v>1886</v>
      </c>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1"/>
      <c r="JF249" s="1"/>
      <c r="JG249" s="1"/>
      <c r="JH249" s="1"/>
      <c r="JI249" s="1"/>
      <c r="JJ249" s="1"/>
      <c r="JK249" s="1"/>
      <c r="JL249" s="1"/>
      <c r="JM249" s="1"/>
      <c r="JN249" s="1"/>
      <c r="JO249" s="1"/>
      <c r="JP249" s="1"/>
      <c r="JQ249" s="1"/>
      <c r="JR249" s="1"/>
      <c r="JS249" s="1"/>
      <c r="JT249" s="1"/>
      <c r="JU249" s="1"/>
      <c r="JV249" s="1"/>
      <c r="JW249" s="1"/>
      <c r="JX249" s="1"/>
      <c r="JY249" s="1"/>
      <c r="JZ249" s="1"/>
      <c r="KA249" s="1"/>
      <c r="KB249" s="1"/>
      <c r="KC249" s="1"/>
      <c r="KD249" s="1"/>
      <c r="KE249" s="1"/>
      <c r="KF249" s="1"/>
      <c r="KG249" s="1"/>
      <c r="KH249" s="1"/>
      <c r="KI249" s="1"/>
      <c r="KJ249" s="1"/>
      <c r="KK249" s="1"/>
      <c r="KL249" s="1"/>
      <c r="KM249" s="1"/>
      <c r="KN249" s="1"/>
      <c r="KO249" s="1"/>
      <c r="KP249" s="1"/>
      <c r="KQ249" s="1"/>
      <c r="KR249" s="1"/>
      <c r="KS249" s="1"/>
      <c r="KT249" s="1"/>
      <c r="KU249" s="1"/>
      <c r="KV249" s="1"/>
      <c r="KW249" s="1"/>
      <c r="KX249" s="1"/>
      <c r="KY249" s="1"/>
      <c r="KZ249" s="1"/>
      <c r="LA249" s="1"/>
      <c r="LB249" s="1"/>
      <c r="LC249" s="1"/>
      <c r="LD249" s="1"/>
      <c r="LE249" s="1"/>
      <c r="LF249" s="1"/>
      <c r="LG249" s="1"/>
      <c r="LH249" s="1"/>
      <c r="LI249" s="1"/>
      <c r="LJ249" s="1"/>
      <c r="LK249" s="1"/>
      <c r="LL249" s="1"/>
      <c r="LM249" s="1"/>
      <c r="LN249" s="1"/>
      <c r="LO249" s="1"/>
      <c r="LP249" s="1"/>
      <c r="LQ249" s="1"/>
      <c r="LR249" s="1"/>
      <c r="LS249" s="1"/>
    </row>
    <row r="250" spans="1:331" s="72" customFormat="1" x14ac:dyDescent="0.25">
      <c r="A250" s="72" t="s">
        <v>921</v>
      </c>
      <c r="B250" s="75" t="s">
        <v>922</v>
      </c>
      <c r="C250" s="13" t="s">
        <v>1650</v>
      </c>
      <c r="D250" s="72">
        <v>0</v>
      </c>
      <c r="H250" s="72" t="s">
        <v>923</v>
      </c>
      <c r="I250" s="72" t="s">
        <v>924</v>
      </c>
      <c r="J250" s="72" t="s">
        <v>923</v>
      </c>
      <c r="K250" s="75" t="s">
        <v>924</v>
      </c>
      <c r="L250" s="72">
        <v>0</v>
      </c>
      <c r="O250" s="72">
        <v>1</v>
      </c>
      <c r="P250" s="76">
        <v>44585</v>
      </c>
      <c r="Q250" s="1"/>
      <c r="R250" s="13" t="s">
        <v>235</v>
      </c>
      <c r="T250" s="72">
        <v>27</v>
      </c>
      <c r="V250" s="72">
        <v>23</v>
      </c>
      <c r="W250" s="1">
        <v>27</v>
      </c>
      <c r="X250" s="1">
        <v>18</v>
      </c>
      <c r="Y250" s="1" t="s">
        <v>2244</v>
      </c>
      <c r="Z250" s="72">
        <v>14</v>
      </c>
      <c r="AA250" s="13" t="b">
        <v>1</v>
      </c>
      <c r="AB250" s="1"/>
      <c r="AC250" s="57" t="s">
        <v>1625</v>
      </c>
      <c r="AD250" s="1"/>
      <c r="AE250" t="s">
        <v>1886</v>
      </c>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row>
    <row r="251" spans="1:331" s="25" customFormat="1" x14ac:dyDescent="0.25">
      <c r="A251" s="25" t="s">
        <v>925</v>
      </c>
      <c r="B251" s="29" t="s">
        <v>926</v>
      </c>
      <c r="C251" s="13" t="s">
        <v>1650</v>
      </c>
      <c r="D251" s="25">
        <v>0</v>
      </c>
      <c r="H251" s="25" t="s">
        <v>927</v>
      </c>
      <c r="I251" s="25" t="s">
        <v>928</v>
      </c>
      <c r="J251" s="25" t="s">
        <v>927</v>
      </c>
      <c r="K251" s="25" t="s">
        <v>928</v>
      </c>
      <c r="L251" s="25">
        <v>0</v>
      </c>
      <c r="O251" s="25">
        <v>0</v>
      </c>
      <c r="Q251" s="1" t="s">
        <v>336</v>
      </c>
      <c r="R251" s="1"/>
      <c r="T251" s="25">
        <v>9</v>
      </c>
      <c r="V251" s="25">
        <v>8</v>
      </c>
      <c r="W251" s="1">
        <v>9</v>
      </c>
      <c r="X251" s="1">
        <v>10</v>
      </c>
      <c r="Y251" s="1" t="s">
        <v>2245</v>
      </c>
      <c r="Z251" s="25">
        <v>5</v>
      </c>
      <c r="AA251" s="13" t="b">
        <v>1</v>
      </c>
      <c r="AB251" s="1"/>
      <c r="AC251" s="57" t="s">
        <v>1352</v>
      </c>
      <c r="AD251" s="1"/>
      <c r="AE251" t="s">
        <v>1886</v>
      </c>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c r="IY251" s="1"/>
      <c r="IZ251" s="1"/>
      <c r="JA251" s="1"/>
      <c r="JB251" s="1"/>
      <c r="JC251" s="1"/>
      <c r="JD251" s="1"/>
      <c r="JE251" s="1"/>
      <c r="JF251" s="1"/>
      <c r="JG251" s="1"/>
      <c r="JH251" s="1"/>
      <c r="JI251" s="1"/>
      <c r="JJ251" s="1"/>
      <c r="JK251" s="1"/>
      <c r="JL251" s="1"/>
      <c r="JM251" s="1"/>
      <c r="JN251" s="1"/>
      <c r="JO251" s="1"/>
      <c r="JP251" s="1"/>
      <c r="JQ251" s="1"/>
      <c r="JR251" s="1"/>
      <c r="JS251" s="1"/>
      <c r="JT251" s="1"/>
      <c r="JU251" s="1"/>
      <c r="JV251" s="1"/>
      <c r="JW251" s="1"/>
      <c r="JX251" s="1"/>
      <c r="JY251" s="1"/>
      <c r="JZ251" s="1"/>
      <c r="KA251" s="1"/>
      <c r="KB251" s="1"/>
      <c r="KC251" s="1"/>
      <c r="KD251" s="1"/>
      <c r="KE251" s="1"/>
      <c r="KF251" s="1"/>
      <c r="KG251" s="1"/>
      <c r="KH251" s="1"/>
      <c r="KI251" s="1"/>
      <c r="KJ251" s="1"/>
      <c r="KK251" s="1"/>
      <c r="KL251" s="1"/>
      <c r="KM251" s="1"/>
      <c r="KN251" s="1"/>
      <c r="KO251" s="1"/>
      <c r="KP251" s="1"/>
      <c r="KQ251" s="1"/>
      <c r="KR251" s="1"/>
      <c r="KS251" s="1"/>
      <c r="KT251" s="1"/>
      <c r="KU251" s="1"/>
      <c r="KV251" s="1"/>
      <c r="KW251" s="1"/>
      <c r="KX251" s="1"/>
      <c r="KY251" s="1"/>
      <c r="KZ251" s="1"/>
      <c r="LA251" s="1"/>
      <c r="LB251" s="1"/>
      <c r="LC251" s="1"/>
      <c r="LD251" s="1"/>
      <c r="LE251" s="1"/>
      <c r="LF251" s="1"/>
      <c r="LG251" s="1"/>
      <c r="LH251" s="1"/>
      <c r="LI251" s="1"/>
      <c r="LJ251" s="1"/>
      <c r="LK251" s="1"/>
      <c r="LL251" s="1"/>
      <c r="LM251" s="1"/>
      <c r="LN251" s="1"/>
      <c r="LO251" s="1"/>
      <c r="LP251" s="1"/>
      <c r="LQ251" s="1"/>
      <c r="LR251" s="1"/>
      <c r="LS251" s="1"/>
    </row>
    <row r="252" spans="1:331" s="30" customFormat="1" x14ac:dyDescent="0.25">
      <c r="A252" s="30" t="s">
        <v>929</v>
      </c>
      <c r="B252" s="34" t="s">
        <v>930</v>
      </c>
      <c r="C252" s="13" t="s">
        <v>1650</v>
      </c>
      <c r="D252" s="30">
        <v>1</v>
      </c>
      <c r="E252" s="30" t="s">
        <v>931</v>
      </c>
      <c r="H252" s="30" t="s">
        <v>335</v>
      </c>
      <c r="I252" s="30" t="s">
        <v>932</v>
      </c>
      <c r="J252" s="30" t="s">
        <v>335</v>
      </c>
      <c r="K252" s="30" t="s">
        <v>931</v>
      </c>
      <c r="L252" s="30">
        <v>0</v>
      </c>
      <c r="O252" s="30">
        <v>0</v>
      </c>
      <c r="Q252" s="1" t="s">
        <v>1585</v>
      </c>
      <c r="R252" s="1"/>
      <c r="S252" s="30">
        <v>8</v>
      </c>
      <c r="T252" s="30">
        <v>7</v>
      </c>
      <c r="U252" s="30">
        <v>9</v>
      </c>
      <c r="V252" s="30">
        <v>9</v>
      </c>
      <c r="W252" s="1">
        <v>8</v>
      </c>
      <c r="X252" s="1">
        <v>11</v>
      </c>
      <c r="Y252" s="1" t="s">
        <v>2246</v>
      </c>
      <c r="Z252" s="30">
        <v>6</v>
      </c>
      <c r="AA252" s="13" t="b">
        <v>1</v>
      </c>
      <c r="AB252" s="1"/>
      <c r="AC252" s="57" t="s">
        <v>1388</v>
      </c>
      <c r="AD252" s="1"/>
      <c r="AE252" t="s">
        <v>1887</v>
      </c>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c r="LC252" s="1"/>
      <c r="LD252" s="1"/>
      <c r="LE252" s="1"/>
      <c r="LF252" s="1"/>
      <c r="LG252" s="1"/>
      <c r="LH252" s="1"/>
      <c r="LI252" s="1"/>
      <c r="LJ252" s="1"/>
      <c r="LK252" s="1"/>
      <c r="LL252" s="1"/>
      <c r="LM252" s="1"/>
      <c r="LN252" s="1"/>
      <c r="LO252" s="1"/>
      <c r="LP252" s="1"/>
      <c r="LQ252" s="1"/>
      <c r="LR252" s="1"/>
      <c r="LS252" s="1"/>
    </row>
    <row r="253" spans="1:331" s="25" customFormat="1" x14ac:dyDescent="0.25">
      <c r="A253" s="25" t="s">
        <v>933</v>
      </c>
      <c r="B253" s="29" t="s">
        <v>934</v>
      </c>
      <c r="C253" s="13" t="s">
        <v>1650</v>
      </c>
      <c r="D253" s="25">
        <v>0</v>
      </c>
      <c r="H253" s="25" t="s">
        <v>935</v>
      </c>
      <c r="I253" s="25" t="s">
        <v>936</v>
      </c>
      <c r="J253" s="25" t="s">
        <v>935</v>
      </c>
      <c r="K253" s="25" t="s">
        <v>109</v>
      </c>
      <c r="L253" s="25">
        <v>0</v>
      </c>
      <c r="O253" s="25">
        <v>0</v>
      </c>
      <c r="Q253" s="1" t="s">
        <v>1586</v>
      </c>
      <c r="R253" s="1"/>
      <c r="T253" s="25">
        <v>10</v>
      </c>
      <c r="V253" s="25">
        <v>10</v>
      </c>
      <c r="W253" s="1">
        <v>10</v>
      </c>
      <c r="X253" s="1">
        <v>13</v>
      </c>
      <c r="Y253" s="1" t="s">
        <v>2247</v>
      </c>
      <c r="Z253" s="25">
        <v>5</v>
      </c>
      <c r="AA253" s="13" t="b">
        <v>1</v>
      </c>
      <c r="AB253" s="1"/>
      <c r="AC253" s="57" t="s">
        <v>1353</v>
      </c>
      <c r="AD253" s="1"/>
      <c r="AE253" s="57"/>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1"/>
      <c r="JF253" s="1"/>
      <c r="JG253" s="1"/>
      <c r="JH253" s="1"/>
      <c r="JI253" s="1"/>
      <c r="JJ253" s="1"/>
      <c r="JK253" s="1"/>
      <c r="JL253" s="1"/>
      <c r="JM253" s="1"/>
      <c r="JN253" s="1"/>
      <c r="JO253" s="1"/>
      <c r="JP253" s="1"/>
      <c r="JQ253" s="1"/>
      <c r="JR253" s="1"/>
      <c r="JS253" s="1"/>
      <c r="JT253" s="1"/>
      <c r="JU253" s="1"/>
      <c r="JV253" s="1"/>
      <c r="JW253" s="1"/>
      <c r="JX253" s="1"/>
      <c r="JY253" s="1"/>
      <c r="JZ253" s="1"/>
      <c r="KA253" s="1"/>
      <c r="KB253" s="1"/>
      <c r="KC253" s="1"/>
      <c r="KD253" s="1"/>
      <c r="KE253" s="1"/>
      <c r="KF253" s="1"/>
      <c r="KG253" s="1"/>
      <c r="KH253" s="1"/>
      <c r="KI253" s="1"/>
      <c r="KJ253" s="1"/>
      <c r="KK253" s="1"/>
      <c r="KL253" s="1"/>
      <c r="KM253" s="1"/>
      <c r="KN253" s="1"/>
      <c r="KO253" s="1"/>
      <c r="KP253" s="1"/>
      <c r="KQ253" s="1"/>
      <c r="KR253" s="1"/>
      <c r="KS253" s="1"/>
      <c r="KT253" s="1"/>
      <c r="KU253" s="1"/>
      <c r="KV253" s="1"/>
      <c r="KW253" s="1"/>
      <c r="KX253" s="1"/>
      <c r="KY253" s="1"/>
      <c r="KZ253" s="1"/>
      <c r="LA253" s="1"/>
      <c r="LB253" s="1"/>
      <c r="LC253" s="1"/>
      <c r="LD253" s="1"/>
      <c r="LE253" s="1"/>
      <c r="LF253" s="1"/>
      <c r="LG253" s="1"/>
      <c r="LH253" s="1"/>
      <c r="LI253" s="1"/>
      <c r="LJ253" s="1"/>
      <c r="LK253" s="1"/>
      <c r="LL253" s="1"/>
      <c r="LM253" s="1"/>
      <c r="LN253" s="1"/>
      <c r="LO253" s="1"/>
      <c r="LP253" s="1"/>
      <c r="LQ253" s="1"/>
      <c r="LR253" s="1"/>
      <c r="LS253" s="1"/>
    </row>
    <row r="254" spans="1:331" s="45" customFormat="1" x14ac:dyDescent="0.25">
      <c r="A254" s="45" t="s">
        <v>937</v>
      </c>
      <c r="C254" s="1" t="s">
        <v>1650</v>
      </c>
      <c r="D254" s="45">
        <v>1</v>
      </c>
      <c r="E254" s="45" t="s">
        <v>110</v>
      </c>
      <c r="H254" s="45" t="s">
        <v>938</v>
      </c>
      <c r="I254" s="45" t="s">
        <v>110</v>
      </c>
      <c r="J254" s="45" t="s">
        <v>938</v>
      </c>
      <c r="K254" s="45" t="s">
        <v>938</v>
      </c>
      <c r="L254" s="45">
        <v>1</v>
      </c>
      <c r="M254" s="45" t="s">
        <v>609</v>
      </c>
      <c r="O254" s="45">
        <v>1</v>
      </c>
      <c r="P254" s="45" t="s">
        <v>939</v>
      </c>
      <c r="Q254" s="1"/>
      <c r="R254" s="1" t="s">
        <v>940</v>
      </c>
      <c r="S254" s="45">
        <v>11</v>
      </c>
      <c r="W254" s="1"/>
      <c r="X254" s="1"/>
      <c r="Y254" s="1"/>
      <c r="Z254" s="45">
        <v>-1</v>
      </c>
      <c r="AA254" s="13" t="b">
        <v>0</v>
      </c>
      <c r="AB254" s="1"/>
      <c r="AC254" s="57" t="s">
        <v>1251</v>
      </c>
      <c r="AD254" s="1"/>
      <c r="AE254" s="57"/>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c r="IY254" s="1"/>
      <c r="IZ254" s="1"/>
      <c r="JA254" s="1"/>
      <c r="JB254" s="1"/>
      <c r="JC254" s="1"/>
      <c r="JD254" s="1"/>
      <c r="JE254" s="1"/>
      <c r="JF254" s="1"/>
      <c r="JG254" s="1"/>
      <c r="JH254" s="1"/>
      <c r="JI254" s="1"/>
      <c r="JJ254" s="1"/>
      <c r="JK254" s="1"/>
      <c r="JL254" s="1"/>
      <c r="JM254" s="1"/>
      <c r="JN254" s="1"/>
      <c r="JO254" s="1"/>
      <c r="JP254" s="1"/>
      <c r="JQ254" s="1"/>
      <c r="JR254" s="1"/>
      <c r="JS254" s="1"/>
      <c r="JT254" s="1"/>
      <c r="JU254" s="1"/>
      <c r="JV254" s="1"/>
      <c r="JW254" s="1"/>
      <c r="JX254" s="1"/>
      <c r="JY254" s="1"/>
      <c r="JZ254" s="1"/>
      <c r="KA254" s="1"/>
      <c r="KB254" s="1"/>
      <c r="KC254" s="1"/>
      <c r="KD254" s="1"/>
      <c r="KE254" s="1"/>
      <c r="KF254" s="1"/>
      <c r="KG254" s="1"/>
      <c r="KH254" s="1"/>
      <c r="KI254" s="1"/>
      <c r="KJ254" s="1"/>
      <c r="KK254" s="1"/>
      <c r="KL254" s="1"/>
      <c r="KM254" s="1"/>
      <c r="KN254" s="1"/>
      <c r="KO254" s="1"/>
      <c r="KP254" s="1"/>
      <c r="KQ254" s="1"/>
      <c r="KR254" s="1"/>
      <c r="KS254" s="1"/>
      <c r="KT254" s="1"/>
      <c r="KU254" s="1"/>
      <c r="KV254" s="1"/>
      <c r="KW254" s="1"/>
      <c r="KX254" s="1"/>
      <c r="KY254" s="1"/>
      <c r="KZ254" s="1"/>
      <c r="LA254" s="1"/>
      <c r="LB254" s="1"/>
      <c r="LC254" s="1"/>
      <c r="LD254" s="1"/>
      <c r="LE254" s="1"/>
      <c r="LF254" s="1"/>
      <c r="LG254" s="1"/>
      <c r="LH254" s="1"/>
      <c r="LI254" s="1"/>
      <c r="LJ254" s="1"/>
      <c r="LK254" s="1"/>
      <c r="LL254" s="1"/>
      <c r="LM254" s="1"/>
      <c r="LN254" s="1"/>
      <c r="LO254" s="1"/>
      <c r="LP254" s="1"/>
      <c r="LQ254" s="1"/>
      <c r="LR254" s="1"/>
      <c r="LS254" s="1"/>
    </row>
    <row r="255" spans="1:331" s="25" customFormat="1" x14ac:dyDescent="0.25">
      <c r="A255" s="25" t="s">
        <v>941</v>
      </c>
      <c r="B255" s="29" t="s">
        <v>942</v>
      </c>
      <c r="C255" s="13" t="s">
        <v>1650</v>
      </c>
      <c r="D255" s="25">
        <v>0</v>
      </c>
      <c r="H255" s="25" t="s">
        <v>943</v>
      </c>
      <c r="I255" s="25" t="s">
        <v>940</v>
      </c>
      <c r="J255" s="25" t="s">
        <v>943</v>
      </c>
      <c r="K255" s="25" t="s">
        <v>1704</v>
      </c>
      <c r="L255" s="25">
        <v>0</v>
      </c>
      <c r="O255" s="25">
        <v>0</v>
      </c>
      <c r="Q255" s="1" t="s">
        <v>1587</v>
      </c>
      <c r="R255" s="1"/>
      <c r="S255" s="25">
        <v>8</v>
      </c>
      <c r="U255" s="25">
        <v>8</v>
      </c>
      <c r="W255" s="1">
        <v>8</v>
      </c>
      <c r="X255" s="1">
        <v>5</v>
      </c>
      <c r="Y255" s="1" t="s">
        <v>2248</v>
      </c>
      <c r="Z255" s="25">
        <v>5</v>
      </c>
      <c r="AA255" s="13" t="b">
        <v>1</v>
      </c>
      <c r="AB255" s="1"/>
      <c r="AC255" s="57" t="s">
        <v>1305</v>
      </c>
      <c r="AD255" s="1"/>
      <c r="AE255" s="57"/>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1"/>
      <c r="JF255" s="1"/>
      <c r="JG255" s="1"/>
      <c r="JH255" s="1"/>
      <c r="JI255" s="1"/>
      <c r="JJ255" s="1"/>
      <c r="JK255" s="1"/>
      <c r="JL255" s="1"/>
      <c r="JM255" s="1"/>
      <c r="JN255" s="1"/>
      <c r="JO255" s="1"/>
      <c r="JP255" s="1"/>
      <c r="JQ255" s="1"/>
      <c r="JR255" s="1"/>
      <c r="JS255" s="1"/>
      <c r="JT255" s="1"/>
      <c r="JU255" s="1"/>
      <c r="JV255" s="1"/>
      <c r="JW255" s="1"/>
      <c r="JX255" s="1"/>
      <c r="JY255" s="1"/>
      <c r="JZ255" s="1"/>
      <c r="KA255" s="1"/>
      <c r="KB255" s="1"/>
      <c r="KC255" s="1"/>
      <c r="KD255" s="1"/>
      <c r="KE255" s="1"/>
      <c r="KF255" s="1"/>
      <c r="KG255" s="1"/>
      <c r="KH255" s="1"/>
      <c r="KI255" s="1"/>
      <c r="KJ255" s="1"/>
      <c r="KK255" s="1"/>
      <c r="KL255" s="1"/>
      <c r="KM255" s="1"/>
      <c r="KN255" s="1"/>
      <c r="KO255" s="1"/>
      <c r="KP255" s="1"/>
      <c r="KQ255" s="1"/>
      <c r="KR255" s="1"/>
      <c r="KS255" s="1"/>
      <c r="KT255" s="1"/>
      <c r="KU255" s="1"/>
      <c r="KV255" s="1"/>
      <c r="KW255" s="1"/>
      <c r="KX255" s="1"/>
      <c r="KY255" s="1"/>
      <c r="KZ255" s="1"/>
      <c r="LA255" s="1"/>
      <c r="LB255" s="1"/>
      <c r="LC255" s="1"/>
      <c r="LD255" s="1"/>
      <c r="LE255" s="1"/>
      <c r="LF255" s="1"/>
      <c r="LG255" s="1"/>
      <c r="LH255" s="1"/>
      <c r="LI255" s="1"/>
      <c r="LJ255" s="1"/>
      <c r="LK255" s="1"/>
      <c r="LL255" s="1"/>
      <c r="LM255" s="1"/>
      <c r="LN255" s="1"/>
      <c r="LO255" s="1"/>
      <c r="LP255" s="1"/>
      <c r="LQ255" s="1"/>
      <c r="LR255" s="1"/>
      <c r="LS255" s="1"/>
    </row>
    <row r="256" spans="1:331" s="25" customFormat="1" x14ac:dyDescent="0.25">
      <c r="A256" s="25" t="s">
        <v>944</v>
      </c>
      <c r="B256" s="29" t="s">
        <v>945</v>
      </c>
      <c r="C256" s="13" t="s">
        <v>1650</v>
      </c>
      <c r="D256" s="25">
        <v>0</v>
      </c>
      <c r="H256" s="25" t="s">
        <v>946</v>
      </c>
      <c r="I256" s="25" t="s">
        <v>759</v>
      </c>
      <c r="J256" s="25" t="s">
        <v>946</v>
      </c>
      <c r="K256" s="25" t="s">
        <v>1705</v>
      </c>
      <c r="L256" s="25">
        <v>0</v>
      </c>
      <c r="O256" s="25">
        <v>0</v>
      </c>
      <c r="Q256" s="1" t="s">
        <v>1588</v>
      </c>
      <c r="R256" s="1"/>
      <c r="S256" s="25">
        <v>15</v>
      </c>
      <c r="U256" s="25">
        <v>14</v>
      </c>
      <c r="W256" s="1">
        <v>15</v>
      </c>
      <c r="X256" s="1">
        <v>17</v>
      </c>
      <c r="Y256" s="1" t="s">
        <v>2249</v>
      </c>
      <c r="Z256" s="25">
        <v>5</v>
      </c>
      <c r="AA256" s="13" t="b">
        <v>1</v>
      </c>
      <c r="AB256" s="1"/>
      <c r="AC256" s="57" t="s">
        <v>1904</v>
      </c>
      <c r="AD256" s="1"/>
      <c r="AE256" s="57"/>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1"/>
      <c r="JC256" s="1"/>
      <c r="JD256" s="1"/>
      <c r="JE256" s="1"/>
      <c r="JF256" s="1"/>
      <c r="JG256" s="1"/>
      <c r="JH256" s="1"/>
      <c r="JI256" s="1"/>
      <c r="JJ256" s="1"/>
      <c r="JK256" s="1"/>
      <c r="JL256" s="1"/>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1"/>
      <c r="KX256" s="1"/>
      <c r="KY256" s="1"/>
      <c r="KZ256" s="1"/>
      <c r="LA256" s="1"/>
      <c r="LB256" s="1"/>
      <c r="LC256" s="1"/>
      <c r="LD256" s="1"/>
      <c r="LE256" s="1"/>
      <c r="LF256" s="1"/>
      <c r="LG256" s="1"/>
      <c r="LH256" s="1"/>
      <c r="LI256" s="1"/>
      <c r="LJ256" s="1"/>
      <c r="LK256" s="1"/>
      <c r="LL256" s="1"/>
      <c r="LM256" s="1"/>
      <c r="LN256" s="1"/>
      <c r="LO256" s="1"/>
      <c r="LP256" s="1"/>
      <c r="LQ256" s="1"/>
      <c r="LR256" s="1"/>
      <c r="LS256" s="1"/>
    </row>
    <row r="257" spans="1:331" s="30" customFormat="1" x14ac:dyDescent="0.25">
      <c r="A257" s="30" t="s">
        <v>947</v>
      </c>
      <c r="B257" s="34" t="s">
        <v>948</v>
      </c>
      <c r="C257" s="13" t="s">
        <v>1650</v>
      </c>
      <c r="D257" s="30">
        <v>1</v>
      </c>
      <c r="E257" s="30" t="s">
        <v>949</v>
      </c>
      <c r="H257" s="30" t="s">
        <v>950</v>
      </c>
      <c r="I257" s="30" t="s">
        <v>949</v>
      </c>
      <c r="J257" s="30" t="s">
        <v>950</v>
      </c>
      <c r="K257" s="30" t="s">
        <v>949</v>
      </c>
      <c r="L257" s="30">
        <v>0</v>
      </c>
      <c r="O257" s="30">
        <v>0</v>
      </c>
      <c r="Q257" s="1" t="s">
        <v>1589</v>
      </c>
      <c r="R257" s="1"/>
      <c r="T257" s="30">
        <v>13</v>
      </c>
      <c r="W257" s="1">
        <v>13</v>
      </c>
      <c r="X257" s="1">
        <v>12</v>
      </c>
      <c r="Y257" s="1" t="s">
        <v>2250</v>
      </c>
      <c r="Z257" s="30">
        <v>6</v>
      </c>
      <c r="AA257" s="13" t="b">
        <v>1</v>
      </c>
      <c r="AB257" s="1"/>
      <c r="AC257" s="57" t="s">
        <v>1285</v>
      </c>
      <c r="AD257" s="1"/>
      <c r="AE257" s="57"/>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c r="IY257" s="1"/>
      <c r="IZ257" s="1"/>
      <c r="JA257" s="1"/>
      <c r="JB257" s="1"/>
      <c r="JC257" s="1"/>
      <c r="JD257" s="1"/>
      <c r="JE257" s="1"/>
      <c r="JF257" s="1"/>
      <c r="JG257" s="1"/>
      <c r="JH257" s="1"/>
      <c r="JI257" s="1"/>
      <c r="JJ257" s="1"/>
      <c r="JK257" s="1"/>
      <c r="JL257" s="1"/>
      <c r="JM257" s="1"/>
      <c r="JN257" s="1"/>
      <c r="JO257" s="1"/>
      <c r="JP257" s="1"/>
      <c r="JQ257" s="1"/>
      <c r="JR257" s="1"/>
      <c r="JS257" s="1"/>
      <c r="JT257" s="1"/>
      <c r="JU257" s="1"/>
      <c r="JV257" s="1"/>
      <c r="JW257" s="1"/>
      <c r="JX257" s="1"/>
      <c r="JY257" s="1"/>
      <c r="JZ257" s="1"/>
      <c r="KA257" s="1"/>
      <c r="KB257" s="1"/>
      <c r="KC257" s="1"/>
      <c r="KD257" s="1"/>
      <c r="KE257" s="1"/>
      <c r="KF257" s="1"/>
      <c r="KG257" s="1"/>
      <c r="KH257" s="1"/>
      <c r="KI257" s="1"/>
      <c r="KJ257" s="1"/>
      <c r="KK257" s="1"/>
      <c r="KL257" s="1"/>
      <c r="KM257" s="1"/>
      <c r="KN257" s="1"/>
      <c r="KO257" s="1"/>
      <c r="KP257" s="1"/>
      <c r="KQ257" s="1"/>
      <c r="KR257" s="1"/>
      <c r="KS257" s="1"/>
      <c r="KT257" s="1"/>
      <c r="KU257" s="1"/>
      <c r="KV257" s="1"/>
      <c r="KW257" s="1"/>
      <c r="KX257" s="1"/>
      <c r="KY257" s="1"/>
      <c r="KZ257" s="1"/>
      <c r="LA257" s="1"/>
      <c r="LB257" s="1"/>
      <c r="LC257" s="1"/>
      <c r="LD257" s="1"/>
      <c r="LE257" s="1"/>
      <c r="LF257" s="1"/>
      <c r="LG257" s="1"/>
      <c r="LH257" s="1"/>
      <c r="LI257" s="1"/>
      <c r="LJ257" s="1"/>
      <c r="LK257" s="1"/>
      <c r="LL257" s="1"/>
      <c r="LM257" s="1"/>
      <c r="LN257" s="1"/>
      <c r="LO257" s="1"/>
      <c r="LP257" s="1"/>
      <c r="LQ257" s="1"/>
      <c r="LR257" s="1"/>
      <c r="LS257" s="1"/>
    </row>
    <row r="258" spans="1:331" s="40" customFormat="1" x14ac:dyDescent="0.25">
      <c r="A258" s="40" t="s">
        <v>951</v>
      </c>
      <c r="B258" s="44" t="s">
        <v>952</v>
      </c>
      <c r="C258" s="13" t="s">
        <v>1650</v>
      </c>
      <c r="D258" s="40">
        <v>0</v>
      </c>
      <c r="H258" s="40" t="s">
        <v>330</v>
      </c>
      <c r="I258" s="40" t="s">
        <v>330</v>
      </c>
      <c r="J258" s="40" t="s">
        <v>953</v>
      </c>
      <c r="K258" s="40" t="s">
        <v>331</v>
      </c>
      <c r="L258" s="40">
        <v>0</v>
      </c>
      <c r="O258" s="40">
        <v>1</v>
      </c>
      <c r="P258" s="40" t="s">
        <v>372</v>
      </c>
      <c r="Q258" s="1" t="s">
        <v>1590</v>
      </c>
      <c r="R258" s="1"/>
      <c r="S258" s="40">
        <v>8</v>
      </c>
      <c r="U258" s="40">
        <v>7</v>
      </c>
      <c r="W258" s="1">
        <v>8</v>
      </c>
      <c r="X258" s="1">
        <v>14</v>
      </c>
      <c r="Y258" s="1" t="s">
        <v>2251</v>
      </c>
      <c r="Z258" s="40">
        <v>8</v>
      </c>
      <c r="AA258" s="13" t="b">
        <v>1</v>
      </c>
      <c r="AB258" s="1"/>
      <c r="AC258" s="57" t="s">
        <v>1432</v>
      </c>
      <c r="AD258" s="1"/>
      <c r="AE258" s="57"/>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c r="IY258" s="1"/>
      <c r="IZ258" s="1"/>
      <c r="JA258" s="1"/>
      <c r="JB258" s="1"/>
      <c r="JC258" s="1"/>
      <c r="JD258" s="1"/>
      <c r="JE258" s="1"/>
      <c r="JF258" s="1"/>
      <c r="JG258" s="1"/>
      <c r="JH258" s="1"/>
      <c r="JI258" s="1"/>
      <c r="JJ258" s="1"/>
      <c r="JK258" s="1"/>
      <c r="JL258" s="1"/>
      <c r="JM258" s="1"/>
      <c r="JN258" s="1"/>
      <c r="JO258" s="1"/>
      <c r="JP258" s="1"/>
      <c r="JQ258" s="1"/>
      <c r="JR258" s="1"/>
      <c r="JS258" s="1"/>
      <c r="JT258" s="1"/>
      <c r="JU258" s="1"/>
      <c r="JV258" s="1"/>
      <c r="JW258" s="1"/>
      <c r="JX258" s="1"/>
      <c r="JY258" s="1"/>
      <c r="JZ258" s="1"/>
      <c r="KA258" s="1"/>
      <c r="KB258" s="1"/>
      <c r="KC258" s="1"/>
      <c r="KD258" s="1"/>
      <c r="KE258" s="1"/>
      <c r="KF258" s="1"/>
      <c r="KG258" s="1"/>
      <c r="KH258" s="1"/>
      <c r="KI258" s="1"/>
      <c r="KJ258" s="1"/>
      <c r="KK258" s="1"/>
      <c r="KL258" s="1"/>
      <c r="KM258" s="1"/>
      <c r="KN258" s="1"/>
      <c r="KO258" s="1"/>
      <c r="KP258" s="1"/>
      <c r="KQ258" s="1"/>
      <c r="KR258" s="1"/>
      <c r="KS258" s="1"/>
      <c r="KT258" s="1"/>
      <c r="KU258" s="1"/>
      <c r="KV258" s="1"/>
      <c r="KW258" s="1"/>
      <c r="KX258" s="1"/>
      <c r="KY258" s="1"/>
      <c r="KZ258" s="1"/>
      <c r="LA258" s="1"/>
      <c r="LB258" s="1"/>
      <c r="LC258" s="1"/>
      <c r="LD258" s="1"/>
      <c r="LE258" s="1"/>
      <c r="LF258" s="1"/>
      <c r="LG258" s="1"/>
      <c r="LH258" s="1"/>
      <c r="LI258" s="1"/>
      <c r="LJ258" s="1"/>
      <c r="LK258" s="1"/>
      <c r="LL258" s="1"/>
      <c r="LM258" s="1"/>
      <c r="LN258" s="1"/>
      <c r="LO258" s="1"/>
      <c r="LP258" s="1"/>
      <c r="LQ258" s="1"/>
      <c r="LR258" s="1"/>
      <c r="LS258" s="1"/>
    </row>
    <row r="259" spans="1:331" s="72" customFormat="1" x14ac:dyDescent="0.25">
      <c r="A259" s="72" t="s">
        <v>954</v>
      </c>
      <c r="B259" s="75" t="s">
        <v>955</v>
      </c>
      <c r="C259" s="13" t="s">
        <v>1650</v>
      </c>
      <c r="D259" s="72">
        <v>0</v>
      </c>
      <c r="H259" s="72" t="s">
        <v>332</v>
      </c>
      <c r="I259" s="72" t="s">
        <v>330</v>
      </c>
      <c r="J259" s="72" t="s">
        <v>332</v>
      </c>
      <c r="K259" s="72" t="s">
        <v>332</v>
      </c>
      <c r="L259" s="72">
        <v>0</v>
      </c>
      <c r="O259" s="72">
        <v>1</v>
      </c>
      <c r="P259" s="72" t="s">
        <v>956</v>
      </c>
      <c r="Q259" s="1"/>
      <c r="R259" s="1" t="s">
        <v>316</v>
      </c>
      <c r="S259" s="72">
        <v>10</v>
      </c>
      <c r="U259" s="72">
        <v>10</v>
      </c>
      <c r="W259" s="1">
        <v>10</v>
      </c>
      <c r="X259" s="1">
        <v>15</v>
      </c>
      <c r="Y259" s="1" t="s">
        <v>2252</v>
      </c>
      <c r="Z259" s="72">
        <v>14</v>
      </c>
      <c r="AA259" s="13" t="b">
        <v>1</v>
      </c>
      <c r="AB259" s="1"/>
      <c r="AC259" s="57" t="s">
        <v>1297</v>
      </c>
      <c r="AD259" s="1"/>
      <c r="AE259" s="57"/>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row>
    <row r="260" spans="1:331" s="40" customFormat="1" x14ac:dyDescent="0.25">
      <c r="A260" s="40" t="s">
        <v>957</v>
      </c>
      <c r="B260" s="44" t="s">
        <v>958</v>
      </c>
      <c r="C260" s="13" t="s">
        <v>1650</v>
      </c>
      <c r="D260" s="40">
        <v>0</v>
      </c>
      <c r="H260" s="40" t="s">
        <v>959</v>
      </c>
      <c r="I260" s="40" t="s">
        <v>960</v>
      </c>
      <c r="J260" s="40" t="s">
        <v>961</v>
      </c>
      <c r="K260" s="40" t="s">
        <v>960</v>
      </c>
      <c r="L260" s="40">
        <v>0</v>
      </c>
      <c r="O260" s="40">
        <v>1</v>
      </c>
      <c r="P260" s="40" t="s">
        <v>368</v>
      </c>
      <c r="Q260" s="1" t="s">
        <v>1591</v>
      </c>
      <c r="R260" s="1"/>
      <c r="T260" s="40">
        <v>15</v>
      </c>
      <c r="V260" s="40">
        <v>11</v>
      </c>
      <c r="W260" s="1">
        <v>15</v>
      </c>
      <c r="X260" s="1">
        <v>15</v>
      </c>
      <c r="Y260" s="1" t="s">
        <v>2253</v>
      </c>
      <c r="Z260" s="40">
        <v>8</v>
      </c>
      <c r="AA260" s="13" t="b">
        <v>1</v>
      </c>
      <c r="AB260" s="1" t="b">
        <v>1</v>
      </c>
      <c r="AC260" s="57" t="s">
        <v>1433</v>
      </c>
      <c r="AD260" s="1"/>
      <c r="AE260" s="57"/>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c r="IY260" s="1"/>
      <c r="IZ260" s="1"/>
      <c r="JA260" s="1"/>
      <c r="JB260" s="1"/>
      <c r="JC260" s="1"/>
      <c r="JD260" s="1"/>
      <c r="JE260" s="1"/>
      <c r="JF260" s="1"/>
      <c r="JG260" s="1"/>
      <c r="JH260" s="1"/>
      <c r="JI260" s="1"/>
      <c r="JJ260" s="1"/>
      <c r="JK260" s="1"/>
      <c r="JL260" s="1"/>
      <c r="JM260" s="1"/>
      <c r="JN260" s="1"/>
      <c r="JO260" s="1"/>
      <c r="JP260" s="1"/>
      <c r="JQ260" s="1"/>
      <c r="JR260" s="1"/>
      <c r="JS260" s="1"/>
      <c r="JT260" s="1"/>
      <c r="JU260" s="1"/>
      <c r="JV260" s="1"/>
      <c r="JW260" s="1"/>
      <c r="JX260" s="1"/>
      <c r="JY260" s="1"/>
      <c r="JZ260" s="1"/>
      <c r="KA260" s="1"/>
      <c r="KB260" s="1"/>
      <c r="KC260" s="1"/>
      <c r="KD260" s="1"/>
      <c r="KE260" s="1"/>
      <c r="KF260" s="1"/>
      <c r="KG260" s="1"/>
      <c r="KH260" s="1"/>
      <c r="KI260" s="1"/>
      <c r="KJ260" s="1"/>
      <c r="KK260" s="1"/>
      <c r="KL260" s="1"/>
      <c r="KM260" s="1"/>
      <c r="KN260" s="1"/>
      <c r="KO260" s="1"/>
      <c r="KP260" s="1"/>
      <c r="KQ260" s="1"/>
      <c r="KR260" s="1"/>
      <c r="KS260" s="1"/>
      <c r="KT260" s="1"/>
      <c r="KU260" s="1"/>
      <c r="KV260" s="1"/>
      <c r="KW260" s="1"/>
      <c r="KX260" s="1"/>
      <c r="KY260" s="1"/>
      <c r="KZ260" s="1"/>
      <c r="LA260" s="1"/>
      <c r="LB260" s="1"/>
      <c r="LC260" s="1"/>
      <c r="LD260" s="1"/>
      <c r="LE260" s="1"/>
      <c r="LF260" s="1"/>
      <c r="LG260" s="1"/>
      <c r="LH260" s="1"/>
      <c r="LI260" s="1"/>
      <c r="LJ260" s="1"/>
      <c r="LK260" s="1"/>
      <c r="LL260" s="1"/>
      <c r="LM260" s="1"/>
      <c r="LN260" s="1"/>
      <c r="LO260" s="1"/>
      <c r="LP260" s="1"/>
      <c r="LQ260" s="1"/>
      <c r="LR260" s="1"/>
      <c r="LS260" s="1"/>
    </row>
    <row r="261" spans="1:331" s="40" customFormat="1" x14ac:dyDescent="0.25">
      <c r="A261" s="40" t="s">
        <v>962</v>
      </c>
      <c r="B261" s="44" t="s">
        <v>963</v>
      </c>
      <c r="C261" s="13" t="s">
        <v>1650</v>
      </c>
      <c r="D261" s="40">
        <v>0</v>
      </c>
      <c r="H261" s="40" t="s">
        <v>964</v>
      </c>
      <c r="I261" s="40" t="s">
        <v>965</v>
      </c>
      <c r="J261" s="40" t="s">
        <v>966</v>
      </c>
      <c r="K261" s="40" t="s">
        <v>964</v>
      </c>
      <c r="L261" s="40">
        <v>0</v>
      </c>
      <c r="O261" s="40">
        <v>1</v>
      </c>
      <c r="P261" s="40" t="s">
        <v>967</v>
      </c>
      <c r="Q261" s="1" t="s">
        <v>1592</v>
      </c>
      <c r="R261" s="1"/>
      <c r="S261" s="40">
        <v>4</v>
      </c>
      <c r="T261" s="40">
        <v>10</v>
      </c>
      <c r="U261" s="40">
        <v>6</v>
      </c>
      <c r="V261" s="40">
        <v>10</v>
      </c>
      <c r="W261" s="1">
        <v>10</v>
      </c>
      <c r="X261" s="1">
        <v>11</v>
      </c>
      <c r="Y261" s="1" t="s">
        <v>2254</v>
      </c>
      <c r="Z261" s="40">
        <v>8</v>
      </c>
      <c r="AA261" s="13" t="b">
        <v>1</v>
      </c>
      <c r="AB261" s="1"/>
      <c r="AC261" s="57" t="s">
        <v>1434</v>
      </c>
      <c r="AD261" s="1"/>
      <c r="AE261" s="57"/>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1"/>
      <c r="JF261" s="1"/>
      <c r="JG261" s="1"/>
      <c r="JH261" s="1"/>
      <c r="JI261" s="1"/>
      <c r="JJ261" s="1"/>
      <c r="JK261" s="1"/>
      <c r="JL261" s="1"/>
      <c r="JM261" s="1"/>
      <c r="JN261" s="1"/>
      <c r="JO261" s="1"/>
      <c r="JP261" s="1"/>
      <c r="JQ261" s="1"/>
      <c r="JR261" s="1"/>
      <c r="JS261" s="1"/>
      <c r="JT261" s="1"/>
      <c r="JU261" s="1"/>
      <c r="JV261" s="1"/>
      <c r="JW261" s="1"/>
      <c r="JX261" s="1"/>
      <c r="JY261" s="1"/>
      <c r="JZ261" s="1"/>
      <c r="KA261" s="1"/>
      <c r="KB261" s="1"/>
      <c r="KC261" s="1"/>
      <c r="KD261" s="1"/>
      <c r="KE261" s="1"/>
      <c r="KF261" s="1"/>
      <c r="KG261" s="1"/>
      <c r="KH261" s="1"/>
      <c r="KI261" s="1"/>
      <c r="KJ261" s="1"/>
      <c r="KK261" s="1"/>
      <c r="KL261" s="1"/>
      <c r="KM261" s="1"/>
      <c r="KN261" s="1"/>
      <c r="KO261" s="1"/>
      <c r="KP261" s="1"/>
      <c r="KQ261" s="1"/>
      <c r="KR261" s="1"/>
      <c r="KS261" s="1"/>
      <c r="KT261" s="1"/>
      <c r="KU261" s="1"/>
      <c r="KV261" s="1"/>
      <c r="KW261" s="1"/>
      <c r="KX261" s="1"/>
      <c r="KY261" s="1"/>
      <c r="KZ261" s="1"/>
      <c r="LA261" s="1"/>
      <c r="LB261" s="1"/>
      <c r="LC261" s="1"/>
      <c r="LD261" s="1"/>
      <c r="LE261" s="1"/>
      <c r="LF261" s="1"/>
      <c r="LG261" s="1"/>
      <c r="LH261" s="1"/>
      <c r="LI261" s="1"/>
      <c r="LJ261" s="1"/>
      <c r="LK261" s="1"/>
      <c r="LL261" s="1"/>
      <c r="LM261" s="1"/>
      <c r="LN261" s="1"/>
      <c r="LO261" s="1"/>
      <c r="LP261" s="1"/>
      <c r="LQ261" s="1"/>
      <c r="LR261" s="1"/>
      <c r="LS261" s="1"/>
    </row>
    <row r="262" spans="1:331" s="52" customFormat="1" x14ac:dyDescent="0.25">
      <c r="A262" s="52" t="s">
        <v>968</v>
      </c>
      <c r="B262" s="56" t="s">
        <v>969</v>
      </c>
      <c r="C262" s="13" t="s">
        <v>1650</v>
      </c>
      <c r="D262" s="52">
        <v>0</v>
      </c>
      <c r="H262" s="52" t="s">
        <v>970</v>
      </c>
      <c r="I262" s="52" t="s">
        <v>970</v>
      </c>
      <c r="J262" s="52" t="s">
        <v>297</v>
      </c>
      <c r="K262" s="52" t="s">
        <v>1667</v>
      </c>
      <c r="L262" s="52">
        <v>3</v>
      </c>
      <c r="M262" s="52" t="s">
        <v>296</v>
      </c>
      <c r="N262" s="52" t="s">
        <v>296</v>
      </c>
      <c r="O262" s="52">
        <v>1</v>
      </c>
      <c r="P262" s="52" t="s">
        <v>971</v>
      </c>
      <c r="Q262" s="1" t="s">
        <v>1593</v>
      </c>
      <c r="R262" s="1"/>
      <c r="S262" s="52">
        <v>11</v>
      </c>
      <c r="W262" s="1">
        <v>11</v>
      </c>
      <c r="X262" s="1">
        <v>18</v>
      </c>
      <c r="Y262" s="1" t="s">
        <v>2255</v>
      </c>
      <c r="Z262" s="52">
        <v>10</v>
      </c>
      <c r="AA262" s="13" t="b">
        <v>1</v>
      </c>
      <c r="AB262" s="1"/>
      <c r="AC262" s="57" t="s">
        <v>1236</v>
      </c>
      <c r="AD262" s="1"/>
      <c r="AE262" s="57"/>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c r="IY262" s="1"/>
      <c r="IZ262" s="1"/>
      <c r="JA262" s="1"/>
      <c r="JB262" s="1"/>
      <c r="JC262" s="1"/>
      <c r="JD262" s="1"/>
      <c r="JE262" s="1"/>
      <c r="JF262" s="1"/>
      <c r="JG262" s="1"/>
      <c r="JH262" s="1"/>
      <c r="JI262" s="1"/>
      <c r="JJ262" s="1"/>
      <c r="JK262" s="1"/>
      <c r="JL262" s="1"/>
      <c r="JM262" s="1"/>
      <c r="JN262" s="1"/>
      <c r="JO262" s="1"/>
      <c r="JP262" s="1"/>
      <c r="JQ262" s="1"/>
      <c r="JR262" s="1"/>
      <c r="JS262" s="1"/>
      <c r="JT262" s="1"/>
      <c r="JU262" s="1"/>
      <c r="JV262" s="1"/>
      <c r="JW262" s="1"/>
      <c r="JX262" s="1"/>
      <c r="JY262" s="1"/>
      <c r="JZ262" s="1"/>
      <c r="KA262" s="1"/>
      <c r="KB262" s="1"/>
      <c r="KC262" s="1"/>
      <c r="KD262" s="1"/>
      <c r="KE262" s="1"/>
      <c r="KF262" s="1"/>
      <c r="KG262" s="1"/>
      <c r="KH262" s="1"/>
      <c r="KI262" s="1"/>
      <c r="KJ262" s="1"/>
      <c r="KK262" s="1"/>
      <c r="KL262" s="1"/>
      <c r="KM262" s="1"/>
      <c r="KN262" s="1"/>
      <c r="KO262" s="1"/>
      <c r="KP262" s="1"/>
      <c r="KQ262" s="1"/>
      <c r="KR262" s="1"/>
      <c r="KS262" s="1"/>
      <c r="KT262" s="1"/>
      <c r="KU262" s="1"/>
      <c r="KV262" s="1"/>
      <c r="KW262" s="1"/>
      <c r="KX262" s="1"/>
      <c r="KY262" s="1"/>
      <c r="KZ262" s="1"/>
      <c r="LA262" s="1"/>
      <c r="LB262" s="1"/>
      <c r="LC262" s="1"/>
      <c r="LD262" s="1"/>
      <c r="LE262" s="1"/>
      <c r="LF262" s="1"/>
      <c r="LG262" s="1"/>
      <c r="LH262" s="1"/>
      <c r="LI262" s="1"/>
      <c r="LJ262" s="1"/>
      <c r="LK262" s="1"/>
      <c r="LL262" s="1"/>
      <c r="LM262" s="1"/>
      <c r="LN262" s="1"/>
      <c r="LO262" s="1"/>
      <c r="LP262" s="1"/>
      <c r="LQ262" s="1"/>
      <c r="LR262" s="1"/>
      <c r="LS262" s="1"/>
    </row>
    <row r="263" spans="1:331" s="40" customFormat="1" x14ac:dyDescent="0.25">
      <c r="A263" s="40" t="s">
        <v>972</v>
      </c>
      <c r="B263" s="44" t="s">
        <v>973</v>
      </c>
      <c r="C263" s="13" t="s">
        <v>1650</v>
      </c>
      <c r="D263" s="40">
        <v>0</v>
      </c>
      <c r="H263" s="40" t="s">
        <v>302</v>
      </c>
      <c r="I263" s="40" t="s">
        <v>302</v>
      </c>
      <c r="J263" s="40" t="s">
        <v>302</v>
      </c>
      <c r="K263" s="40" t="s">
        <v>302</v>
      </c>
      <c r="L263" s="40">
        <v>0</v>
      </c>
      <c r="O263" s="40">
        <v>1</v>
      </c>
      <c r="P263" s="40" t="s">
        <v>974</v>
      </c>
      <c r="Q263" s="1"/>
      <c r="R263" s="1" t="s">
        <v>975</v>
      </c>
      <c r="S263" s="40">
        <v>0</v>
      </c>
      <c r="T263" s="40">
        <v>7</v>
      </c>
      <c r="V263" s="40">
        <v>6</v>
      </c>
      <c r="W263" s="1">
        <v>7</v>
      </c>
      <c r="X263" s="1">
        <v>15</v>
      </c>
      <c r="Y263" s="1" t="s">
        <v>2256</v>
      </c>
      <c r="Z263" s="40">
        <v>8</v>
      </c>
      <c r="AA263" s="13" t="b">
        <v>1</v>
      </c>
      <c r="AB263" s="1"/>
      <c r="AC263" s="57" t="s">
        <v>1435</v>
      </c>
      <c r="AD263" s="1"/>
      <c r="AE263" s="57"/>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c r="IY263" s="1"/>
      <c r="IZ263" s="1"/>
      <c r="JA263" s="1"/>
      <c r="JB263" s="1"/>
      <c r="JC263" s="1"/>
      <c r="JD263" s="1"/>
      <c r="JE263" s="1"/>
      <c r="JF263" s="1"/>
      <c r="JG263" s="1"/>
      <c r="JH263" s="1"/>
      <c r="JI263" s="1"/>
      <c r="JJ263" s="1"/>
      <c r="JK263" s="1"/>
      <c r="JL263" s="1"/>
      <c r="JM263" s="1"/>
      <c r="JN263" s="1"/>
      <c r="JO263" s="1"/>
      <c r="JP263" s="1"/>
      <c r="JQ263" s="1"/>
      <c r="JR263" s="1"/>
      <c r="JS263" s="1"/>
      <c r="JT263" s="1"/>
      <c r="JU263" s="1"/>
      <c r="JV263" s="1"/>
      <c r="JW263" s="1"/>
      <c r="JX263" s="1"/>
      <c r="JY263" s="1"/>
      <c r="JZ263" s="1"/>
      <c r="KA263" s="1"/>
      <c r="KB263" s="1"/>
      <c r="KC263" s="1"/>
      <c r="KD263" s="1"/>
      <c r="KE263" s="1"/>
      <c r="KF263" s="1"/>
      <c r="KG263" s="1"/>
      <c r="KH263" s="1"/>
      <c r="KI263" s="1"/>
      <c r="KJ263" s="1"/>
      <c r="KK263" s="1"/>
      <c r="KL263" s="1"/>
      <c r="KM263" s="1"/>
      <c r="KN263" s="1"/>
      <c r="KO263" s="1"/>
      <c r="KP263" s="1"/>
      <c r="KQ263" s="1"/>
      <c r="KR263" s="1"/>
      <c r="KS263" s="1"/>
      <c r="KT263" s="1"/>
      <c r="KU263" s="1"/>
      <c r="KV263" s="1"/>
      <c r="KW263" s="1"/>
      <c r="KX263" s="1"/>
      <c r="KY263" s="1"/>
      <c r="KZ263" s="1"/>
      <c r="LA263" s="1"/>
      <c r="LB263" s="1"/>
      <c r="LC263" s="1"/>
      <c r="LD263" s="1"/>
      <c r="LE263" s="1"/>
      <c r="LF263" s="1"/>
      <c r="LG263" s="1"/>
      <c r="LH263" s="1"/>
      <c r="LI263" s="1"/>
      <c r="LJ263" s="1"/>
      <c r="LK263" s="1"/>
      <c r="LL263" s="1"/>
      <c r="LM263" s="1"/>
      <c r="LN263" s="1"/>
      <c r="LO263" s="1"/>
      <c r="LP263" s="1"/>
      <c r="LQ263" s="1"/>
      <c r="LR263" s="1"/>
      <c r="LS263" s="1"/>
    </row>
    <row r="264" spans="1:331" s="52" customFormat="1" x14ac:dyDescent="0.25">
      <c r="A264" s="52" t="s">
        <v>976</v>
      </c>
      <c r="B264" s="56" t="s">
        <v>977</v>
      </c>
      <c r="C264" s="13" t="s">
        <v>1650</v>
      </c>
      <c r="D264" s="52">
        <v>1</v>
      </c>
      <c r="E264" s="52" t="s">
        <v>349</v>
      </c>
      <c r="H264" s="52" t="s">
        <v>349</v>
      </c>
      <c r="I264" s="52" t="s">
        <v>978</v>
      </c>
      <c r="J264" s="52" t="s">
        <v>979</v>
      </c>
      <c r="K264" s="52" t="s">
        <v>349</v>
      </c>
      <c r="L264" s="52">
        <v>2</v>
      </c>
      <c r="M264" s="52" t="s">
        <v>980</v>
      </c>
      <c r="N264" s="52" t="s">
        <v>980</v>
      </c>
      <c r="O264" s="52">
        <v>1</v>
      </c>
      <c r="P264" s="52" t="s">
        <v>351</v>
      </c>
      <c r="Q264" s="1" t="s">
        <v>537</v>
      </c>
      <c r="R264" s="1"/>
      <c r="T264" s="52">
        <v>26</v>
      </c>
      <c r="W264" s="1">
        <v>26</v>
      </c>
      <c r="X264" s="1">
        <v>18</v>
      </c>
      <c r="Y264" s="1" t="s">
        <v>2257</v>
      </c>
      <c r="Z264" s="52">
        <v>10</v>
      </c>
      <c r="AA264" s="13" t="b">
        <v>1</v>
      </c>
      <c r="AB264" s="1"/>
      <c r="AC264" s="57" t="s">
        <v>1236</v>
      </c>
      <c r="AD264" s="1"/>
      <c r="AE264" s="57"/>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c r="IY264" s="1"/>
      <c r="IZ264" s="1"/>
      <c r="JA264" s="1"/>
      <c r="JB264" s="1"/>
      <c r="JC264" s="1"/>
      <c r="JD264" s="1"/>
      <c r="JE264" s="1"/>
      <c r="JF264" s="1"/>
      <c r="JG264" s="1"/>
      <c r="JH264" s="1"/>
      <c r="JI264" s="1"/>
      <c r="JJ264" s="1"/>
      <c r="JK264" s="1"/>
      <c r="JL264" s="1"/>
      <c r="JM264" s="1"/>
      <c r="JN264" s="1"/>
      <c r="JO264" s="1"/>
      <c r="JP264" s="1"/>
      <c r="JQ264" s="1"/>
      <c r="JR264" s="1"/>
      <c r="JS264" s="1"/>
      <c r="JT264" s="1"/>
      <c r="JU264" s="1"/>
      <c r="JV264" s="1"/>
      <c r="JW264" s="1"/>
      <c r="JX264" s="1"/>
      <c r="JY264" s="1"/>
      <c r="JZ264" s="1"/>
      <c r="KA264" s="1"/>
      <c r="KB264" s="1"/>
      <c r="KC264" s="1"/>
      <c r="KD264" s="1"/>
      <c r="KE264" s="1"/>
      <c r="KF264" s="1"/>
      <c r="KG264" s="1"/>
      <c r="KH264" s="1"/>
      <c r="KI264" s="1"/>
      <c r="KJ264" s="1"/>
      <c r="KK264" s="1"/>
      <c r="KL264" s="1"/>
      <c r="KM264" s="1"/>
      <c r="KN264" s="1"/>
      <c r="KO264" s="1"/>
      <c r="KP264" s="1"/>
      <c r="KQ264" s="1"/>
      <c r="KR264" s="1"/>
      <c r="KS264" s="1"/>
      <c r="KT264" s="1"/>
      <c r="KU264" s="1"/>
      <c r="KV264" s="1"/>
      <c r="KW264" s="1"/>
      <c r="KX264" s="1"/>
      <c r="KY264" s="1"/>
      <c r="KZ264" s="1"/>
      <c r="LA264" s="1"/>
      <c r="LB264" s="1"/>
      <c r="LC264" s="1"/>
      <c r="LD264" s="1"/>
      <c r="LE264" s="1"/>
      <c r="LF264" s="1"/>
      <c r="LG264" s="1"/>
      <c r="LH264" s="1"/>
      <c r="LI264" s="1"/>
      <c r="LJ264" s="1"/>
      <c r="LK264" s="1"/>
      <c r="LL264" s="1"/>
      <c r="LM264" s="1"/>
      <c r="LN264" s="1"/>
      <c r="LO264" s="1"/>
      <c r="LP264" s="1"/>
      <c r="LQ264" s="1"/>
      <c r="LR264" s="1"/>
      <c r="LS264" s="1"/>
    </row>
    <row r="265" spans="1:331" s="25" customFormat="1" x14ac:dyDescent="0.25">
      <c r="A265" s="25" t="s">
        <v>981</v>
      </c>
      <c r="B265" s="29" t="s">
        <v>982</v>
      </c>
      <c r="C265" s="13" t="s">
        <v>1650</v>
      </c>
      <c r="D265" s="25">
        <v>0</v>
      </c>
      <c r="H265" s="25" t="s">
        <v>175</v>
      </c>
      <c r="I265" s="25" t="s">
        <v>173</v>
      </c>
      <c r="J265" s="25" t="s">
        <v>175</v>
      </c>
      <c r="K265" s="25" t="s">
        <v>173</v>
      </c>
      <c r="L265" s="25">
        <v>0</v>
      </c>
      <c r="O265" s="25">
        <v>0</v>
      </c>
      <c r="Q265" s="1" t="s">
        <v>1594</v>
      </c>
      <c r="R265" s="1"/>
      <c r="T265" s="25">
        <v>12</v>
      </c>
      <c r="V265" s="25">
        <v>12</v>
      </c>
      <c r="W265" s="1">
        <v>12</v>
      </c>
      <c r="X265" s="1">
        <v>13</v>
      </c>
      <c r="Y265" s="1" t="s">
        <v>2258</v>
      </c>
      <c r="Z265" s="25">
        <v>5</v>
      </c>
      <c r="AA265" s="13" t="b">
        <v>1</v>
      </c>
      <c r="AB265" s="1"/>
      <c r="AC265" s="57" t="s">
        <v>1343</v>
      </c>
      <c r="AD265" s="1"/>
      <c r="AE265" s="57"/>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1"/>
      <c r="JC265" s="1"/>
      <c r="JD265" s="1"/>
      <c r="JE265" s="1"/>
      <c r="JF265" s="1"/>
      <c r="JG265" s="1"/>
      <c r="JH265" s="1"/>
      <c r="JI265" s="1"/>
      <c r="JJ265" s="1"/>
      <c r="JK265" s="1"/>
      <c r="JL265" s="1"/>
      <c r="JM265" s="1"/>
      <c r="JN265" s="1"/>
      <c r="JO265" s="1"/>
      <c r="JP265" s="1"/>
      <c r="JQ265" s="1"/>
      <c r="JR265" s="1"/>
      <c r="JS265" s="1"/>
      <c r="JT265" s="1"/>
      <c r="JU265" s="1"/>
      <c r="JV265" s="1"/>
      <c r="JW265" s="1"/>
      <c r="JX265" s="1"/>
      <c r="JY265" s="1"/>
      <c r="JZ265" s="1"/>
      <c r="KA265" s="1"/>
      <c r="KB265" s="1"/>
      <c r="KC265" s="1"/>
      <c r="KD265" s="1"/>
      <c r="KE265" s="1"/>
      <c r="KF265" s="1"/>
      <c r="KG265" s="1"/>
      <c r="KH265" s="1"/>
      <c r="KI265" s="1"/>
      <c r="KJ265" s="1"/>
      <c r="KK265" s="1"/>
      <c r="KL265" s="1"/>
      <c r="KM265" s="1"/>
      <c r="KN265" s="1"/>
      <c r="KO265" s="1"/>
      <c r="KP265" s="1"/>
      <c r="KQ265" s="1"/>
      <c r="KR265" s="1"/>
      <c r="KS265" s="1"/>
      <c r="KT265" s="1"/>
      <c r="KU265" s="1"/>
      <c r="KV265" s="1"/>
      <c r="KW265" s="1"/>
      <c r="KX265" s="1"/>
      <c r="KY265" s="1"/>
      <c r="KZ265" s="1"/>
      <c r="LA265" s="1"/>
      <c r="LB265" s="1"/>
      <c r="LC265" s="1"/>
      <c r="LD265" s="1"/>
      <c r="LE265" s="1"/>
      <c r="LF265" s="1"/>
      <c r="LG265" s="1"/>
      <c r="LH265" s="1"/>
      <c r="LI265" s="1"/>
      <c r="LJ265" s="1"/>
      <c r="LK265" s="1"/>
      <c r="LL265" s="1"/>
      <c r="LM265" s="1"/>
      <c r="LN265" s="1"/>
      <c r="LO265" s="1"/>
      <c r="LP265" s="1"/>
      <c r="LQ265" s="1"/>
      <c r="LR265" s="1"/>
      <c r="LS265" s="1"/>
    </row>
    <row r="266" spans="1:331" s="35" customFormat="1" x14ac:dyDescent="0.25">
      <c r="A266" s="35" t="s">
        <v>983</v>
      </c>
      <c r="B266" s="39" t="s">
        <v>984</v>
      </c>
      <c r="C266" s="13" t="s">
        <v>1650</v>
      </c>
      <c r="D266" s="35">
        <v>1</v>
      </c>
      <c r="E266" s="35" t="s">
        <v>167</v>
      </c>
      <c r="I266" s="35" t="s">
        <v>167</v>
      </c>
      <c r="J266" s="35" t="s">
        <v>985</v>
      </c>
      <c r="K266" s="35" t="s">
        <v>173</v>
      </c>
      <c r="L266" s="35">
        <v>0</v>
      </c>
      <c r="O266" s="35">
        <v>1</v>
      </c>
      <c r="P266" s="35" t="s">
        <v>388</v>
      </c>
      <c r="Q266" s="1" t="s">
        <v>1595</v>
      </c>
      <c r="R266" s="1"/>
      <c r="T266" s="35">
        <v>15</v>
      </c>
      <c r="V266" s="35">
        <v>12</v>
      </c>
      <c r="W266" s="1">
        <v>15</v>
      </c>
      <c r="X266" s="1">
        <v>14</v>
      </c>
      <c r="Y266" s="1" t="s">
        <v>2259</v>
      </c>
      <c r="Z266" s="35">
        <v>7</v>
      </c>
      <c r="AA266" s="13" t="b">
        <v>1</v>
      </c>
      <c r="AB266" s="1"/>
      <c r="AC266" s="57" t="s">
        <v>1397</v>
      </c>
      <c r="AD266" s="1"/>
      <c r="AE266" s="57"/>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c r="IY266" s="1"/>
      <c r="IZ266" s="1"/>
      <c r="JA266" s="1"/>
      <c r="JB266" s="1"/>
      <c r="JC266" s="1"/>
      <c r="JD266" s="1"/>
      <c r="JE266" s="1"/>
      <c r="JF266" s="1"/>
      <c r="JG266" s="1"/>
      <c r="JH266" s="1"/>
      <c r="JI266" s="1"/>
      <c r="JJ266" s="1"/>
      <c r="JK266" s="1"/>
      <c r="JL266" s="1"/>
      <c r="JM266" s="1"/>
      <c r="JN266" s="1"/>
      <c r="JO266" s="1"/>
      <c r="JP266" s="1"/>
      <c r="JQ266" s="1"/>
      <c r="JR266" s="1"/>
      <c r="JS266" s="1"/>
      <c r="JT266" s="1"/>
      <c r="JU266" s="1"/>
      <c r="JV266" s="1"/>
      <c r="JW266" s="1"/>
      <c r="JX266" s="1"/>
      <c r="JY266" s="1"/>
      <c r="JZ266" s="1"/>
      <c r="KA266" s="1"/>
      <c r="KB266" s="1"/>
      <c r="KC266" s="1"/>
      <c r="KD266" s="1"/>
      <c r="KE266" s="1"/>
      <c r="KF266" s="1"/>
      <c r="KG266" s="1"/>
      <c r="KH266" s="1"/>
      <c r="KI266" s="1"/>
      <c r="KJ266" s="1"/>
      <c r="KK266" s="1"/>
      <c r="KL266" s="1"/>
      <c r="KM266" s="1"/>
      <c r="KN266" s="1"/>
      <c r="KO266" s="1"/>
      <c r="KP266" s="1"/>
      <c r="KQ266" s="1"/>
      <c r="KR266" s="1"/>
      <c r="KS266" s="1"/>
      <c r="KT266" s="1"/>
      <c r="KU266" s="1"/>
      <c r="KV266" s="1"/>
      <c r="KW266" s="1"/>
      <c r="KX266" s="1"/>
      <c r="KY266" s="1"/>
      <c r="KZ266" s="1"/>
      <c r="LA266" s="1"/>
      <c r="LB266" s="1"/>
      <c r="LC266" s="1"/>
      <c r="LD266" s="1"/>
      <c r="LE266" s="1"/>
      <c r="LF266" s="1"/>
      <c r="LG266" s="1"/>
      <c r="LH266" s="1"/>
      <c r="LI266" s="1"/>
      <c r="LJ266" s="1"/>
      <c r="LK266" s="1"/>
      <c r="LL266" s="1"/>
      <c r="LM266" s="1"/>
      <c r="LN266" s="1"/>
      <c r="LO266" s="1"/>
      <c r="LP266" s="1"/>
      <c r="LQ266" s="1"/>
      <c r="LR266" s="1"/>
      <c r="LS266" s="1"/>
    </row>
    <row r="267" spans="1:331" s="68" customFormat="1" x14ac:dyDescent="0.25">
      <c r="A267" s="68" t="s">
        <v>986</v>
      </c>
      <c r="B267" s="68" t="s">
        <v>987</v>
      </c>
      <c r="C267" s="1" t="s">
        <v>1650</v>
      </c>
      <c r="D267" s="68">
        <v>0</v>
      </c>
      <c r="H267" s="68" t="s">
        <v>988</v>
      </c>
      <c r="I267" s="68" t="s">
        <v>989</v>
      </c>
      <c r="J267" s="68" t="s">
        <v>988</v>
      </c>
      <c r="K267" s="68" t="s">
        <v>989</v>
      </c>
      <c r="L267" s="68">
        <v>1</v>
      </c>
      <c r="M267" s="68" t="s">
        <v>990</v>
      </c>
      <c r="O267" s="68">
        <v>1</v>
      </c>
      <c r="P267" s="68" t="s">
        <v>991</v>
      </c>
      <c r="Q267" s="1"/>
      <c r="R267" s="1" t="s">
        <v>992</v>
      </c>
      <c r="T267" s="68">
        <v>20</v>
      </c>
      <c r="W267" s="1">
        <v>20</v>
      </c>
      <c r="X267" s="1">
        <v>22</v>
      </c>
      <c r="Y267" s="1" t="s">
        <v>2260</v>
      </c>
      <c r="Z267" s="68">
        <v>13</v>
      </c>
      <c r="AA267" s="13" t="b">
        <v>1</v>
      </c>
      <c r="AB267" s="17" t="s">
        <v>1890</v>
      </c>
      <c r="AC267" s="57" t="s">
        <v>1236</v>
      </c>
      <c r="AD267" s="1"/>
      <c r="AE267" s="57"/>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row>
    <row r="268" spans="1:331" s="3" customFormat="1" x14ac:dyDescent="0.25">
      <c r="A268" s="3" t="s">
        <v>993</v>
      </c>
      <c r="B268" s="5" t="s">
        <v>994</v>
      </c>
      <c r="C268" s="13" t="s">
        <v>1650</v>
      </c>
      <c r="D268" s="3">
        <v>0</v>
      </c>
      <c r="H268" s="3" t="s">
        <v>995</v>
      </c>
      <c r="I268" s="3" t="s">
        <v>995</v>
      </c>
      <c r="J268" s="3" t="s">
        <v>392</v>
      </c>
      <c r="K268" s="3" t="s">
        <v>995</v>
      </c>
      <c r="L268" s="3">
        <v>1</v>
      </c>
      <c r="M268" s="3" t="s">
        <v>996</v>
      </c>
      <c r="O268" s="3">
        <v>1</v>
      </c>
      <c r="Q268" s="1" t="s">
        <v>603</v>
      </c>
      <c r="R268" s="1"/>
      <c r="T268" s="3">
        <v>8</v>
      </c>
      <c r="W268" s="1">
        <v>8</v>
      </c>
      <c r="X268" s="1">
        <v>11</v>
      </c>
      <c r="Y268" s="1" t="s">
        <v>2261</v>
      </c>
      <c r="Z268" s="3">
        <v>1</v>
      </c>
      <c r="AA268" s="13" t="b">
        <v>1</v>
      </c>
      <c r="AB268" s="1"/>
      <c r="AC268" s="57" t="s">
        <v>1237</v>
      </c>
      <c r="AD268" s="1"/>
      <c r="AE268" s="57"/>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c r="IY268" s="1"/>
      <c r="IZ268" s="1"/>
      <c r="JA268" s="1"/>
      <c r="JB268" s="1"/>
      <c r="JC268" s="1"/>
      <c r="JD268" s="1"/>
      <c r="JE268" s="1"/>
      <c r="JF268" s="1"/>
      <c r="JG268" s="1"/>
      <c r="JH268" s="1"/>
      <c r="JI268" s="1"/>
      <c r="JJ268" s="1"/>
      <c r="JK268" s="1"/>
      <c r="JL268" s="1"/>
      <c r="JM268" s="1"/>
      <c r="JN268" s="1"/>
      <c r="JO268" s="1"/>
      <c r="JP268" s="1"/>
      <c r="JQ268" s="1"/>
      <c r="JR268" s="1"/>
      <c r="JS268" s="1"/>
      <c r="JT268" s="1"/>
      <c r="JU268" s="1"/>
      <c r="JV268" s="1"/>
      <c r="JW268" s="1"/>
      <c r="JX268" s="1"/>
      <c r="JY268" s="1"/>
      <c r="JZ268" s="1"/>
      <c r="KA268" s="1"/>
      <c r="KB268" s="1"/>
      <c r="KC268" s="1"/>
      <c r="KD268" s="1"/>
      <c r="KE268" s="1"/>
      <c r="KF268" s="1"/>
      <c r="KG268" s="1"/>
      <c r="KH268" s="1"/>
      <c r="KI268" s="1"/>
      <c r="KJ268" s="1"/>
      <c r="KK268" s="1"/>
      <c r="KL268" s="1"/>
      <c r="KM268" s="1"/>
      <c r="KN268" s="1"/>
      <c r="KO268" s="1"/>
      <c r="KP268" s="1"/>
      <c r="KQ268" s="1"/>
      <c r="KR268" s="1"/>
      <c r="KS268" s="1"/>
      <c r="KT268" s="1"/>
      <c r="KU268" s="1"/>
      <c r="KV268" s="1"/>
      <c r="KW268" s="1"/>
      <c r="KX268" s="1"/>
      <c r="KY268" s="1"/>
      <c r="KZ268" s="1"/>
      <c r="LA268" s="1"/>
      <c r="LB268" s="1"/>
      <c r="LC268" s="1"/>
      <c r="LD268" s="1"/>
      <c r="LE268" s="1"/>
      <c r="LF268" s="1"/>
      <c r="LG268" s="1"/>
      <c r="LH268" s="1"/>
      <c r="LI268" s="1"/>
      <c r="LJ268" s="1"/>
      <c r="LK268" s="1"/>
      <c r="LL268" s="1"/>
      <c r="LM268" s="1"/>
      <c r="LN268" s="1"/>
      <c r="LO268" s="1"/>
      <c r="LP268" s="1"/>
      <c r="LQ268" s="1"/>
      <c r="LR268" s="1"/>
      <c r="LS268" s="1"/>
    </row>
    <row r="269" spans="1:331" s="68" customFormat="1" x14ac:dyDescent="0.25">
      <c r="A269" s="68" t="s">
        <v>997</v>
      </c>
      <c r="B269" s="70" t="s">
        <v>998</v>
      </c>
      <c r="C269" s="13" t="s">
        <v>1651</v>
      </c>
      <c r="D269" s="68">
        <v>1</v>
      </c>
      <c r="E269" s="68" t="s">
        <v>999</v>
      </c>
      <c r="H269" s="68" t="s">
        <v>1000</v>
      </c>
      <c r="I269" s="68" t="s">
        <v>1001</v>
      </c>
      <c r="J269" s="71">
        <v>42999</v>
      </c>
      <c r="K269" s="71" t="s">
        <v>1000</v>
      </c>
      <c r="L269" s="68">
        <v>0</v>
      </c>
      <c r="O269" s="68">
        <v>1</v>
      </c>
      <c r="P269" s="68" t="s">
        <v>1002</v>
      </c>
      <c r="Q269" s="1"/>
      <c r="R269" s="1" t="s">
        <v>1003</v>
      </c>
      <c r="T269" s="68">
        <v>12</v>
      </c>
      <c r="V269" s="68">
        <v>19</v>
      </c>
      <c r="W269" s="1">
        <v>12</v>
      </c>
      <c r="X269" s="1">
        <v>22</v>
      </c>
      <c r="Y269" s="1" t="s">
        <v>2262</v>
      </c>
      <c r="Z269" s="68">
        <v>13</v>
      </c>
      <c r="AA269" s="13" t="b">
        <v>1</v>
      </c>
      <c r="AB269" s="1" t="s">
        <v>1898</v>
      </c>
      <c r="AC269" s="57" t="s">
        <v>1436</v>
      </c>
      <c r="AD269" s="1"/>
      <c r="AE269" t="s">
        <v>1888</v>
      </c>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row>
    <row r="270" spans="1:331" s="25" customFormat="1" x14ac:dyDescent="0.25">
      <c r="A270" s="25" t="s">
        <v>1004</v>
      </c>
      <c r="B270" s="29" t="s">
        <v>1005</v>
      </c>
      <c r="C270" s="13" t="s">
        <v>1651</v>
      </c>
      <c r="D270" s="25">
        <v>0</v>
      </c>
      <c r="H270" s="25" t="s">
        <v>1006</v>
      </c>
      <c r="I270" s="25" t="s">
        <v>1007</v>
      </c>
      <c r="J270" s="25" t="s">
        <v>1008</v>
      </c>
      <c r="K270" s="25" t="s">
        <v>1706</v>
      </c>
      <c r="L270" s="25">
        <v>0</v>
      </c>
      <c r="O270" s="25">
        <v>0</v>
      </c>
      <c r="Q270" s="1" t="s">
        <v>1596</v>
      </c>
      <c r="R270" s="1"/>
      <c r="T270" s="25">
        <v>8</v>
      </c>
      <c r="V270" s="25">
        <v>12</v>
      </c>
      <c r="W270" s="1">
        <v>8</v>
      </c>
      <c r="X270" s="1">
        <v>19</v>
      </c>
      <c r="Y270" s="1" t="s">
        <v>2263</v>
      </c>
      <c r="Z270" s="25">
        <v>5</v>
      </c>
      <c r="AA270" s="13" t="b">
        <v>1</v>
      </c>
      <c r="AB270" s="1" t="s">
        <v>1899</v>
      </c>
      <c r="AC270" s="57" t="s">
        <v>1344</v>
      </c>
      <c r="AD270" s="1"/>
      <c r="AE270" s="57"/>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c r="IY270" s="1"/>
      <c r="IZ270" s="1"/>
      <c r="JA270" s="1"/>
      <c r="JB270" s="1"/>
      <c r="JC270" s="1"/>
      <c r="JD270" s="1"/>
      <c r="JE270" s="1"/>
      <c r="JF270" s="1"/>
      <c r="JG270" s="1"/>
      <c r="JH270" s="1"/>
      <c r="JI270" s="1"/>
      <c r="JJ270" s="1"/>
      <c r="JK270" s="1"/>
      <c r="JL270" s="1"/>
      <c r="JM270" s="1"/>
      <c r="JN270" s="1"/>
      <c r="JO270" s="1"/>
      <c r="JP270" s="1"/>
      <c r="JQ270" s="1"/>
      <c r="JR270" s="1"/>
      <c r="JS270" s="1"/>
      <c r="JT270" s="1"/>
      <c r="JU270" s="1"/>
      <c r="JV270" s="1"/>
      <c r="JW270" s="1"/>
      <c r="JX270" s="1"/>
      <c r="JY270" s="1"/>
      <c r="JZ270" s="1"/>
      <c r="KA270" s="1"/>
      <c r="KB270" s="1"/>
      <c r="KC270" s="1"/>
      <c r="KD270" s="1"/>
      <c r="KE270" s="1"/>
      <c r="KF270" s="1"/>
      <c r="KG270" s="1"/>
      <c r="KH270" s="1"/>
      <c r="KI270" s="1"/>
      <c r="KJ270" s="1"/>
      <c r="KK270" s="1"/>
      <c r="KL270" s="1"/>
      <c r="KM270" s="1"/>
      <c r="KN270" s="1"/>
      <c r="KO270" s="1"/>
      <c r="KP270" s="1"/>
      <c r="KQ270" s="1"/>
      <c r="KR270" s="1"/>
      <c r="KS270" s="1"/>
      <c r="KT270" s="1"/>
      <c r="KU270" s="1"/>
      <c r="KV270" s="1"/>
      <c r="KW270" s="1"/>
      <c r="KX270" s="1"/>
      <c r="KY270" s="1"/>
      <c r="KZ270" s="1"/>
      <c r="LA270" s="1"/>
      <c r="LB270" s="1"/>
      <c r="LC270" s="1"/>
      <c r="LD270" s="1"/>
      <c r="LE270" s="1"/>
      <c r="LF270" s="1"/>
      <c r="LG270" s="1"/>
      <c r="LH270" s="1"/>
      <c r="LI270" s="1"/>
      <c r="LJ270" s="1"/>
      <c r="LK270" s="1"/>
      <c r="LL270" s="1"/>
      <c r="LM270" s="1"/>
      <c r="LN270" s="1"/>
      <c r="LO270" s="1"/>
      <c r="LP270" s="1"/>
      <c r="LQ270" s="1"/>
      <c r="LR270" s="1"/>
      <c r="LS270" s="1"/>
    </row>
    <row r="271" spans="1:331" s="40" customFormat="1" x14ac:dyDescent="0.25">
      <c r="A271" s="40" t="s">
        <v>1009</v>
      </c>
      <c r="B271" s="44" t="s">
        <v>1010</v>
      </c>
      <c r="C271" s="13" t="s">
        <v>1651</v>
      </c>
      <c r="D271" s="40">
        <v>0</v>
      </c>
      <c r="H271" s="40" t="s">
        <v>1011</v>
      </c>
      <c r="I271" s="40" t="s">
        <v>1012</v>
      </c>
      <c r="J271" s="40" t="s">
        <v>1011</v>
      </c>
      <c r="K271" s="40" t="s">
        <v>1707</v>
      </c>
      <c r="L271" s="40">
        <v>0</v>
      </c>
      <c r="O271" s="40">
        <v>1</v>
      </c>
      <c r="P271" s="77">
        <v>42914</v>
      </c>
      <c r="Q271" s="1" t="s">
        <v>1597</v>
      </c>
      <c r="R271" s="1"/>
      <c r="S271" s="40">
        <v>6</v>
      </c>
      <c r="U271" s="40">
        <v>16</v>
      </c>
      <c r="W271" s="1">
        <v>6</v>
      </c>
      <c r="X271" s="1">
        <v>20</v>
      </c>
      <c r="Y271" s="1" t="s">
        <v>2264</v>
      </c>
      <c r="Z271" s="40">
        <v>8</v>
      </c>
      <c r="AA271" s="13" t="b">
        <v>1</v>
      </c>
      <c r="AB271" s="1" t="s">
        <v>1898</v>
      </c>
      <c r="AC271" s="57" t="s">
        <v>1926</v>
      </c>
      <c r="AD271" s="1"/>
      <c r="AE271" s="57"/>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c r="IY271" s="1"/>
      <c r="IZ271" s="1"/>
      <c r="JA271" s="1"/>
      <c r="JB271" s="1"/>
      <c r="JC271" s="1"/>
      <c r="JD271" s="1"/>
      <c r="JE271" s="1"/>
      <c r="JF271" s="1"/>
      <c r="JG271" s="1"/>
      <c r="JH271" s="1"/>
      <c r="JI271" s="1"/>
      <c r="JJ271" s="1"/>
      <c r="JK271" s="1"/>
      <c r="JL271" s="1"/>
      <c r="JM271" s="1"/>
      <c r="JN271" s="1"/>
      <c r="JO271" s="1"/>
      <c r="JP271" s="1"/>
      <c r="JQ271" s="1"/>
      <c r="JR271" s="1"/>
      <c r="JS271" s="1"/>
      <c r="JT271" s="1"/>
      <c r="JU271" s="1"/>
      <c r="JV271" s="1"/>
      <c r="JW271" s="1"/>
      <c r="JX271" s="1"/>
      <c r="JY271" s="1"/>
      <c r="JZ271" s="1"/>
      <c r="KA271" s="1"/>
      <c r="KB271" s="1"/>
      <c r="KC271" s="1"/>
      <c r="KD271" s="1"/>
      <c r="KE271" s="1"/>
      <c r="KF271" s="1"/>
      <c r="KG271" s="1"/>
      <c r="KH271" s="1"/>
      <c r="KI271" s="1"/>
      <c r="KJ271" s="1"/>
      <c r="KK271" s="1"/>
      <c r="KL271" s="1"/>
      <c r="KM271" s="1"/>
      <c r="KN271" s="1"/>
      <c r="KO271" s="1"/>
      <c r="KP271" s="1"/>
      <c r="KQ271" s="1"/>
      <c r="KR271" s="1"/>
      <c r="KS271" s="1"/>
      <c r="KT271" s="1"/>
      <c r="KU271" s="1"/>
      <c r="KV271" s="1"/>
      <c r="KW271" s="1"/>
      <c r="KX271" s="1"/>
      <c r="KY271" s="1"/>
      <c r="KZ271" s="1"/>
      <c r="LA271" s="1"/>
      <c r="LB271" s="1"/>
      <c r="LC271" s="1"/>
      <c r="LD271" s="1"/>
      <c r="LE271" s="1"/>
      <c r="LF271" s="1"/>
      <c r="LG271" s="1"/>
      <c r="LH271" s="1"/>
      <c r="LI271" s="1"/>
      <c r="LJ271" s="1"/>
      <c r="LK271" s="1"/>
      <c r="LL271" s="1"/>
      <c r="LM271" s="1"/>
      <c r="LN271" s="1"/>
      <c r="LO271" s="1"/>
      <c r="LP271" s="1"/>
      <c r="LQ271" s="1"/>
      <c r="LR271" s="1"/>
      <c r="LS271" s="1"/>
    </row>
    <row r="272" spans="1:331" s="25" customFormat="1" x14ac:dyDescent="0.25">
      <c r="A272" s="25" t="s">
        <v>1013</v>
      </c>
      <c r="B272" s="29" t="s">
        <v>1014</v>
      </c>
      <c r="C272" s="13" t="s">
        <v>1651</v>
      </c>
      <c r="D272" s="25">
        <v>0</v>
      </c>
      <c r="H272" s="25" t="s">
        <v>1015</v>
      </c>
      <c r="I272" s="25" t="s">
        <v>1016</v>
      </c>
      <c r="J272" s="25" t="s">
        <v>1017</v>
      </c>
      <c r="K272" s="25" t="s">
        <v>1015</v>
      </c>
      <c r="L272" s="25">
        <v>0</v>
      </c>
      <c r="O272" s="25">
        <v>0</v>
      </c>
      <c r="Q272" s="1" t="s">
        <v>1598</v>
      </c>
      <c r="R272" s="1"/>
      <c r="S272" s="25">
        <v>14</v>
      </c>
      <c r="U272" s="25">
        <v>11</v>
      </c>
      <c r="W272" s="1">
        <v>14</v>
      </c>
      <c r="X272" s="1">
        <v>11</v>
      </c>
      <c r="Y272" s="1" t="s">
        <v>2265</v>
      </c>
      <c r="Z272" s="25">
        <v>5</v>
      </c>
      <c r="AA272" s="13" t="b">
        <v>1</v>
      </c>
      <c r="AB272" s="1" t="s">
        <v>1899</v>
      </c>
      <c r="AC272" s="57" t="s">
        <v>1345</v>
      </c>
      <c r="AD272" s="1"/>
      <c r="AE272" s="57"/>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c r="IY272" s="1"/>
      <c r="IZ272" s="1"/>
      <c r="JA272" s="1"/>
      <c r="JB272" s="1"/>
      <c r="JC272" s="1"/>
      <c r="JD272" s="1"/>
      <c r="JE272" s="1"/>
      <c r="JF272" s="1"/>
      <c r="JG272" s="1"/>
      <c r="JH272" s="1"/>
      <c r="JI272" s="1"/>
      <c r="JJ272" s="1"/>
      <c r="JK272" s="1"/>
      <c r="JL272" s="1"/>
      <c r="JM272" s="1"/>
      <c r="JN272" s="1"/>
      <c r="JO272" s="1"/>
      <c r="JP272" s="1"/>
      <c r="JQ272" s="1"/>
      <c r="JR272" s="1"/>
      <c r="JS272" s="1"/>
      <c r="JT272" s="1"/>
      <c r="JU272" s="1"/>
      <c r="JV272" s="1"/>
      <c r="JW272" s="1"/>
      <c r="JX272" s="1"/>
      <c r="JY272" s="1"/>
      <c r="JZ272" s="1"/>
      <c r="KA272" s="1"/>
      <c r="KB272" s="1"/>
      <c r="KC272" s="1"/>
      <c r="KD272" s="1"/>
      <c r="KE272" s="1"/>
      <c r="KF272" s="1"/>
      <c r="KG272" s="1"/>
      <c r="KH272" s="1"/>
      <c r="KI272" s="1"/>
      <c r="KJ272" s="1"/>
      <c r="KK272" s="1"/>
      <c r="KL272" s="1"/>
      <c r="KM272" s="1"/>
      <c r="KN272" s="1"/>
      <c r="KO272" s="1"/>
      <c r="KP272" s="1"/>
      <c r="KQ272" s="1"/>
      <c r="KR272" s="1"/>
      <c r="KS272" s="1"/>
      <c r="KT272" s="1"/>
      <c r="KU272" s="1"/>
      <c r="KV272" s="1"/>
      <c r="KW272" s="1"/>
      <c r="KX272" s="1"/>
      <c r="KY272" s="1"/>
      <c r="KZ272" s="1"/>
      <c r="LA272" s="1"/>
      <c r="LB272" s="1"/>
      <c r="LC272" s="1"/>
      <c r="LD272" s="1"/>
      <c r="LE272" s="1"/>
      <c r="LF272" s="1"/>
      <c r="LG272" s="1"/>
      <c r="LH272" s="1"/>
      <c r="LI272" s="1"/>
      <c r="LJ272" s="1"/>
      <c r="LK272" s="1"/>
      <c r="LL272" s="1"/>
      <c r="LM272" s="1"/>
      <c r="LN272" s="1"/>
      <c r="LO272" s="1"/>
      <c r="LP272" s="1"/>
      <c r="LQ272" s="1"/>
      <c r="LR272" s="1"/>
      <c r="LS272" s="1"/>
    </row>
    <row r="273" spans="1:331" s="40" customFormat="1" x14ac:dyDescent="0.25">
      <c r="A273" s="40" t="s">
        <v>1018</v>
      </c>
      <c r="B273" s="44" t="s">
        <v>1019</v>
      </c>
      <c r="C273" s="13" t="s">
        <v>1651</v>
      </c>
      <c r="D273" s="40">
        <v>0</v>
      </c>
      <c r="H273" s="40" t="s">
        <v>1020</v>
      </c>
      <c r="I273" s="40" t="s">
        <v>1021</v>
      </c>
      <c r="J273" s="40" t="s">
        <v>1022</v>
      </c>
      <c r="K273" s="40" t="s">
        <v>1708</v>
      </c>
      <c r="L273" s="40">
        <v>0</v>
      </c>
      <c r="O273" s="40">
        <v>1</v>
      </c>
      <c r="P273" s="40" t="s">
        <v>1023</v>
      </c>
      <c r="Q273" s="1" t="s">
        <v>1599</v>
      </c>
      <c r="R273" s="1"/>
      <c r="S273" s="40">
        <v>15</v>
      </c>
      <c r="U273" s="40">
        <v>14</v>
      </c>
      <c r="W273" s="1">
        <v>15</v>
      </c>
      <c r="X273" s="1">
        <v>16</v>
      </c>
      <c r="Y273" s="1" t="s">
        <v>2266</v>
      </c>
      <c r="Z273" s="40">
        <v>8</v>
      </c>
      <c r="AA273" s="13" t="b">
        <v>1</v>
      </c>
      <c r="AB273" s="1"/>
      <c r="AC273" s="57" t="s">
        <v>1437</v>
      </c>
      <c r="AD273" s="1"/>
      <c r="AE273" s="57"/>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c r="IY273" s="1"/>
      <c r="IZ273" s="1"/>
      <c r="JA273" s="1"/>
      <c r="JB273" s="1"/>
      <c r="JC273" s="1"/>
      <c r="JD273" s="1"/>
      <c r="JE273" s="1"/>
      <c r="JF273" s="1"/>
      <c r="JG273" s="1"/>
      <c r="JH273" s="1"/>
      <c r="JI273" s="1"/>
      <c r="JJ273" s="1"/>
      <c r="JK273" s="1"/>
      <c r="JL273" s="1"/>
      <c r="JM273" s="1"/>
      <c r="JN273" s="1"/>
      <c r="JO273" s="1"/>
      <c r="JP273" s="1"/>
      <c r="JQ273" s="1"/>
      <c r="JR273" s="1"/>
      <c r="JS273" s="1"/>
      <c r="JT273" s="1"/>
      <c r="JU273" s="1"/>
      <c r="JV273" s="1"/>
      <c r="JW273" s="1"/>
      <c r="JX273" s="1"/>
      <c r="JY273" s="1"/>
      <c r="JZ273" s="1"/>
      <c r="KA273" s="1"/>
      <c r="KB273" s="1"/>
      <c r="KC273" s="1"/>
      <c r="KD273" s="1"/>
      <c r="KE273" s="1"/>
      <c r="KF273" s="1"/>
      <c r="KG273" s="1"/>
      <c r="KH273" s="1"/>
      <c r="KI273" s="1"/>
      <c r="KJ273" s="1"/>
      <c r="KK273" s="1"/>
      <c r="KL273" s="1"/>
      <c r="KM273" s="1"/>
      <c r="KN273" s="1"/>
      <c r="KO273" s="1"/>
      <c r="KP273" s="1"/>
      <c r="KQ273" s="1"/>
      <c r="KR273" s="1"/>
      <c r="KS273" s="1"/>
      <c r="KT273" s="1"/>
      <c r="KU273" s="1"/>
      <c r="KV273" s="1"/>
      <c r="KW273" s="1"/>
      <c r="KX273" s="1"/>
      <c r="KY273" s="1"/>
      <c r="KZ273" s="1"/>
      <c r="LA273" s="1"/>
      <c r="LB273" s="1"/>
      <c r="LC273" s="1"/>
      <c r="LD273" s="1"/>
      <c r="LE273" s="1"/>
      <c r="LF273" s="1"/>
      <c r="LG273" s="1"/>
      <c r="LH273" s="1"/>
      <c r="LI273" s="1"/>
      <c r="LJ273" s="1"/>
      <c r="LK273" s="1"/>
      <c r="LL273" s="1"/>
      <c r="LM273" s="1"/>
      <c r="LN273" s="1"/>
      <c r="LO273" s="1"/>
      <c r="LP273" s="1"/>
      <c r="LQ273" s="1"/>
      <c r="LR273" s="1"/>
      <c r="LS273" s="1"/>
    </row>
    <row r="274" spans="1:331" s="40" customFormat="1" x14ac:dyDescent="0.25">
      <c r="A274" s="40" t="s">
        <v>1024</v>
      </c>
      <c r="B274" s="44" t="s">
        <v>1025</v>
      </c>
      <c r="C274" s="13" t="s">
        <v>1651</v>
      </c>
      <c r="D274" s="40">
        <v>0</v>
      </c>
      <c r="H274" s="40" t="s">
        <v>1026</v>
      </c>
      <c r="I274" s="40" t="s">
        <v>1027</v>
      </c>
      <c r="J274" s="40" t="s">
        <v>1028</v>
      </c>
      <c r="K274" s="40" t="s">
        <v>1709</v>
      </c>
      <c r="L274" s="40">
        <v>0</v>
      </c>
      <c r="O274" s="40">
        <v>1</v>
      </c>
      <c r="P274" s="40" t="s">
        <v>1029</v>
      </c>
      <c r="Q274" s="1" t="s">
        <v>1184</v>
      </c>
      <c r="R274" s="1"/>
      <c r="S274" s="40">
        <v>12</v>
      </c>
      <c r="U274" s="40">
        <v>17</v>
      </c>
      <c r="W274" s="1">
        <v>12</v>
      </c>
      <c r="X274" s="1">
        <v>21</v>
      </c>
      <c r="Y274" s="1" t="s">
        <v>2267</v>
      </c>
      <c r="Z274" s="40">
        <v>8</v>
      </c>
      <c r="AA274" s="13" t="b">
        <v>1</v>
      </c>
      <c r="AB274" s="1" t="s">
        <v>1898</v>
      </c>
      <c r="AC274" s="57" t="s">
        <v>1382</v>
      </c>
      <c r="AD274" s="1"/>
      <c r="AE274" s="57"/>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1"/>
      <c r="JH274" s="1"/>
      <c r="JI274" s="1"/>
      <c r="JJ274" s="1"/>
      <c r="JK274" s="1"/>
      <c r="JL274" s="1"/>
      <c r="JM274" s="1"/>
      <c r="JN274" s="1"/>
      <c r="JO274" s="1"/>
      <c r="JP274" s="1"/>
      <c r="JQ274" s="1"/>
      <c r="JR274" s="1"/>
      <c r="JS274" s="1"/>
      <c r="JT274" s="1"/>
      <c r="JU274" s="1"/>
      <c r="JV274" s="1"/>
      <c r="JW274" s="1"/>
      <c r="JX274" s="1"/>
      <c r="JY274" s="1"/>
      <c r="JZ274" s="1"/>
      <c r="KA274" s="1"/>
      <c r="KB274" s="1"/>
      <c r="KC274" s="1"/>
      <c r="KD274" s="1"/>
      <c r="KE274" s="1"/>
      <c r="KF274" s="1"/>
      <c r="KG274" s="1"/>
      <c r="KH274" s="1"/>
      <c r="KI274" s="1"/>
      <c r="KJ274" s="1"/>
      <c r="KK274" s="1"/>
      <c r="KL274" s="1"/>
      <c r="KM274" s="1"/>
      <c r="KN274" s="1"/>
      <c r="KO274" s="1"/>
      <c r="KP274" s="1"/>
      <c r="KQ274" s="1"/>
      <c r="KR274" s="1"/>
      <c r="KS274" s="1"/>
      <c r="KT274" s="1"/>
      <c r="KU274" s="1"/>
      <c r="KV274" s="1"/>
      <c r="KW274" s="1"/>
      <c r="KX274" s="1"/>
      <c r="KY274" s="1"/>
      <c r="KZ274" s="1"/>
      <c r="LA274" s="1"/>
      <c r="LB274" s="1"/>
      <c r="LC274" s="1"/>
      <c r="LD274" s="1"/>
      <c r="LE274" s="1"/>
      <c r="LF274" s="1"/>
      <c r="LG274" s="1"/>
      <c r="LH274" s="1"/>
      <c r="LI274" s="1"/>
      <c r="LJ274" s="1"/>
      <c r="LK274" s="1"/>
      <c r="LL274" s="1"/>
      <c r="LM274" s="1"/>
      <c r="LN274" s="1"/>
      <c r="LO274" s="1"/>
      <c r="LP274" s="1"/>
      <c r="LQ274" s="1"/>
      <c r="LR274" s="1"/>
      <c r="LS274" s="1"/>
    </row>
    <row r="275" spans="1:331" s="68" customFormat="1" x14ac:dyDescent="0.25">
      <c r="A275" s="68" t="s">
        <v>1030</v>
      </c>
      <c r="B275" s="70" t="s">
        <v>1031</v>
      </c>
      <c r="C275" s="13" t="s">
        <v>1651</v>
      </c>
      <c r="D275" s="68">
        <v>1</v>
      </c>
      <c r="E275" s="68" t="s">
        <v>1032</v>
      </c>
      <c r="H275" s="68" t="s">
        <v>1033</v>
      </c>
      <c r="I275" s="68" t="s">
        <v>1032</v>
      </c>
      <c r="J275" s="68" t="s">
        <v>1033</v>
      </c>
      <c r="K275" s="68" t="s">
        <v>1033</v>
      </c>
      <c r="L275" s="68">
        <v>0</v>
      </c>
      <c r="O275" s="68">
        <v>1</v>
      </c>
      <c r="P275" s="68" t="s">
        <v>1034</v>
      </c>
      <c r="Q275" s="1"/>
      <c r="R275" s="1" t="s">
        <v>1035</v>
      </c>
      <c r="T275" s="68">
        <v>15</v>
      </c>
      <c r="V275" s="68">
        <v>15</v>
      </c>
      <c r="W275" s="1">
        <v>15</v>
      </c>
      <c r="X275" s="1">
        <v>16</v>
      </c>
      <c r="Y275" s="1" t="s">
        <v>2268</v>
      </c>
      <c r="Z275" s="68">
        <v>13</v>
      </c>
      <c r="AA275" s="13" t="b">
        <v>1</v>
      </c>
      <c r="AB275" s="1"/>
      <c r="AC275" s="57" t="s">
        <v>1430</v>
      </c>
      <c r="AD275" s="1"/>
      <c r="AE275" s="57"/>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row>
    <row r="276" spans="1:331" s="25" customFormat="1" x14ac:dyDescent="0.25">
      <c r="A276" s="25" t="s">
        <v>1036</v>
      </c>
      <c r="B276" s="29" t="s">
        <v>1037</v>
      </c>
      <c r="C276" s="13" t="s">
        <v>1651</v>
      </c>
      <c r="D276" s="25">
        <v>0</v>
      </c>
      <c r="H276" s="25" t="s">
        <v>1038</v>
      </c>
      <c r="I276" s="25" t="s">
        <v>1039</v>
      </c>
      <c r="J276" s="25" t="s">
        <v>1039</v>
      </c>
      <c r="K276" s="25" t="s">
        <v>1039</v>
      </c>
      <c r="L276" s="25">
        <v>0</v>
      </c>
      <c r="O276" s="25">
        <v>0</v>
      </c>
      <c r="Q276" s="1" t="s">
        <v>1600</v>
      </c>
      <c r="R276" s="1"/>
      <c r="S276" s="25">
        <v>8</v>
      </c>
      <c r="U276" s="25">
        <v>9</v>
      </c>
      <c r="W276" s="1">
        <v>8</v>
      </c>
      <c r="X276" s="1">
        <v>10</v>
      </c>
      <c r="Y276" s="1" t="s">
        <v>2269</v>
      </c>
      <c r="Z276" s="25">
        <v>5</v>
      </c>
      <c r="AA276" s="13" t="b">
        <v>1</v>
      </c>
      <c r="AB276" s="1"/>
      <c r="AC276" s="57" t="s">
        <v>1346</v>
      </c>
      <c r="AD276" s="1"/>
      <c r="AE276" s="57"/>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c r="IY276" s="1"/>
      <c r="IZ276" s="1"/>
      <c r="JA276" s="1"/>
      <c r="JB276" s="1"/>
      <c r="JC276" s="1"/>
      <c r="JD276" s="1"/>
      <c r="JE276" s="1"/>
      <c r="JF276" s="1"/>
      <c r="JG276" s="1"/>
      <c r="JH276" s="1"/>
      <c r="JI276" s="1"/>
      <c r="JJ276" s="1"/>
      <c r="JK276" s="1"/>
      <c r="JL276" s="1"/>
      <c r="JM276" s="1"/>
      <c r="JN276" s="1"/>
      <c r="JO276" s="1"/>
      <c r="JP276" s="1"/>
      <c r="JQ276" s="1"/>
      <c r="JR276" s="1"/>
      <c r="JS276" s="1"/>
      <c r="JT276" s="1"/>
      <c r="JU276" s="1"/>
      <c r="JV276" s="1"/>
      <c r="JW276" s="1"/>
      <c r="JX276" s="1"/>
      <c r="JY276" s="1"/>
      <c r="JZ276" s="1"/>
      <c r="KA276" s="1"/>
      <c r="KB276" s="1"/>
      <c r="KC276" s="1"/>
      <c r="KD276" s="1"/>
      <c r="KE276" s="1"/>
      <c r="KF276" s="1"/>
      <c r="KG276" s="1"/>
      <c r="KH276" s="1"/>
      <c r="KI276" s="1"/>
      <c r="KJ276" s="1"/>
      <c r="KK276" s="1"/>
      <c r="KL276" s="1"/>
      <c r="KM276" s="1"/>
      <c r="KN276" s="1"/>
      <c r="KO276" s="1"/>
      <c r="KP276" s="1"/>
      <c r="KQ276" s="1"/>
      <c r="KR276" s="1"/>
      <c r="KS276" s="1"/>
      <c r="KT276" s="1"/>
      <c r="KU276" s="1"/>
      <c r="KV276" s="1"/>
      <c r="KW276" s="1"/>
      <c r="KX276" s="1"/>
      <c r="KY276" s="1"/>
      <c r="KZ276" s="1"/>
      <c r="LA276" s="1"/>
      <c r="LB276" s="1"/>
      <c r="LC276" s="1"/>
      <c r="LD276" s="1"/>
      <c r="LE276" s="1"/>
      <c r="LF276" s="1"/>
      <c r="LG276" s="1"/>
      <c r="LH276" s="1"/>
      <c r="LI276" s="1"/>
      <c r="LJ276" s="1"/>
      <c r="LK276" s="1"/>
      <c r="LL276" s="1"/>
      <c r="LM276" s="1"/>
      <c r="LN276" s="1"/>
      <c r="LO276" s="1"/>
      <c r="LP276" s="1"/>
      <c r="LQ276" s="1"/>
      <c r="LR276" s="1"/>
      <c r="LS276" s="1"/>
    </row>
    <row r="277" spans="1:331" s="25" customFormat="1" x14ac:dyDescent="0.25">
      <c r="A277" s="25" t="s">
        <v>1040</v>
      </c>
      <c r="B277" s="29" t="s">
        <v>1041</v>
      </c>
      <c r="C277" s="13" t="s">
        <v>1651</v>
      </c>
      <c r="D277" s="25">
        <v>0</v>
      </c>
      <c r="H277" s="25" t="s">
        <v>1042</v>
      </c>
      <c r="I277" s="25" t="s">
        <v>1043</v>
      </c>
      <c r="J277" s="25" t="s">
        <v>1044</v>
      </c>
      <c r="K277" s="25" t="s">
        <v>1042</v>
      </c>
      <c r="L277" s="25">
        <v>0</v>
      </c>
      <c r="O277" s="25">
        <v>0</v>
      </c>
      <c r="Q277" s="1" t="s">
        <v>1601</v>
      </c>
      <c r="R277" s="1"/>
      <c r="T277" s="25">
        <v>9</v>
      </c>
      <c r="V277" s="25">
        <v>8</v>
      </c>
      <c r="W277" s="1">
        <v>9</v>
      </c>
      <c r="X277" s="1">
        <v>14</v>
      </c>
      <c r="Y277" s="1" t="s">
        <v>2270</v>
      </c>
      <c r="Z277" s="25">
        <v>5</v>
      </c>
      <c r="AA277" s="13" t="b">
        <v>1</v>
      </c>
      <c r="AB277" s="1"/>
      <c r="AC277" s="57" t="s">
        <v>1347</v>
      </c>
      <c r="AD277" s="1"/>
      <c r="AE277" s="57"/>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c r="IY277" s="1"/>
      <c r="IZ277" s="1"/>
      <c r="JA277" s="1"/>
      <c r="JB277" s="1"/>
      <c r="JC277" s="1"/>
      <c r="JD277" s="1"/>
      <c r="JE277" s="1"/>
      <c r="JF277" s="1"/>
      <c r="JG277" s="1"/>
      <c r="JH277" s="1"/>
      <c r="JI277" s="1"/>
      <c r="JJ277" s="1"/>
      <c r="JK277" s="1"/>
      <c r="JL277" s="1"/>
      <c r="JM277" s="1"/>
      <c r="JN277" s="1"/>
      <c r="JO277" s="1"/>
      <c r="JP277" s="1"/>
      <c r="JQ277" s="1"/>
      <c r="JR277" s="1"/>
      <c r="JS277" s="1"/>
      <c r="JT277" s="1"/>
      <c r="JU277" s="1"/>
      <c r="JV277" s="1"/>
      <c r="JW277" s="1"/>
      <c r="JX277" s="1"/>
      <c r="JY277" s="1"/>
      <c r="JZ277" s="1"/>
      <c r="KA277" s="1"/>
      <c r="KB277" s="1"/>
      <c r="KC277" s="1"/>
      <c r="KD277" s="1"/>
      <c r="KE277" s="1"/>
      <c r="KF277" s="1"/>
      <c r="KG277" s="1"/>
      <c r="KH277" s="1"/>
      <c r="KI277" s="1"/>
      <c r="KJ277" s="1"/>
      <c r="KK277" s="1"/>
      <c r="KL277" s="1"/>
      <c r="KM277" s="1"/>
      <c r="KN277" s="1"/>
      <c r="KO277" s="1"/>
      <c r="KP277" s="1"/>
      <c r="KQ277" s="1"/>
      <c r="KR277" s="1"/>
      <c r="KS277" s="1"/>
      <c r="KT277" s="1"/>
      <c r="KU277" s="1"/>
      <c r="KV277" s="1"/>
      <c r="KW277" s="1"/>
      <c r="KX277" s="1"/>
      <c r="KY277" s="1"/>
      <c r="KZ277" s="1"/>
      <c r="LA277" s="1"/>
      <c r="LB277" s="1"/>
      <c r="LC277" s="1"/>
      <c r="LD277" s="1"/>
      <c r="LE277" s="1"/>
      <c r="LF277" s="1"/>
      <c r="LG277" s="1"/>
      <c r="LH277" s="1"/>
      <c r="LI277" s="1"/>
      <c r="LJ277" s="1"/>
      <c r="LK277" s="1"/>
      <c r="LL277" s="1"/>
      <c r="LM277" s="1"/>
      <c r="LN277" s="1"/>
      <c r="LO277" s="1"/>
      <c r="LP277" s="1"/>
      <c r="LQ277" s="1"/>
      <c r="LR277" s="1"/>
      <c r="LS277" s="1"/>
    </row>
    <row r="278" spans="1:331" s="30" customFormat="1" x14ac:dyDescent="0.25">
      <c r="A278" s="30" t="s">
        <v>1045</v>
      </c>
      <c r="B278" s="34" t="s">
        <v>1046</v>
      </c>
      <c r="C278" s="13" t="s">
        <v>1651</v>
      </c>
      <c r="D278" s="30">
        <v>1</v>
      </c>
      <c r="E278" s="30" t="s">
        <v>1047</v>
      </c>
      <c r="H278" s="30" t="s">
        <v>1048</v>
      </c>
      <c r="I278" s="30" t="s">
        <v>1049</v>
      </c>
      <c r="J278" s="30" t="s">
        <v>1048</v>
      </c>
      <c r="K278" s="30" t="s">
        <v>1047</v>
      </c>
      <c r="L278" s="30">
        <v>0</v>
      </c>
      <c r="O278" s="30">
        <v>0</v>
      </c>
      <c r="Q278" s="1" t="s">
        <v>1602</v>
      </c>
      <c r="R278" s="1"/>
      <c r="S278" s="30">
        <v>8</v>
      </c>
      <c r="U278" s="30">
        <v>7</v>
      </c>
      <c r="W278" s="1">
        <v>8</v>
      </c>
      <c r="X278" s="1">
        <v>9</v>
      </c>
      <c r="Y278" s="1" t="s">
        <v>2271</v>
      </c>
      <c r="Z278" s="30">
        <v>6</v>
      </c>
      <c r="AA278" s="13" t="b">
        <v>1</v>
      </c>
      <c r="AB278" s="1"/>
      <c r="AC278" s="57" t="s">
        <v>1389</v>
      </c>
      <c r="AD278" s="1"/>
      <c r="AE278" s="57"/>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c r="KD278" s="1"/>
      <c r="KE278" s="1"/>
      <c r="KF278" s="1"/>
      <c r="KG278" s="1"/>
      <c r="KH278" s="1"/>
      <c r="KI278" s="1"/>
      <c r="KJ278" s="1"/>
      <c r="KK278" s="1"/>
      <c r="KL278" s="1"/>
      <c r="KM278" s="1"/>
      <c r="KN278" s="1"/>
      <c r="KO278" s="1"/>
      <c r="KP278" s="1"/>
      <c r="KQ278" s="1"/>
      <c r="KR278" s="1"/>
      <c r="KS278" s="1"/>
      <c r="KT278" s="1"/>
      <c r="KU278" s="1"/>
      <c r="KV278" s="1"/>
      <c r="KW278" s="1"/>
      <c r="KX278" s="1"/>
      <c r="KY278" s="1"/>
      <c r="KZ278" s="1"/>
      <c r="LA278" s="1"/>
      <c r="LB278" s="1"/>
      <c r="LC278" s="1"/>
      <c r="LD278" s="1"/>
      <c r="LE278" s="1"/>
      <c r="LF278" s="1"/>
      <c r="LG278" s="1"/>
      <c r="LH278" s="1"/>
      <c r="LI278" s="1"/>
      <c r="LJ278" s="1"/>
      <c r="LK278" s="1"/>
      <c r="LL278" s="1"/>
      <c r="LM278" s="1"/>
      <c r="LN278" s="1"/>
      <c r="LO278" s="1"/>
      <c r="LP278" s="1"/>
      <c r="LQ278" s="1"/>
      <c r="LR278" s="1"/>
      <c r="LS278" s="1"/>
    </row>
    <row r="279" spans="1:331" s="35" customFormat="1" x14ac:dyDescent="0.25">
      <c r="A279" s="35" t="s">
        <v>1050</v>
      </c>
      <c r="B279" s="39" t="s">
        <v>1051</v>
      </c>
      <c r="C279" s="13" t="s">
        <v>1651</v>
      </c>
      <c r="D279" s="35">
        <v>1</v>
      </c>
      <c r="E279" s="35" t="s">
        <v>1052</v>
      </c>
      <c r="H279" s="35" t="s">
        <v>1053</v>
      </c>
      <c r="I279" s="35" t="s">
        <v>1054</v>
      </c>
      <c r="J279" s="35" t="s">
        <v>1055</v>
      </c>
      <c r="K279" s="35" t="s">
        <v>1052</v>
      </c>
      <c r="L279" s="35">
        <v>0</v>
      </c>
      <c r="O279" s="35">
        <v>1</v>
      </c>
      <c r="P279" s="35" t="s">
        <v>1056</v>
      </c>
      <c r="Q279" s="1" t="s">
        <v>1603</v>
      </c>
      <c r="R279" s="1"/>
      <c r="S279" s="35">
        <v>12</v>
      </c>
      <c r="V279" s="35">
        <v>10</v>
      </c>
      <c r="W279" s="1">
        <v>12</v>
      </c>
      <c r="X279" s="1">
        <v>17</v>
      </c>
      <c r="Y279" s="1" t="s">
        <v>2272</v>
      </c>
      <c r="Z279" s="35">
        <v>7</v>
      </c>
      <c r="AA279" s="13" t="b">
        <v>1</v>
      </c>
      <c r="AB279" s="1" t="s">
        <v>1893</v>
      </c>
      <c r="AC279" s="57" t="s">
        <v>1438</v>
      </c>
      <c r="AD279" s="1"/>
      <c r="AE279" s="57"/>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1"/>
      <c r="JF279" s="1"/>
      <c r="JG279" s="1"/>
      <c r="JH279" s="1"/>
      <c r="JI279" s="1"/>
      <c r="JJ279" s="1"/>
      <c r="JK279" s="1"/>
      <c r="JL279" s="1"/>
      <c r="JM279" s="1"/>
      <c r="JN279" s="1"/>
      <c r="JO279" s="1"/>
      <c r="JP279" s="1"/>
      <c r="JQ279" s="1"/>
      <c r="JR279" s="1"/>
      <c r="JS279" s="1"/>
      <c r="JT279" s="1"/>
      <c r="JU279" s="1"/>
      <c r="JV279" s="1"/>
      <c r="JW279" s="1"/>
      <c r="JX279" s="1"/>
      <c r="JY279" s="1"/>
      <c r="JZ279" s="1"/>
      <c r="KA279" s="1"/>
      <c r="KB279" s="1"/>
      <c r="KC279" s="1"/>
      <c r="KD279" s="1"/>
      <c r="KE279" s="1"/>
      <c r="KF279" s="1"/>
      <c r="KG279" s="1"/>
      <c r="KH279" s="1"/>
      <c r="KI279" s="1"/>
      <c r="KJ279" s="1"/>
      <c r="KK279" s="1"/>
      <c r="KL279" s="1"/>
      <c r="KM279" s="1"/>
      <c r="KN279" s="1"/>
      <c r="KO279" s="1"/>
      <c r="KP279" s="1"/>
      <c r="KQ279" s="1"/>
      <c r="KR279" s="1"/>
      <c r="KS279" s="1"/>
      <c r="KT279" s="1"/>
      <c r="KU279" s="1"/>
      <c r="KV279" s="1"/>
      <c r="KW279" s="1"/>
      <c r="KX279" s="1"/>
      <c r="KY279" s="1"/>
      <c r="KZ279" s="1"/>
      <c r="LA279" s="1"/>
      <c r="LB279" s="1"/>
      <c r="LC279" s="1"/>
      <c r="LD279" s="1"/>
      <c r="LE279" s="1"/>
      <c r="LF279" s="1"/>
      <c r="LG279" s="1"/>
      <c r="LH279" s="1"/>
      <c r="LI279" s="1"/>
      <c r="LJ279" s="1"/>
      <c r="LK279" s="1"/>
      <c r="LL279" s="1"/>
      <c r="LM279" s="1"/>
      <c r="LN279" s="1"/>
      <c r="LO279" s="1"/>
      <c r="LP279" s="1"/>
      <c r="LQ279" s="1"/>
      <c r="LR279" s="1"/>
      <c r="LS279" s="1"/>
    </row>
    <row r="280" spans="1:331" s="49" customFormat="1" x14ac:dyDescent="0.25">
      <c r="A280" s="49" t="s">
        <v>1057</v>
      </c>
      <c r="B280" s="51" t="s">
        <v>1058</v>
      </c>
      <c r="C280" s="13" t="s">
        <v>1651</v>
      </c>
      <c r="D280" s="49">
        <v>0</v>
      </c>
      <c r="H280" s="49" t="s">
        <v>1059</v>
      </c>
      <c r="I280" s="49" t="s">
        <v>1060</v>
      </c>
      <c r="J280" s="49" t="s">
        <v>1060</v>
      </c>
      <c r="K280" s="49" t="s">
        <v>1060</v>
      </c>
      <c r="L280" s="49">
        <v>0</v>
      </c>
      <c r="O280" s="49">
        <v>1</v>
      </c>
      <c r="Q280" s="1"/>
      <c r="R280" s="1" t="s">
        <v>1032</v>
      </c>
      <c r="S280" s="49">
        <v>7</v>
      </c>
      <c r="U280" s="49">
        <v>8</v>
      </c>
      <c r="W280" s="1">
        <v>7</v>
      </c>
      <c r="X280" s="1">
        <v>11</v>
      </c>
      <c r="Y280" s="1" t="s">
        <v>2273</v>
      </c>
      <c r="Z280" s="49">
        <v>9</v>
      </c>
      <c r="AA280" s="13" t="b">
        <v>1</v>
      </c>
      <c r="AB280" s="1"/>
      <c r="AC280" s="57" t="s">
        <v>1439</v>
      </c>
      <c r="AD280" s="1"/>
      <c r="AE280" s="57"/>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c r="IY280" s="1"/>
      <c r="IZ280" s="1"/>
      <c r="JA280" s="1"/>
      <c r="JB280" s="1"/>
      <c r="JC280" s="1"/>
      <c r="JD280" s="1"/>
      <c r="JE280" s="1"/>
      <c r="JF280" s="1"/>
      <c r="JG280" s="1"/>
      <c r="JH280" s="1"/>
      <c r="JI280" s="1"/>
      <c r="JJ280" s="1"/>
      <c r="JK280" s="1"/>
      <c r="JL280" s="1"/>
      <c r="JM280" s="1"/>
      <c r="JN280" s="1"/>
      <c r="JO280" s="1"/>
      <c r="JP280" s="1"/>
      <c r="JQ280" s="1"/>
      <c r="JR280" s="1"/>
      <c r="JS280" s="1"/>
      <c r="JT280" s="1"/>
      <c r="JU280" s="1"/>
      <c r="JV280" s="1"/>
      <c r="JW280" s="1"/>
      <c r="JX280" s="1"/>
      <c r="JY280" s="1"/>
      <c r="JZ280" s="1"/>
      <c r="KA280" s="1"/>
      <c r="KB280" s="1"/>
      <c r="KC280" s="1"/>
      <c r="KD280" s="1"/>
      <c r="KE280" s="1"/>
      <c r="KF280" s="1"/>
      <c r="KG280" s="1"/>
      <c r="KH280" s="1"/>
      <c r="KI280" s="1"/>
      <c r="KJ280" s="1"/>
      <c r="KK280" s="1"/>
      <c r="KL280" s="1"/>
      <c r="KM280" s="1"/>
      <c r="KN280" s="1"/>
      <c r="KO280" s="1"/>
      <c r="KP280" s="1"/>
      <c r="KQ280" s="1"/>
      <c r="KR280" s="1"/>
      <c r="KS280" s="1"/>
      <c r="KT280" s="1"/>
      <c r="KU280" s="1"/>
      <c r="KV280" s="1"/>
      <c r="KW280" s="1"/>
      <c r="KX280" s="1"/>
      <c r="KY280" s="1"/>
      <c r="KZ280" s="1"/>
      <c r="LA280" s="1"/>
      <c r="LB280" s="1"/>
      <c r="LC280" s="1"/>
      <c r="LD280" s="1"/>
      <c r="LE280" s="1"/>
      <c r="LF280" s="1"/>
      <c r="LG280" s="1"/>
      <c r="LH280" s="1"/>
      <c r="LI280" s="1"/>
      <c r="LJ280" s="1"/>
      <c r="LK280" s="1"/>
      <c r="LL280" s="1"/>
      <c r="LM280" s="1"/>
      <c r="LN280" s="1"/>
      <c r="LO280" s="1"/>
      <c r="LP280" s="1"/>
      <c r="LQ280" s="1"/>
      <c r="LR280" s="1"/>
      <c r="LS280" s="1"/>
    </row>
    <row r="281" spans="1:331" s="64" customFormat="1" x14ac:dyDescent="0.25">
      <c r="A281" s="64" t="s">
        <v>1061</v>
      </c>
      <c r="B281" s="66" t="s">
        <v>1062</v>
      </c>
      <c r="C281" s="13" t="s">
        <v>1651</v>
      </c>
      <c r="D281" s="64">
        <v>1</v>
      </c>
      <c r="E281" s="64" t="s">
        <v>1063</v>
      </c>
      <c r="H281" s="64" t="s">
        <v>1064</v>
      </c>
      <c r="I281" s="64" t="s">
        <v>1065</v>
      </c>
      <c r="J281" s="64" t="s">
        <v>1066</v>
      </c>
      <c r="K281" s="64" t="s">
        <v>1710</v>
      </c>
      <c r="L281" s="64">
        <v>0</v>
      </c>
      <c r="O281" s="64">
        <v>1</v>
      </c>
      <c r="Q281" s="1"/>
      <c r="R281" s="1" t="s">
        <v>1067</v>
      </c>
      <c r="S281" s="64">
        <v>10</v>
      </c>
      <c r="T281" s="64">
        <v>10</v>
      </c>
      <c r="V281" s="64">
        <v>15</v>
      </c>
      <c r="W281" s="1">
        <v>10</v>
      </c>
      <c r="X281" s="1">
        <v>20</v>
      </c>
      <c r="Y281" s="1" t="s">
        <v>2274</v>
      </c>
      <c r="Z281" s="64">
        <v>12</v>
      </c>
      <c r="AA281" s="13" t="b">
        <v>1</v>
      </c>
      <c r="AB281" s="1" t="s">
        <v>1898</v>
      </c>
      <c r="AC281" s="57" t="s">
        <v>1396</v>
      </c>
      <c r="AD281" s="1"/>
      <c r="AE281" s="57"/>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row>
    <row r="282" spans="1:331" s="49" customFormat="1" x14ac:dyDescent="0.25">
      <c r="A282" s="49" t="s">
        <v>1068</v>
      </c>
      <c r="B282" s="51" t="s">
        <v>1069</v>
      </c>
      <c r="C282" s="13" t="s">
        <v>1651</v>
      </c>
      <c r="D282" s="49">
        <v>0</v>
      </c>
      <c r="H282" s="49" t="s">
        <v>1047</v>
      </c>
      <c r="I282" s="49" t="s">
        <v>660</v>
      </c>
      <c r="J282" s="49" t="s">
        <v>1070</v>
      </c>
      <c r="K282" s="49" t="s">
        <v>1047</v>
      </c>
      <c r="L282" s="49">
        <v>0</v>
      </c>
      <c r="O282" s="49">
        <v>1</v>
      </c>
      <c r="Q282" s="1"/>
      <c r="R282" s="1" t="s">
        <v>1070</v>
      </c>
      <c r="S282" s="49">
        <v>14</v>
      </c>
      <c r="U282" s="49">
        <v>13</v>
      </c>
      <c r="W282" s="1">
        <v>14</v>
      </c>
      <c r="X282" s="1">
        <v>16</v>
      </c>
      <c r="Y282" s="1" t="s">
        <v>2275</v>
      </c>
      <c r="Z282" s="49">
        <v>9</v>
      </c>
      <c r="AA282" s="13" t="b">
        <v>1</v>
      </c>
      <c r="AB282" s="1"/>
      <c r="AC282" s="57" t="s">
        <v>1440</v>
      </c>
      <c r="AD282" s="1"/>
      <c r="AE282" s="57"/>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c r="IY282" s="1"/>
      <c r="IZ282" s="1"/>
      <c r="JA282" s="1"/>
      <c r="JB282" s="1"/>
      <c r="JC282" s="1"/>
      <c r="JD282" s="1"/>
      <c r="JE282" s="1"/>
      <c r="JF282" s="1"/>
      <c r="JG282" s="1"/>
      <c r="JH282" s="1"/>
      <c r="JI282" s="1"/>
      <c r="JJ282" s="1"/>
      <c r="JK282" s="1"/>
      <c r="JL282" s="1"/>
      <c r="JM282" s="1"/>
      <c r="JN282" s="1"/>
      <c r="JO282" s="1"/>
      <c r="JP282" s="1"/>
      <c r="JQ282" s="1"/>
      <c r="JR282" s="1"/>
      <c r="JS282" s="1"/>
      <c r="JT282" s="1"/>
      <c r="JU282" s="1"/>
      <c r="JV282" s="1"/>
      <c r="JW282" s="1"/>
      <c r="JX282" s="1"/>
      <c r="JY282" s="1"/>
      <c r="JZ282" s="1"/>
      <c r="KA282" s="1"/>
      <c r="KB282" s="1"/>
      <c r="KC282" s="1"/>
      <c r="KD282" s="1"/>
      <c r="KE282" s="1"/>
      <c r="KF282" s="1"/>
      <c r="KG282" s="1"/>
      <c r="KH282" s="1"/>
      <c r="KI282" s="1"/>
      <c r="KJ282" s="1"/>
      <c r="KK282" s="1"/>
      <c r="KL282" s="1"/>
      <c r="KM282" s="1"/>
      <c r="KN282" s="1"/>
      <c r="KO282" s="1"/>
      <c r="KP282" s="1"/>
      <c r="KQ282" s="1"/>
      <c r="KR282" s="1"/>
      <c r="KS282" s="1"/>
      <c r="KT282" s="1"/>
      <c r="KU282" s="1"/>
      <c r="KV282" s="1"/>
      <c r="KW282" s="1"/>
      <c r="KX282" s="1"/>
      <c r="KY282" s="1"/>
      <c r="KZ282" s="1"/>
      <c r="LA282" s="1"/>
      <c r="LB282" s="1"/>
      <c r="LC282" s="1"/>
      <c r="LD282" s="1"/>
      <c r="LE282" s="1"/>
      <c r="LF282" s="1"/>
      <c r="LG282" s="1"/>
      <c r="LH282" s="1"/>
      <c r="LI282" s="1"/>
      <c r="LJ282" s="1"/>
      <c r="LK282" s="1"/>
      <c r="LL282" s="1"/>
      <c r="LM282" s="1"/>
      <c r="LN282" s="1"/>
      <c r="LO282" s="1"/>
      <c r="LP282" s="1"/>
      <c r="LQ282" s="1"/>
      <c r="LR282" s="1"/>
      <c r="LS282" s="1"/>
    </row>
    <row r="283" spans="1:331" s="64" customFormat="1" x14ac:dyDescent="0.25">
      <c r="A283" s="64" t="s">
        <v>1071</v>
      </c>
      <c r="B283" s="66" t="s">
        <v>1072</v>
      </c>
      <c r="C283" s="13" t="s">
        <v>1651</v>
      </c>
      <c r="D283" s="64">
        <v>1</v>
      </c>
      <c r="E283" s="64" t="s">
        <v>1073</v>
      </c>
      <c r="H283" s="64" t="s">
        <v>1074</v>
      </c>
      <c r="I283" s="64" t="s">
        <v>1073</v>
      </c>
      <c r="J283" s="64" t="s">
        <v>1074</v>
      </c>
      <c r="K283" s="64" t="s">
        <v>1711</v>
      </c>
      <c r="L283" s="64">
        <v>0</v>
      </c>
      <c r="O283" s="64">
        <v>1</v>
      </c>
      <c r="Q283" s="1"/>
      <c r="R283" s="13" t="s">
        <v>1796</v>
      </c>
      <c r="S283" s="64">
        <v>16</v>
      </c>
      <c r="U283" s="64">
        <v>16</v>
      </c>
      <c r="W283" s="1">
        <v>16</v>
      </c>
      <c r="X283" s="1">
        <v>16</v>
      </c>
      <c r="Y283" s="1" t="s">
        <v>2276</v>
      </c>
      <c r="Z283" s="64">
        <v>12</v>
      </c>
      <c r="AA283" s="13" t="b">
        <v>1</v>
      </c>
      <c r="AB283" s="1"/>
      <c r="AC283" s="57" t="s">
        <v>1638</v>
      </c>
      <c r="AD283" s="1"/>
      <c r="AE283" s="57"/>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row>
    <row r="284" spans="1:331" s="45" customFormat="1" x14ac:dyDescent="0.25">
      <c r="A284" s="45" t="s">
        <v>1075</v>
      </c>
      <c r="C284" s="1" t="s">
        <v>1651</v>
      </c>
      <c r="D284" s="45">
        <v>0</v>
      </c>
      <c r="H284" s="45" t="s">
        <v>1076</v>
      </c>
      <c r="I284" s="45" t="s">
        <v>1076</v>
      </c>
      <c r="J284" s="45" t="s">
        <v>1077</v>
      </c>
      <c r="K284" s="45" t="s">
        <v>1076</v>
      </c>
      <c r="L284" s="45">
        <v>0</v>
      </c>
      <c r="O284" s="45">
        <v>1</v>
      </c>
      <c r="P284" s="45" t="s">
        <v>1078</v>
      </c>
      <c r="Q284" s="1" t="s">
        <v>1604</v>
      </c>
      <c r="R284" s="1"/>
      <c r="S284" s="45">
        <v>7</v>
      </c>
      <c r="W284" s="1"/>
      <c r="X284" s="1"/>
      <c r="Y284" s="1"/>
      <c r="Z284" s="45">
        <v>-1</v>
      </c>
      <c r="AA284" s="13" t="b">
        <v>0</v>
      </c>
      <c r="AB284" s="1"/>
      <c r="AC284" s="57" t="s">
        <v>1300</v>
      </c>
      <c r="AD284" s="1"/>
      <c r="AE284" t="s">
        <v>1889</v>
      </c>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c r="IY284" s="1"/>
      <c r="IZ284" s="1"/>
      <c r="JA284" s="1"/>
      <c r="JB284" s="1"/>
      <c r="JC284" s="1"/>
      <c r="JD284" s="1"/>
      <c r="JE284" s="1"/>
      <c r="JF284" s="1"/>
      <c r="JG284" s="1"/>
      <c r="JH284" s="1"/>
      <c r="JI284" s="1"/>
      <c r="JJ284" s="1"/>
      <c r="JK284" s="1"/>
      <c r="JL284" s="1"/>
      <c r="JM284" s="1"/>
      <c r="JN284" s="1"/>
      <c r="JO284" s="1"/>
      <c r="JP284" s="1"/>
      <c r="JQ284" s="1"/>
      <c r="JR284" s="1"/>
      <c r="JS284" s="1"/>
      <c r="JT284" s="1"/>
      <c r="JU284" s="1"/>
      <c r="JV284" s="1"/>
      <c r="JW284" s="1"/>
      <c r="JX284" s="1"/>
      <c r="JY284" s="1"/>
      <c r="JZ284" s="1"/>
      <c r="KA284" s="1"/>
      <c r="KB284" s="1"/>
      <c r="KC284" s="1"/>
      <c r="KD284" s="1"/>
      <c r="KE284" s="1"/>
      <c r="KF284" s="1"/>
      <c r="KG284" s="1"/>
      <c r="KH284" s="1"/>
      <c r="KI284" s="1"/>
      <c r="KJ284" s="1"/>
      <c r="KK284" s="1"/>
      <c r="KL284" s="1"/>
      <c r="KM284" s="1"/>
      <c r="KN284" s="1"/>
      <c r="KO284" s="1"/>
      <c r="KP284" s="1"/>
      <c r="KQ284" s="1"/>
      <c r="KR284" s="1"/>
      <c r="KS284" s="1"/>
      <c r="KT284" s="1"/>
      <c r="KU284" s="1"/>
      <c r="KV284" s="1"/>
      <c r="KW284" s="1"/>
      <c r="KX284" s="1"/>
      <c r="KY284" s="1"/>
      <c r="KZ284" s="1"/>
      <c r="LA284" s="1"/>
      <c r="LB284" s="1"/>
      <c r="LC284" s="1"/>
      <c r="LD284" s="1"/>
      <c r="LE284" s="1"/>
      <c r="LF284" s="1"/>
      <c r="LG284" s="1"/>
      <c r="LH284" s="1"/>
      <c r="LI284" s="1"/>
      <c r="LJ284" s="1"/>
      <c r="LK284" s="1"/>
      <c r="LL284" s="1"/>
      <c r="LM284" s="1"/>
      <c r="LN284" s="1"/>
      <c r="LO284" s="1"/>
      <c r="LP284" s="1"/>
      <c r="LQ284" s="1"/>
      <c r="LR284" s="1"/>
      <c r="LS284" s="1"/>
    </row>
    <row r="285" spans="1:331" s="25" customFormat="1" x14ac:dyDescent="0.25">
      <c r="A285" s="25" t="s">
        <v>1079</v>
      </c>
      <c r="B285" s="29" t="s">
        <v>1080</v>
      </c>
      <c r="C285" s="13" t="s">
        <v>1651</v>
      </c>
      <c r="D285" s="25">
        <v>0</v>
      </c>
      <c r="H285" s="25" t="s">
        <v>1081</v>
      </c>
      <c r="I285" s="25" t="s">
        <v>1082</v>
      </c>
      <c r="J285" s="25" t="s">
        <v>1081</v>
      </c>
      <c r="K285" s="25" t="s">
        <v>1081</v>
      </c>
      <c r="L285" s="25">
        <v>0</v>
      </c>
      <c r="O285" s="25">
        <v>0</v>
      </c>
      <c r="Q285" s="1" t="s">
        <v>1605</v>
      </c>
      <c r="R285" s="1"/>
      <c r="S285" s="25">
        <v>10</v>
      </c>
      <c r="U285" s="25">
        <v>8</v>
      </c>
      <c r="W285" s="1">
        <v>10</v>
      </c>
      <c r="X285" s="1">
        <v>9</v>
      </c>
      <c r="Y285" s="1" t="s">
        <v>2277</v>
      </c>
      <c r="Z285" s="25">
        <v>5</v>
      </c>
      <c r="AA285" s="13" t="b">
        <v>1</v>
      </c>
      <c r="AB285" s="1"/>
      <c r="AC285" s="57" t="s">
        <v>1350</v>
      </c>
      <c r="AD285" s="1"/>
      <c r="AE285" s="57"/>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c r="IY285" s="1"/>
      <c r="IZ285" s="1"/>
      <c r="JA285" s="1"/>
      <c r="JB285" s="1"/>
      <c r="JC285" s="1"/>
      <c r="JD285" s="1"/>
      <c r="JE285" s="1"/>
      <c r="JF285" s="1"/>
      <c r="JG285" s="1"/>
      <c r="JH285" s="1"/>
      <c r="JI285" s="1"/>
      <c r="JJ285" s="1"/>
      <c r="JK285" s="1"/>
      <c r="JL285" s="1"/>
      <c r="JM285" s="1"/>
      <c r="JN285" s="1"/>
      <c r="JO285" s="1"/>
      <c r="JP285" s="1"/>
      <c r="JQ285" s="1"/>
      <c r="JR285" s="1"/>
      <c r="JS285" s="1"/>
      <c r="JT285" s="1"/>
      <c r="JU285" s="1"/>
      <c r="JV285" s="1"/>
      <c r="JW285" s="1"/>
      <c r="JX285" s="1"/>
      <c r="JY285" s="1"/>
      <c r="JZ285" s="1"/>
      <c r="KA285" s="1"/>
      <c r="KB285" s="1"/>
      <c r="KC285" s="1"/>
      <c r="KD285" s="1"/>
      <c r="KE285" s="1"/>
      <c r="KF285" s="1"/>
      <c r="KG285" s="1"/>
      <c r="KH285" s="1"/>
      <c r="KI285" s="1"/>
      <c r="KJ285" s="1"/>
      <c r="KK285" s="1"/>
      <c r="KL285" s="1"/>
      <c r="KM285" s="1"/>
      <c r="KN285" s="1"/>
      <c r="KO285" s="1"/>
      <c r="KP285" s="1"/>
      <c r="KQ285" s="1"/>
      <c r="KR285" s="1"/>
      <c r="KS285" s="1"/>
      <c r="KT285" s="1"/>
      <c r="KU285" s="1"/>
      <c r="KV285" s="1"/>
      <c r="KW285" s="1"/>
      <c r="KX285" s="1"/>
      <c r="KY285" s="1"/>
      <c r="KZ285" s="1"/>
      <c r="LA285" s="1"/>
      <c r="LB285" s="1"/>
      <c r="LC285" s="1"/>
      <c r="LD285" s="1"/>
      <c r="LE285" s="1"/>
      <c r="LF285" s="1"/>
      <c r="LG285" s="1"/>
      <c r="LH285" s="1"/>
      <c r="LI285" s="1"/>
      <c r="LJ285" s="1"/>
      <c r="LK285" s="1"/>
      <c r="LL285" s="1"/>
      <c r="LM285" s="1"/>
      <c r="LN285" s="1"/>
      <c r="LO285" s="1"/>
      <c r="LP285" s="1"/>
      <c r="LQ285" s="1"/>
      <c r="LR285" s="1"/>
      <c r="LS285" s="1"/>
    </row>
    <row r="286" spans="1:331" s="25" customFormat="1" x14ac:dyDescent="0.25">
      <c r="A286" s="25" t="s">
        <v>1083</v>
      </c>
      <c r="B286" s="29" t="s">
        <v>1084</v>
      </c>
      <c r="C286" s="13" t="s">
        <v>1651</v>
      </c>
      <c r="D286" s="25">
        <v>0</v>
      </c>
      <c r="H286" s="25" t="s">
        <v>1085</v>
      </c>
      <c r="I286" s="25" t="s">
        <v>1086</v>
      </c>
      <c r="J286" s="25" t="s">
        <v>1085</v>
      </c>
      <c r="K286" s="25" t="s">
        <v>1085</v>
      </c>
      <c r="L286" s="25">
        <v>0</v>
      </c>
      <c r="O286" s="25">
        <v>0</v>
      </c>
      <c r="Q286" s="1" t="s">
        <v>1606</v>
      </c>
      <c r="R286" s="1"/>
      <c r="T286" s="25">
        <v>7</v>
      </c>
      <c r="V286" s="25">
        <v>6</v>
      </c>
      <c r="W286" s="1">
        <v>7</v>
      </c>
      <c r="X286" s="1">
        <v>13</v>
      </c>
      <c r="Y286" s="1" t="s">
        <v>2278</v>
      </c>
      <c r="Z286" s="25">
        <v>5</v>
      </c>
      <c r="AA286" s="13" t="b">
        <v>1</v>
      </c>
      <c r="AB286" s="1"/>
      <c r="AC286" s="57" t="s">
        <v>1351</v>
      </c>
      <c r="AD286" s="1"/>
      <c r="AE286" s="57"/>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c r="IY286" s="1"/>
      <c r="IZ286" s="1"/>
      <c r="JA286" s="1"/>
      <c r="JB286" s="1"/>
      <c r="JC286" s="1"/>
      <c r="JD286" s="1"/>
      <c r="JE286" s="1"/>
      <c r="JF286" s="1"/>
      <c r="JG286" s="1"/>
      <c r="JH286" s="1"/>
      <c r="JI286" s="1"/>
      <c r="JJ286" s="1"/>
      <c r="JK286" s="1"/>
      <c r="JL286" s="1"/>
      <c r="JM286" s="1"/>
      <c r="JN286" s="1"/>
      <c r="JO286" s="1"/>
      <c r="JP286" s="1"/>
      <c r="JQ286" s="1"/>
      <c r="JR286" s="1"/>
      <c r="JS286" s="1"/>
      <c r="JT286" s="1"/>
      <c r="JU286" s="1"/>
      <c r="JV286" s="1"/>
      <c r="JW286" s="1"/>
      <c r="JX286" s="1"/>
      <c r="JY286" s="1"/>
      <c r="JZ286" s="1"/>
      <c r="KA286" s="1"/>
      <c r="KB286" s="1"/>
      <c r="KC286" s="1"/>
      <c r="KD286" s="1"/>
      <c r="KE286" s="1"/>
      <c r="KF286" s="1"/>
      <c r="KG286" s="1"/>
      <c r="KH286" s="1"/>
      <c r="KI286" s="1"/>
      <c r="KJ286" s="1"/>
      <c r="KK286" s="1"/>
      <c r="KL286" s="1"/>
      <c r="KM286" s="1"/>
      <c r="KN286" s="1"/>
      <c r="KO286" s="1"/>
      <c r="KP286" s="1"/>
      <c r="KQ286" s="1"/>
      <c r="KR286" s="1"/>
      <c r="KS286" s="1"/>
      <c r="KT286" s="1"/>
      <c r="KU286" s="1"/>
      <c r="KV286" s="1"/>
      <c r="KW286" s="1"/>
      <c r="KX286" s="1"/>
      <c r="KY286" s="1"/>
      <c r="KZ286" s="1"/>
      <c r="LA286" s="1"/>
      <c r="LB286" s="1"/>
      <c r="LC286" s="1"/>
      <c r="LD286" s="1"/>
      <c r="LE286" s="1"/>
      <c r="LF286" s="1"/>
      <c r="LG286" s="1"/>
      <c r="LH286" s="1"/>
      <c r="LI286" s="1"/>
      <c r="LJ286" s="1"/>
      <c r="LK286" s="1"/>
      <c r="LL286" s="1"/>
      <c r="LM286" s="1"/>
      <c r="LN286" s="1"/>
      <c r="LO286" s="1"/>
      <c r="LP286" s="1"/>
      <c r="LQ286" s="1"/>
      <c r="LR286" s="1"/>
      <c r="LS286" s="1"/>
    </row>
    <row r="287" spans="1:331" s="40" customFormat="1" x14ac:dyDescent="0.25">
      <c r="A287" s="40" t="s">
        <v>1087</v>
      </c>
      <c r="B287" s="44" t="s">
        <v>1088</v>
      </c>
      <c r="C287" s="13" t="s">
        <v>1651</v>
      </c>
      <c r="D287" s="40">
        <v>0</v>
      </c>
      <c r="H287" s="40" t="s">
        <v>1089</v>
      </c>
      <c r="I287" s="40" t="s">
        <v>1090</v>
      </c>
      <c r="J287" s="40" t="s">
        <v>1091</v>
      </c>
      <c r="K287" s="40" t="s">
        <v>1089</v>
      </c>
      <c r="L287" s="40">
        <v>0</v>
      </c>
      <c r="O287" s="40">
        <v>1</v>
      </c>
      <c r="P287" s="40" t="s">
        <v>1092</v>
      </c>
      <c r="Q287" s="1" t="s">
        <v>1607</v>
      </c>
      <c r="R287" s="1"/>
      <c r="T287" s="40">
        <v>8</v>
      </c>
      <c r="V287" s="40">
        <v>10</v>
      </c>
      <c r="W287" s="1">
        <v>8</v>
      </c>
      <c r="X287" s="1">
        <v>17</v>
      </c>
      <c r="Y287" s="1" t="s">
        <v>2279</v>
      </c>
      <c r="Z287" s="40">
        <v>8</v>
      </c>
      <c r="AA287" s="13" t="b">
        <v>1</v>
      </c>
      <c r="AB287" s="1"/>
      <c r="AC287" s="57" t="s">
        <v>1441</v>
      </c>
      <c r="AD287" s="1"/>
      <c r="AE287" s="57"/>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c r="IY287" s="1"/>
      <c r="IZ287" s="1"/>
      <c r="JA287" s="1"/>
      <c r="JB287" s="1"/>
      <c r="JC287" s="1"/>
      <c r="JD287" s="1"/>
      <c r="JE287" s="1"/>
      <c r="JF287" s="1"/>
      <c r="JG287" s="1"/>
      <c r="JH287" s="1"/>
      <c r="JI287" s="1"/>
      <c r="JJ287" s="1"/>
      <c r="JK287" s="1"/>
      <c r="JL287" s="1"/>
      <c r="JM287" s="1"/>
      <c r="JN287" s="1"/>
      <c r="JO287" s="1"/>
      <c r="JP287" s="1"/>
      <c r="JQ287" s="1"/>
      <c r="JR287" s="1"/>
      <c r="JS287" s="1"/>
      <c r="JT287" s="1"/>
      <c r="JU287" s="1"/>
      <c r="JV287" s="1"/>
      <c r="JW287" s="1"/>
      <c r="JX287" s="1"/>
      <c r="JY287" s="1"/>
      <c r="JZ287" s="1"/>
      <c r="KA287" s="1"/>
      <c r="KB287" s="1"/>
      <c r="KC287" s="1"/>
      <c r="KD287" s="1"/>
      <c r="KE287" s="1"/>
      <c r="KF287" s="1"/>
      <c r="KG287" s="1"/>
      <c r="KH287" s="1"/>
      <c r="KI287" s="1"/>
      <c r="KJ287" s="1"/>
      <c r="KK287" s="1"/>
      <c r="KL287" s="1"/>
      <c r="KM287" s="1"/>
      <c r="KN287" s="1"/>
      <c r="KO287" s="1"/>
      <c r="KP287" s="1"/>
      <c r="KQ287" s="1"/>
      <c r="KR287" s="1"/>
      <c r="KS287" s="1"/>
      <c r="KT287" s="1"/>
      <c r="KU287" s="1"/>
      <c r="KV287" s="1"/>
      <c r="KW287" s="1"/>
      <c r="KX287" s="1"/>
      <c r="KY287" s="1"/>
      <c r="KZ287" s="1"/>
      <c r="LA287" s="1"/>
      <c r="LB287" s="1"/>
      <c r="LC287" s="1"/>
      <c r="LD287" s="1"/>
      <c r="LE287" s="1"/>
      <c r="LF287" s="1"/>
      <c r="LG287" s="1"/>
      <c r="LH287" s="1"/>
      <c r="LI287" s="1"/>
      <c r="LJ287" s="1"/>
      <c r="LK287" s="1"/>
      <c r="LL287" s="1"/>
      <c r="LM287" s="1"/>
      <c r="LN287" s="1"/>
      <c r="LO287" s="1"/>
      <c r="LP287" s="1"/>
      <c r="LQ287" s="1"/>
      <c r="LR287" s="1"/>
      <c r="LS287" s="1"/>
    </row>
    <row r="288" spans="1:331" s="40" customFormat="1" x14ac:dyDescent="0.25">
      <c r="A288" s="40" t="s">
        <v>1093</v>
      </c>
      <c r="B288" s="44" t="s">
        <v>1094</v>
      </c>
      <c r="C288" s="13" t="s">
        <v>1651</v>
      </c>
      <c r="D288" s="40">
        <v>0</v>
      </c>
      <c r="H288" s="40" t="s">
        <v>552</v>
      </c>
      <c r="I288" s="40" t="s">
        <v>1095</v>
      </c>
      <c r="J288" s="40" t="s">
        <v>1096</v>
      </c>
      <c r="K288" s="40" t="s">
        <v>797</v>
      </c>
      <c r="L288" s="40">
        <v>0</v>
      </c>
      <c r="O288" s="40">
        <v>1</v>
      </c>
      <c r="P288" s="40" t="s">
        <v>147</v>
      </c>
      <c r="Q288" s="1" t="s">
        <v>1608</v>
      </c>
      <c r="R288" s="1"/>
      <c r="T288" s="40">
        <v>10</v>
      </c>
      <c r="V288" s="40">
        <v>10</v>
      </c>
      <c r="W288" s="1">
        <v>10</v>
      </c>
      <c r="X288" s="1">
        <v>19</v>
      </c>
      <c r="Y288" s="1" t="s">
        <v>2280</v>
      </c>
      <c r="Z288" s="40">
        <v>8</v>
      </c>
      <c r="AA288" s="13" t="b">
        <v>1</v>
      </c>
      <c r="AB288" s="1"/>
      <c r="AC288" s="57" t="s">
        <v>1353</v>
      </c>
      <c r="AD288" s="1"/>
      <c r="AE288" s="57"/>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c r="IY288" s="1"/>
      <c r="IZ288" s="1"/>
      <c r="JA288" s="1"/>
      <c r="JB288" s="1"/>
      <c r="JC288" s="1"/>
      <c r="JD288" s="1"/>
      <c r="JE288" s="1"/>
      <c r="JF288" s="1"/>
      <c r="JG288" s="1"/>
      <c r="JH288" s="1"/>
      <c r="JI288" s="1"/>
      <c r="JJ288" s="1"/>
      <c r="JK288" s="1"/>
      <c r="JL288" s="1"/>
      <c r="JM288" s="1"/>
      <c r="JN288" s="1"/>
      <c r="JO288" s="1"/>
      <c r="JP288" s="1"/>
      <c r="JQ288" s="1"/>
      <c r="JR288" s="1"/>
      <c r="JS288" s="1"/>
      <c r="JT288" s="1"/>
      <c r="JU288" s="1"/>
      <c r="JV288" s="1"/>
      <c r="JW288" s="1"/>
      <c r="JX288" s="1"/>
      <c r="JY288" s="1"/>
      <c r="JZ288" s="1"/>
      <c r="KA288" s="1"/>
      <c r="KB288" s="1"/>
      <c r="KC288" s="1"/>
      <c r="KD288" s="1"/>
      <c r="KE288" s="1"/>
      <c r="KF288" s="1"/>
      <c r="KG288" s="1"/>
      <c r="KH288" s="1"/>
      <c r="KI288" s="1"/>
      <c r="KJ288" s="1"/>
      <c r="KK288" s="1"/>
      <c r="KL288" s="1"/>
      <c r="KM288" s="1"/>
      <c r="KN288" s="1"/>
      <c r="KO288" s="1"/>
      <c r="KP288" s="1"/>
      <c r="KQ288" s="1"/>
      <c r="KR288" s="1"/>
      <c r="KS288" s="1"/>
      <c r="KT288" s="1"/>
      <c r="KU288" s="1"/>
      <c r="KV288" s="1"/>
      <c r="KW288" s="1"/>
      <c r="KX288" s="1"/>
      <c r="KY288" s="1"/>
      <c r="KZ288" s="1"/>
      <c r="LA288" s="1"/>
      <c r="LB288" s="1"/>
      <c r="LC288" s="1"/>
      <c r="LD288" s="1"/>
      <c r="LE288" s="1"/>
      <c r="LF288" s="1"/>
      <c r="LG288" s="1"/>
      <c r="LH288" s="1"/>
      <c r="LI288" s="1"/>
      <c r="LJ288" s="1"/>
      <c r="LK288" s="1"/>
      <c r="LL288" s="1"/>
      <c r="LM288" s="1"/>
      <c r="LN288" s="1"/>
      <c r="LO288" s="1"/>
      <c r="LP288" s="1"/>
      <c r="LQ288" s="1"/>
      <c r="LR288" s="1"/>
      <c r="LS288" s="1"/>
    </row>
    <row r="289" spans="1:331" s="59" customFormat="1" x14ac:dyDescent="0.25">
      <c r="A289" s="59" t="s">
        <v>1097</v>
      </c>
      <c r="B289" s="61" t="s">
        <v>1098</v>
      </c>
      <c r="C289" s="13" t="s">
        <v>1651</v>
      </c>
      <c r="D289" s="59">
        <v>0</v>
      </c>
      <c r="H289" s="59" t="s">
        <v>847</v>
      </c>
      <c r="I289" s="59" t="s">
        <v>598</v>
      </c>
      <c r="J289" s="59" t="s">
        <v>847</v>
      </c>
      <c r="K289" s="59" t="s">
        <v>598</v>
      </c>
      <c r="L289" s="59">
        <v>1</v>
      </c>
      <c r="M289" s="59" t="s">
        <v>1099</v>
      </c>
      <c r="O289" s="59">
        <v>1</v>
      </c>
      <c r="Q289" s="1"/>
      <c r="R289" s="1" t="s">
        <v>1100</v>
      </c>
      <c r="T289" s="59">
        <v>19</v>
      </c>
      <c r="V289" s="59">
        <v>18</v>
      </c>
      <c r="W289" s="1">
        <v>19</v>
      </c>
      <c r="X289" s="1">
        <v>16</v>
      </c>
      <c r="Y289" s="1" t="s">
        <v>2281</v>
      </c>
      <c r="Z289" s="59">
        <v>11</v>
      </c>
      <c r="AA289" s="13" t="b">
        <v>1</v>
      </c>
      <c r="AB289" s="1"/>
      <c r="AC289" s="57" t="s">
        <v>1374</v>
      </c>
      <c r="AD289" s="1"/>
      <c r="AE289" s="57"/>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1"/>
      <c r="JF289" s="1"/>
      <c r="JG289" s="1"/>
      <c r="JH289" s="1"/>
      <c r="JI289" s="1"/>
      <c r="JJ289" s="1"/>
      <c r="JK289" s="1"/>
      <c r="JL289" s="1"/>
      <c r="JM289" s="1"/>
      <c r="JN289" s="1"/>
      <c r="JO289" s="1"/>
      <c r="JP289" s="1"/>
      <c r="JQ289" s="1"/>
      <c r="JR289" s="1"/>
      <c r="JS289" s="1"/>
      <c r="JT289" s="1"/>
      <c r="JU289" s="1"/>
      <c r="JV289" s="1"/>
      <c r="JW289" s="1"/>
      <c r="JX289" s="1"/>
      <c r="JY289" s="1"/>
      <c r="JZ289" s="1"/>
      <c r="KA289" s="1"/>
      <c r="KB289" s="1"/>
      <c r="KC289" s="1"/>
      <c r="KD289" s="1"/>
      <c r="KE289" s="1"/>
      <c r="KF289" s="1"/>
      <c r="KG289" s="1"/>
      <c r="KH289" s="1"/>
      <c r="KI289" s="1"/>
      <c r="KJ289" s="1"/>
      <c r="KK289" s="1"/>
      <c r="KL289" s="1"/>
      <c r="KM289" s="1"/>
      <c r="KN289" s="1"/>
      <c r="KO289" s="1"/>
      <c r="KP289" s="1"/>
      <c r="KQ289" s="1"/>
      <c r="KR289" s="1"/>
      <c r="KS289" s="1"/>
      <c r="KT289" s="1"/>
      <c r="KU289" s="1"/>
      <c r="KV289" s="1"/>
      <c r="KW289" s="1"/>
      <c r="KX289" s="1"/>
      <c r="KY289" s="1"/>
      <c r="KZ289" s="1"/>
      <c r="LA289" s="1"/>
      <c r="LB289" s="1"/>
      <c r="LC289" s="1"/>
      <c r="LD289" s="1"/>
      <c r="LE289" s="1"/>
      <c r="LF289" s="1"/>
      <c r="LG289" s="1"/>
      <c r="LH289" s="1"/>
      <c r="LI289" s="1"/>
      <c r="LJ289" s="1"/>
      <c r="LK289" s="1"/>
      <c r="LL289" s="1"/>
      <c r="LM289" s="1"/>
      <c r="LN289" s="1"/>
      <c r="LO289" s="1"/>
      <c r="LP289" s="1"/>
      <c r="LQ289" s="1"/>
      <c r="LR289" s="1"/>
      <c r="LS289" s="1"/>
    </row>
    <row r="290" spans="1:331" s="49" customFormat="1" x14ac:dyDescent="0.25">
      <c r="A290" s="49" t="s">
        <v>1101</v>
      </c>
      <c r="B290" s="51" t="s">
        <v>1102</v>
      </c>
      <c r="C290" s="13" t="s">
        <v>1651</v>
      </c>
      <c r="D290" s="49">
        <v>0</v>
      </c>
      <c r="H290" s="49" t="s">
        <v>1103</v>
      </c>
      <c r="I290" s="49" t="s">
        <v>1104</v>
      </c>
      <c r="J290" s="49" t="s">
        <v>1103</v>
      </c>
      <c r="K290" s="49" t="s">
        <v>1104</v>
      </c>
      <c r="L290" s="49">
        <v>0</v>
      </c>
      <c r="O290" s="49">
        <v>1</v>
      </c>
      <c r="Q290" s="1"/>
      <c r="R290" s="1" t="s">
        <v>1105</v>
      </c>
      <c r="S290" s="49">
        <v>24</v>
      </c>
      <c r="U290" s="49">
        <v>26</v>
      </c>
      <c r="W290" s="1">
        <v>24</v>
      </c>
      <c r="X290" s="1">
        <v>22</v>
      </c>
      <c r="Y290" s="1" t="s">
        <v>2282</v>
      </c>
      <c r="Z290" s="49">
        <v>9</v>
      </c>
      <c r="AA290" s="13" t="b">
        <v>1</v>
      </c>
      <c r="AB290" s="1"/>
      <c r="AC290" s="57" t="s">
        <v>1394</v>
      </c>
      <c r="AD290" s="1"/>
      <c r="AE290" s="57"/>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c r="KD290" s="1"/>
      <c r="KE290" s="1"/>
      <c r="KF290" s="1"/>
      <c r="KG290" s="1"/>
      <c r="KH290" s="1"/>
      <c r="KI290" s="1"/>
      <c r="KJ290" s="1"/>
      <c r="KK290" s="1"/>
      <c r="KL290" s="1"/>
      <c r="KM290" s="1"/>
      <c r="KN290" s="1"/>
      <c r="KO290" s="1"/>
      <c r="KP290" s="1"/>
      <c r="KQ290" s="1"/>
      <c r="KR290" s="1"/>
      <c r="KS290" s="1"/>
      <c r="KT290" s="1"/>
      <c r="KU290" s="1"/>
      <c r="KV290" s="1"/>
      <c r="KW290" s="1"/>
      <c r="KX290" s="1"/>
      <c r="KY290" s="1"/>
      <c r="KZ290" s="1"/>
      <c r="LA290" s="1"/>
      <c r="LB290" s="1"/>
      <c r="LC290" s="1"/>
      <c r="LD290" s="1"/>
      <c r="LE290" s="1"/>
      <c r="LF290" s="1"/>
      <c r="LG290" s="1"/>
      <c r="LH290" s="1"/>
      <c r="LI290" s="1"/>
      <c r="LJ290" s="1"/>
      <c r="LK290" s="1"/>
      <c r="LL290" s="1"/>
      <c r="LM290" s="1"/>
      <c r="LN290" s="1"/>
      <c r="LO290" s="1"/>
      <c r="LP290" s="1"/>
      <c r="LQ290" s="1"/>
      <c r="LR290" s="1"/>
      <c r="LS290" s="1"/>
    </row>
    <row r="291" spans="1:331" s="49" customFormat="1" x14ac:dyDescent="0.25">
      <c r="A291" s="49" t="s">
        <v>1106</v>
      </c>
      <c r="B291" s="51" t="s">
        <v>1107</v>
      </c>
      <c r="C291" s="13" t="s">
        <v>1651</v>
      </c>
      <c r="D291" s="49">
        <v>0</v>
      </c>
      <c r="H291" s="49" t="s">
        <v>1108</v>
      </c>
      <c r="I291" s="49" t="s">
        <v>1109</v>
      </c>
      <c r="J291" s="49" t="s">
        <v>1110</v>
      </c>
      <c r="K291" s="49" t="s">
        <v>1108</v>
      </c>
      <c r="L291" s="49">
        <v>0</v>
      </c>
      <c r="O291" s="49">
        <v>0</v>
      </c>
      <c r="Q291" s="1"/>
      <c r="R291" s="1" t="s">
        <v>581</v>
      </c>
      <c r="T291" s="49">
        <v>7</v>
      </c>
      <c r="V291" s="49">
        <v>10</v>
      </c>
      <c r="W291" s="1">
        <v>7</v>
      </c>
      <c r="X291" s="1">
        <v>10</v>
      </c>
      <c r="Y291" s="1" t="s">
        <v>2283</v>
      </c>
      <c r="Z291" s="49">
        <v>9</v>
      </c>
      <c r="AA291" s="13" t="b">
        <v>1</v>
      </c>
      <c r="AB291" s="1"/>
      <c r="AC291" s="57" t="s">
        <v>1413</v>
      </c>
      <c r="AD291" s="1"/>
      <c r="AE291" s="57"/>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c r="KN291" s="1"/>
      <c r="KO291" s="1"/>
      <c r="KP291" s="1"/>
      <c r="KQ291" s="1"/>
      <c r="KR291" s="1"/>
      <c r="KS291" s="1"/>
      <c r="KT291" s="1"/>
      <c r="KU291" s="1"/>
      <c r="KV291" s="1"/>
      <c r="KW291" s="1"/>
      <c r="KX291" s="1"/>
      <c r="KY291" s="1"/>
      <c r="KZ291" s="1"/>
      <c r="LA291" s="1"/>
      <c r="LB291" s="1"/>
      <c r="LC291" s="1"/>
      <c r="LD291" s="1"/>
      <c r="LE291" s="1"/>
      <c r="LF291" s="1"/>
      <c r="LG291" s="1"/>
      <c r="LH291" s="1"/>
      <c r="LI291" s="1"/>
      <c r="LJ291" s="1"/>
      <c r="LK291" s="1"/>
      <c r="LL291" s="1"/>
      <c r="LM291" s="1"/>
      <c r="LN291" s="1"/>
      <c r="LO291" s="1"/>
      <c r="LP291" s="1"/>
      <c r="LQ291" s="1"/>
      <c r="LR291" s="1"/>
      <c r="LS291" s="1"/>
    </row>
    <row r="292" spans="1:331" s="45" customFormat="1" x14ac:dyDescent="0.25">
      <c r="A292" s="45" t="s">
        <v>1111</v>
      </c>
      <c r="B292" s="45" t="s">
        <v>1112</v>
      </c>
      <c r="C292" s="1" t="s">
        <v>1651</v>
      </c>
      <c r="D292" s="45">
        <v>0</v>
      </c>
      <c r="H292" s="45" t="s">
        <v>1113</v>
      </c>
      <c r="I292" s="45" t="s">
        <v>1113</v>
      </c>
      <c r="J292" s="45" t="s">
        <v>1113</v>
      </c>
      <c r="K292" s="45" t="s">
        <v>1113</v>
      </c>
      <c r="L292" s="45">
        <v>0</v>
      </c>
      <c r="O292" s="45">
        <v>1</v>
      </c>
      <c r="P292" s="45" t="s">
        <v>844</v>
      </c>
      <c r="Q292" s="1" t="s">
        <v>1609</v>
      </c>
      <c r="R292" s="1"/>
      <c r="S292" s="45">
        <v>12</v>
      </c>
      <c r="W292" s="1"/>
      <c r="X292" s="1"/>
      <c r="Y292" s="1"/>
      <c r="Z292" s="45">
        <v>-1</v>
      </c>
      <c r="AA292" s="13" t="b">
        <v>0</v>
      </c>
      <c r="AB292" s="17" t="s">
        <v>1890</v>
      </c>
      <c r="AC292" s="57" t="s">
        <v>1938</v>
      </c>
      <c r="AD292" s="1"/>
      <c r="AE292" s="57"/>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c r="IY292" s="1"/>
      <c r="IZ292" s="1"/>
      <c r="JA292" s="1"/>
      <c r="JB292" s="1"/>
      <c r="JC292" s="1"/>
      <c r="JD292" s="1"/>
      <c r="JE292" s="1"/>
      <c r="JF292" s="1"/>
      <c r="JG292" s="1"/>
      <c r="JH292" s="1"/>
      <c r="JI292" s="1"/>
      <c r="JJ292" s="1"/>
      <c r="JK292" s="1"/>
      <c r="JL292" s="1"/>
      <c r="JM292" s="1"/>
      <c r="JN292" s="1"/>
      <c r="JO292" s="1"/>
      <c r="JP292" s="1"/>
      <c r="JQ292" s="1"/>
      <c r="JR292" s="1"/>
      <c r="JS292" s="1"/>
      <c r="JT292" s="1"/>
      <c r="JU292" s="1"/>
      <c r="JV292" s="1"/>
      <c r="JW292" s="1"/>
      <c r="JX292" s="1"/>
      <c r="JY292" s="1"/>
      <c r="JZ292" s="1"/>
      <c r="KA292" s="1"/>
      <c r="KB292" s="1"/>
      <c r="KC292" s="1"/>
      <c r="KD292" s="1"/>
      <c r="KE292" s="1"/>
      <c r="KF292" s="1"/>
      <c r="KG292" s="1"/>
      <c r="KH292" s="1"/>
      <c r="KI292" s="1"/>
      <c r="KJ292" s="1"/>
      <c r="KK292" s="1"/>
      <c r="KL292" s="1"/>
      <c r="KM292" s="1"/>
      <c r="KN292" s="1"/>
      <c r="KO292" s="1"/>
      <c r="KP292" s="1"/>
      <c r="KQ292" s="1"/>
      <c r="KR292" s="1"/>
      <c r="KS292" s="1"/>
      <c r="KT292" s="1"/>
      <c r="KU292" s="1"/>
      <c r="KV292" s="1"/>
      <c r="KW292" s="1"/>
      <c r="KX292" s="1"/>
      <c r="KY292" s="1"/>
      <c r="KZ292" s="1"/>
      <c r="LA292" s="1"/>
      <c r="LB292" s="1"/>
      <c r="LC292" s="1"/>
      <c r="LD292" s="1"/>
      <c r="LE292" s="1"/>
      <c r="LF292" s="1"/>
      <c r="LG292" s="1"/>
      <c r="LH292" s="1"/>
      <c r="LI292" s="1"/>
      <c r="LJ292" s="1"/>
      <c r="LK292" s="1"/>
      <c r="LL292" s="1"/>
      <c r="LM292" s="1"/>
      <c r="LN292" s="1"/>
      <c r="LO292" s="1"/>
      <c r="LP292" s="1"/>
      <c r="LQ292" s="1"/>
      <c r="LR292" s="1"/>
      <c r="LS292" s="1"/>
    </row>
    <row r="293" spans="1:331" s="3" customFormat="1" x14ac:dyDescent="0.25">
      <c r="A293" s="3" t="s">
        <v>1114</v>
      </c>
      <c r="B293" s="5" t="s">
        <v>1115</v>
      </c>
      <c r="C293" s="13" t="s">
        <v>1651</v>
      </c>
      <c r="D293" s="3">
        <v>0</v>
      </c>
      <c r="H293" s="3" t="s">
        <v>1116</v>
      </c>
      <c r="I293" s="3" t="s">
        <v>1116</v>
      </c>
      <c r="J293" s="3" t="s">
        <v>834</v>
      </c>
      <c r="K293" s="3" t="s">
        <v>1116</v>
      </c>
      <c r="L293" s="3">
        <v>1</v>
      </c>
      <c r="M293" s="3" t="s">
        <v>1117</v>
      </c>
      <c r="O293" s="3">
        <v>1</v>
      </c>
      <c r="P293" s="3" t="s">
        <v>835</v>
      </c>
      <c r="Q293" s="1" t="s">
        <v>1610</v>
      </c>
      <c r="R293" s="1"/>
      <c r="T293" s="3">
        <v>22</v>
      </c>
      <c r="V293" s="3">
        <v>6</v>
      </c>
      <c r="W293" s="1">
        <v>22</v>
      </c>
      <c r="X293" s="1">
        <v>15</v>
      </c>
      <c r="Y293" s="1" t="s">
        <v>2284</v>
      </c>
      <c r="Z293" s="3">
        <v>1</v>
      </c>
      <c r="AA293" s="13" t="b">
        <v>1</v>
      </c>
      <c r="AB293" s="17" t="s">
        <v>1890</v>
      </c>
      <c r="AC293" s="57" t="s">
        <v>1375</v>
      </c>
      <c r="AD293" s="1"/>
      <c r="AE293" s="57"/>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c r="IY293" s="1"/>
      <c r="IZ293" s="1"/>
      <c r="JA293" s="1"/>
      <c r="JB293" s="1"/>
      <c r="JC293" s="1"/>
      <c r="JD293" s="1"/>
      <c r="JE293" s="1"/>
      <c r="JF293" s="1"/>
      <c r="JG293" s="1"/>
      <c r="JH293" s="1"/>
      <c r="JI293" s="1"/>
      <c r="JJ293" s="1"/>
      <c r="JK293" s="1"/>
      <c r="JL293" s="1"/>
      <c r="JM293" s="1"/>
      <c r="JN293" s="1"/>
      <c r="JO293" s="1"/>
      <c r="JP293" s="1"/>
      <c r="JQ293" s="1"/>
      <c r="JR293" s="1"/>
      <c r="JS293" s="1"/>
      <c r="JT293" s="1"/>
      <c r="JU293" s="1"/>
      <c r="JV293" s="1"/>
      <c r="JW293" s="1"/>
      <c r="JX293" s="1"/>
      <c r="JY293" s="1"/>
      <c r="JZ293" s="1"/>
      <c r="KA293" s="1"/>
      <c r="KB293" s="1"/>
      <c r="KC293" s="1"/>
      <c r="KD293" s="1"/>
      <c r="KE293" s="1"/>
      <c r="KF293" s="1"/>
      <c r="KG293" s="1"/>
      <c r="KH293" s="1"/>
      <c r="KI293" s="1"/>
      <c r="KJ293" s="1"/>
      <c r="KK293" s="1"/>
      <c r="KL293" s="1"/>
      <c r="KM293" s="1"/>
      <c r="KN293" s="1"/>
      <c r="KO293" s="1"/>
      <c r="KP293" s="1"/>
      <c r="KQ293" s="1"/>
      <c r="KR293" s="1"/>
      <c r="KS293" s="1"/>
      <c r="KT293" s="1"/>
      <c r="KU293" s="1"/>
      <c r="KV293" s="1"/>
      <c r="KW293" s="1"/>
      <c r="KX293" s="1"/>
      <c r="KY293" s="1"/>
      <c r="KZ293" s="1"/>
      <c r="LA293" s="1"/>
      <c r="LB293" s="1"/>
      <c r="LC293" s="1"/>
      <c r="LD293" s="1"/>
      <c r="LE293" s="1"/>
      <c r="LF293" s="1"/>
      <c r="LG293" s="1"/>
      <c r="LH293" s="1"/>
      <c r="LI293" s="1"/>
      <c r="LJ293" s="1"/>
      <c r="LK293" s="1"/>
      <c r="LL293" s="1"/>
      <c r="LM293" s="1"/>
      <c r="LN293" s="1"/>
      <c r="LO293" s="1"/>
      <c r="LP293" s="1"/>
      <c r="LQ293" s="1"/>
      <c r="LR293" s="1"/>
      <c r="LS293" s="1"/>
    </row>
    <row r="294" spans="1:331" s="3" customFormat="1" x14ac:dyDescent="0.25">
      <c r="A294" s="3" t="s">
        <v>1118</v>
      </c>
      <c r="B294" s="5" t="s">
        <v>1119</v>
      </c>
      <c r="C294" s="13" t="s">
        <v>1651</v>
      </c>
      <c r="D294" s="3">
        <v>0</v>
      </c>
      <c r="H294" s="3" t="s">
        <v>1120</v>
      </c>
      <c r="I294" s="3" t="s">
        <v>1120</v>
      </c>
      <c r="J294" s="3" t="s">
        <v>1120</v>
      </c>
      <c r="K294" s="3" t="s">
        <v>1120</v>
      </c>
      <c r="L294" s="3">
        <v>3</v>
      </c>
      <c r="M294" s="3" t="s">
        <v>1121</v>
      </c>
      <c r="N294" s="3" t="s">
        <v>1121</v>
      </c>
      <c r="O294" s="3">
        <v>1</v>
      </c>
      <c r="P294" s="3" t="s">
        <v>1122</v>
      </c>
      <c r="Q294" s="1" t="s">
        <v>1611</v>
      </c>
      <c r="R294" s="1"/>
      <c r="T294" s="3">
        <v>10</v>
      </c>
      <c r="V294" s="3">
        <v>32</v>
      </c>
      <c r="W294" s="1">
        <v>10</v>
      </c>
      <c r="X294" s="1">
        <v>21</v>
      </c>
      <c r="Y294" s="1" t="s">
        <v>2285</v>
      </c>
      <c r="Z294" s="3">
        <v>1</v>
      </c>
      <c r="AA294" s="13" t="b">
        <v>1</v>
      </c>
      <c r="AB294" s="17" t="s">
        <v>1890</v>
      </c>
      <c r="AC294" s="57" t="s">
        <v>1376</v>
      </c>
      <c r="AD294" s="1"/>
      <c r="AE294" s="57"/>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c r="KD294" s="1"/>
      <c r="KE294" s="1"/>
      <c r="KF294" s="1"/>
      <c r="KG294" s="1"/>
      <c r="KH294" s="1"/>
      <c r="KI294" s="1"/>
      <c r="KJ294" s="1"/>
      <c r="KK294" s="1"/>
      <c r="KL294" s="1"/>
      <c r="KM294" s="1"/>
      <c r="KN294" s="1"/>
      <c r="KO294" s="1"/>
      <c r="KP294" s="1"/>
      <c r="KQ294" s="1"/>
      <c r="KR294" s="1"/>
      <c r="KS294" s="1"/>
      <c r="KT294" s="1"/>
      <c r="KU294" s="1"/>
      <c r="KV294" s="1"/>
      <c r="KW294" s="1"/>
      <c r="KX294" s="1"/>
      <c r="KY294" s="1"/>
      <c r="KZ294" s="1"/>
      <c r="LA294" s="1"/>
      <c r="LB294" s="1"/>
      <c r="LC294" s="1"/>
      <c r="LD294" s="1"/>
      <c r="LE294" s="1"/>
      <c r="LF294" s="1"/>
      <c r="LG294" s="1"/>
      <c r="LH294" s="1"/>
      <c r="LI294" s="1"/>
      <c r="LJ294" s="1"/>
      <c r="LK294" s="1"/>
      <c r="LL294" s="1"/>
      <c r="LM294" s="1"/>
      <c r="LN294" s="1"/>
      <c r="LO294" s="1"/>
      <c r="LP294" s="1"/>
      <c r="LQ294" s="1"/>
      <c r="LR294" s="1"/>
      <c r="LS294" s="1"/>
    </row>
    <row r="295" spans="1:331" s="25" customFormat="1" x14ac:dyDescent="0.25">
      <c r="A295" s="25" t="s">
        <v>1123</v>
      </c>
      <c r="B295" s="29" t="s">
        <v>1124</v>
      </c>
      <c r="C295" s="13" t="s">
        <v>1651</v>
      </c>
      <c r="D295" s="25">
        <v>0</v>
      </c>
      <c r="H295" s="25" t="s">
        <v>1125</v>
      </c>
      <c r="I295" s="25" t="s">
        <v>1125</v>
      </c>
      <c r="J295" s="25" t="s">
        <v>1126</v>
      </c>
      <c r="K295" s="25" t="s">
        <v>1125</v>
      </c>
      <c r="L295" s="25">
        <v>0</v>
      </c>
      <c r="O295" s="25">
        <v>0</v>
      </c>
      <c r="Q295" s="1" t="s">
        <v>1612</v>
      </c>
      <c r="R295" s="1"/>
      <c r="T295" s="25">
        <v>6</v>
      </c>
      <c r="W295" s="1">
        <v>6</v>
      </c>
      <c r="X295" s="1">
        <v>9</v>
      </c>
      <c r="Y295" s="1" t="s">
        <v>2286</v>
      </c>
      <c r="Z295" s="25">
        <v>5</v>
      </c>
      <c r="AA295" s="13" t="b">
        <v>1</v>
      </c>
      <c r="AB295" s="1"/>
      <c r="AC295" s="57" t="s">
        <v>1349</v>
      </c>
      <c r="AD295" s="1"/>
      <c r="AE295" t="s">
        <v>1864</v>
      </c>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1"/>
      <c r="JF295" s="1"/>
      <c r="JG295" s="1"/>
      <c r="JH295" s="1"/>
      <c r="JI295" s="1"/>
      <c r="JJ295" s="1"/>
      <c r="JK295" s="1"/>
      <c r="JL295" s="1"/>
      <c r="JM295" s="1"/>
      <c r="JN295" s="1"/>
      <c r="JO295" s="1"/>
      <c r="JP295" s="1"/>
      <c r="JQ295" s="1"/>
      <c r="JR295" s="1"/>
      <c r="JS295" s="1"/>
      <c r="JT295" s="1"/>
      <c r="JU295" s="1"/>
      <c r="JV295" s="1"/>
      <c r="JW295" s="1"/>
      <c r="JX295" s="1"/>
      <c r="JY295" s="1"/>
      <c r="JZ295" s="1"/>
      <c r="KA295" s="1"/>
      <c r="KB295" s="1"/>
      <c r="KC295" s="1"/>
      <c r="KD295" s="1"/>
      <c r="KE295" s="1"/>
      <c r="KF295" s="1"/>
      <c r="KG295" s="1"/>
      <c r="KH295" s="1"/>
      <c r="KI295" s="1"/>
      <c r="KJ295" s="1"/>
      <c r="KK295" s="1"/>
      <c r="KL295" s="1"/>
      <c r="KM295" s="1"/>
      <c r="KN295" s="1"/>
      <c r="KO295" s="1"/>
      <c r="KP295" s="1"/>
      <c r="KQ295" s="1"/>
      <c r="KR295" s="1"/>
      <c r="KS295" s="1"/>
      <c r="KT295" s="1"/>
      <c r="KU295" s="1"/>
      <c r="KV295" s="1"/>
      <c r="KW295" s="1"/>
      <c r="KX295" s="1"/>
      <c r="KY295" s="1"/>
      <c r="KZ295" s="1"/>
      <c r="LA295" s="1"/>
      <c r="LB295" s="1"/>
      <c r="LC295" s="1"/>
      <c r="LD295" s="1"/>
      <c r="LE295" s="1"/>
      <c r="LF295" s="1"/>
      <c r="LG295" s="1"/>
      <c r="LH295" s="1"/>
      <c r="LI295" s="1"/>
      <c r="LJ295" s="1"/>
      <c r="LK295" s="1"/>
      <c r="LL295" s="1"/>
      <c r="LM295" s="1"/>
      <c r="LN295" s="1"/>
      <c r="LO295" s="1"/>
      <c r="LP295" s="1"/>
      <c r="LQ295" s="1"/>
      <c r="LR295" s="1"/>
      <c r="LS295" s="1"/>
    </row>
    <row r="296" spans="1:331" s="45" customFormat="1" x14ac:dyDescent="0.25">
      <c r="A296" s="45" t="s">
        <v>1127</v>
      </c>
      <c r="B296" s="45" t="s">
        <v>1128</v>
      </c>
      <c r="C296" s="1" t="s">
        <v>1651</v>
      </c>
      <c r="D296" s="45">
        <v>0</v>
      </c>
      <c r="H296" s="45" t="s">
        <v>1129</v>
      </c>
      <c r="I296" s="45" t="s">
        <v>1129</v>
      </c>
      <c r="J296" s="45" t="s">
        <v>1130</v>
      </c>
      <c r="K296" s="45" t="s">
        <v>1129</v>
      </c>
      <c r="L296" s="45">
        <v>0</v>
      </c>
      <c r="O296" s="45">
        <v>1</v>
      </c>
      <c r="P296" s="45" t="s">
        <v>1131</v>
      </c>
      <c r="Q296" s="1" t="s">
        <v>1613</v>
      </c>
      <c r="R296" s="1"/>
      <c r="S296" s="45">
        <v>8</v>
      </c>
      <c r="W296" s="1"/>
      <c r="X296" s="1"/>
      <c r="Y296" s="1"/>
      <c r="Z296" s="45">
        <v>-1</v>
      </c>
      <c r="AA296" s="13" t="b">
        <v>0</v>
      </c>
      <c r="AB296" s="1"/>
      <c r="AC296" s="57" t="s">
        <v>1424</v>
      </c>
      <c r="AD296" s="1"/>
      <c r="AE296" s="57"/>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c r="LP296" s="1"/>
      <c r="LQ296" s="1"/>
      <c r="LR296" s="1"/>
      <c r="LS296" s="1"/>
    </row>
    <row r="297" spans="1:331" s="68" customFormat="1" x14ac:dyDescent="0.25">
      <c r="A297" s="68" t="s">
        <v>1132</v>
      </c>
      <c r="B297" s="68" t="s">
        <v>1133</v>
      </c>
      <c r="C297" s="1" t="s">
        <v>1651</v>
      </c>
      <c r="D297" s="68">
        <v>0</v>
      </c>
      <c r="H297" s="68" t="s">
        <v>1134</v>
      </c>
      <c r="I297" s="68" t="s">
        <v>1135</v>
      </c>
      <c r="J297" s="68" t="s">
        <v>1799</v>
      </c>
      <c r="K297" s="68" t="s">
        <v>1712</v>
      </c>
      <c r="L297" s="68">
        <v>1</v>
      </c>
      <c r="M297" s="68" t="s">
        <v>1136</v>
      </c>
      <c r="O297" s="68">
        <v>1</v>
      </c>
      <c r="P297" s="68" t="s">
        <v>1137</v>
      </c>
      <c r="Q297" s="1"/>
      <c r="R297" s="1" t="s">
        <v>1578</v>
      </c>
      <c r="S297" s="68">
        <v>10</v>
      </c>
      <c r="V297" s="68">
        <v>10</v>
      </c>
      <c r="W297" s="1">
        <v>10</v>
      </c>
      <c r="X297" s="1">
        <v>11</v>
      </c>
      <c r="Y297" s="1" t="s">
        <v>2287</v>
      </c>
      <c r="Z297" s="68">
        <v>13</v>
      </c>
      <c r="AA297" s="13" t="b">
        <v>1</v>
      </c>
      <c r="AB297" s="1" t="s">
        <v>1890</v>
      </c>
      <c r="AC297" s="57" t="s">
        <v>1800</v>
      </c>
      <c r="AD297" s="1"/>
      <c r="AE297" s="57"/>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row>
    <row r="298" spans="1:331" s="45" customFormat="1" x14ac:dyDescent="0.25">
      <c r="A298" s="45" t="s">
        <v>1138</v>
      </c>
      <c r="C298" s="1" t="s">
        <v>1651</v>
      </c>
      <c r="D298" s="45">
        <v>0</v>
      </c>
      <c r="H298" s="45" t="s">
        <v>1140</v>
      </c>
      <c r="I298" s="45" t="s">
        <v>1141</v>
      </c>
      <c r="J298" s="45" t="s">
        <v>1142</v>
      </c>
      <c r="K298" s="45" t="s">
        <v>1713</v>
      </c>
      <c r="L298" s="45">
        <v>0</v>
      </c>
      <c r="O298" s="45">
        <v>1</v>
      </c>
      <c r="Q298" s="1"/>
      <c r="R298" s="1" t="s">
        <v>1143</v>
      </c>
      <c r="S298" s="45">
        <v>32</v>
      </c>
      <c r="W298" s="1"/>
      <c r="X298" s="1"/>
      <c r="Y298" s="1"/>
      <c r="Z298" s="45">
        <v>-1</v>
      </c>
      <c r="AA298" s="13" t="b">
        <v>0</v>
      </c>
      <c r="AB298" s="1" t="s">
        <v>1890</v>
      </c>
      <c r="AC298" s="57" t="s">
        <v>1939</v>
      </c>
      <c r="AD298" s="1"/>
      <c r="AE298" s="57"/>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c r="IY298" s="1"/>
      <c r="IZ298" s="1"/>
      <c r="JA298" s="1"/>
      <c r="JB298" s="1"/>
      <c r="JC298" s="1"/>
      <c r="JD298" s="1"/>
      <c r="JE298" s="1"/>
      <c r="JF298" s="1"/>
      <c r="JG298" s="1"/>
      <c r="JH298" s="1"/>
      <c r="JI298" s="1"/>
      <c r="JJ298" s="1"/>
      <c r="JK298" s="1"/>
      <c r="JL298" s="1"/>
      <c r="JM298" s="1"/>
      <c r="JN298" s="1"/>
      <c r="JO298" s="1"/>
      <c r="JP298" s="1"/>
      <c r="JQ298" s="1"/>
      <c r="JR298" s="1"/>
      <c r="JS298" s="1"/>
      <c r="JT298" s="1"/>
      <c r="JU298" s="1"/>
      <c r="JV298" s="1"/>
      <c r="JW298" s="1"/>
      <c r="JX298" s="1"/>
      <c r="JY298" s="1"/>
      <c r="JZ298" s="1"/>
      <c r="KA298" s="1"/>
      <c r="KB298" s="1"/>
      <c r="KC298" s="1"/>
      <c r="KD298" s="1"/>
      <c r="KE298" s="1"/>
      <c r="KF298" s="1"/>
      <c r="KG298" s="1"/>
      <c r="KH298" s="1"/>
      <c r="KI298" s="1"/>
      <c r="KJ298" s="1"/>
      <c r="KK298" s="1"/>
      <c r="KL298" s="1"/>
      <c r="KM298" s="1"/>
      <c r="KN298" s="1"/>
      <c r="KO298" s="1"/>
      <c r="KP298" s="1"/>
      <c r="KQ298" s="1"/>
      <c r="KR298" s="1"/>
      <c r="KS298" s="1"/>
      <c r="KT298" s="1"/>
      <c r="KU298" s="1"/>
      <c r="KV298" s="1"/>
      <c r="KW298" s="1"/>
      <c r="KX298" s="1"/>
      <c r="KY298" s="1"/>
      <c r="KZ298" s="1"/>
      <c r="LA298" s="1"/>
      <c r="LB298" s="1"/>
      <c r="LC298" s="1"/>
      <c r="LD298" s="1"/>
      <c r="LE298" s="1"/>
      <c r="LF298" s="1"/>
      <c r="LG298" s="1"/>
      <c r="LH298" s="1"/>
      <c r="LI298" s="1"/>
      <c r="LJ298" s="1"/>
      <c r="LK298" s="1"/>
      <c r="LL298" s="1"/>
      <c r="LM298" s="1"/>
      <c r="LN298" s="1"/>
      <c r="LO298" s="1"/>
      <c r="LP298" s="1"/>
      <c r="LQ298" s="1"/>
      <c r="LR298" s="1"/>
      <c r="LS298" s="1"/>
    </row>
    <row r="299" spans="1:331" s="25" customFormat="1" x14ac:dyDescent="0.25">
      <c r="A299" s="25" t="s">
        <v>1144</v>
      </c>
      <c r="B299" s="29" t="s">
        <v>1145</v>
      </c>
      <c r="C299" s="13" t="s">
        <v>1651</v>
      </c>
      <c r="D299" s="25">
        <v>0</v>
      </c>
      <c r="H299" s="25" t="s">
        <v>1146</v>
      </c>
      <c r="I299" s="25" t="s">
        <v>1146</v>
      </c>
      <c r="J299" s="48">
        <v>43780</v>
      </c>
      <c r="K299" s="48" t="s">
        <v>1146</v>
      </c>
      <c r="L299" s="25">
        <v>0</v>
      </c>
      <c r="O299" s="25">
        <v>0</v>
      </c>
      <c r="Q299" s="1" t="s">
        <v>1614</v>
      </c>
      <c r="R299" s="1"/>
      <c r="T299" s="25">
        <v>15</v>
      </c>
      <c r="V299" s="25">
        <v>13</v>
      </c>
      <c r="W299" s="1">
        <v>15</v>
      </c>
      <c r="X299" s="1">
        <v>16</v>
      </c>
      <c r="Y299" s="1" t="s">
        <v>2288</v>
      </c>
      <c r="Z299" s="25">
        <v>5</v>
      </c>
      <c r="AA299" s="13" t="b">
        <v>1</v>
      </c>
      <c r="AB299" s="1" t="s">
        <v>1893</v>
      </c>
      <c r="AC299" s="57" t="s">
        <v>1383</v>
      </c>
      <c r="AD299" s="1"/>
      <c r="AE299" s="57"/>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c r="KN299" s="1"/>
      <c r="KO299" s="1"/>
      <c r="KP299" s="1"/>
      <c r="KQ299" s="1"/>
      <c r="KR299" s="1"/>
      <c r="KS299" s="1"/>
      <c r="KT299" s="1"/>
      <c r="KU299" s="1"/>
      <c r="KV299" s="1"/>
      <c r="KW299" s="1"/>
      <c r="KX299" s="1"/>
      <c r="KY299" s="1"/>
      <c r="KZ299" s="1"/>
      <c r="LA299" s="1"/>
      <c r="LB299" s="1"/>
      <c r="LC299" s="1"/>
      <c r="LD299" s="1"/>
      <c r="LE299" s="1"/>
      <c r="LF299" s="1"/>
      <c r="LG299" s="1"/>
      <c r="LH299" s="1"/>
      <c r="LI299" s="1"/>
      <c r="LJ299" s="1"/>
      <c r="LK299" s="1"/>
      <c r="LL299" s="1"/>
      <c r="LM299" s="1"/>
      <c r="LN299" s="1"/>
      <c r="LO299" s="1"/>
      <c r="LP299" s="1"/>
      <c r="LQ299" s="1"/>
      <c r="LR299" s="1"/>
      <c r="LS299" s="1"/>
    </row>
    <row r="300" spans="1:331" s="40" customFormat="1" x14ac:dyDescent="0.25">
      <c r="A300" s="40" t="s">
        <v>1147</v>
      </c>
      <c r="B300" s="44" t="s">
        <v>1148</v>
      </c>
      <c r="C300" s="13" t="s">
        <v>1651</v>
      </c>
      <c r="D300" s="40">
        <v>0</v>
      </c>
      <c r="H300" s="40" t="s">
        <v>1149</v>
      </c>
      <c r="I300" s="40" t="s">
        <v>1150</v>
      </c>
      <c r="J300" s="40" t="s">
        <v>1149</v>
      </c>
      <c r="K300" s="40" t="s">
        <v>1714</v>
      </c>
      <c r="L300" s="40">
        <v>0</v>
      </c>
      <c r="O300" s="40">
        <v>1</v>
      </c>
      <c r="P300" s="40" t="s">
        <v>816</v>
      </c>
      <c r="Q300" s="1" t="s">
        <v>1615</v>
      </c>
      <c r="R300" s="1"/>
      <c r="S300" s="40">
        <v>10</v>
      </c>
      <c r="T300" s="40">
        <v>10</v>
      </c>
      <c r="W300" s="1">
        <v>10</v>
      </c>
      <c r="X300" s="1">
        <v>22</v>
      </c>
      <c r="Y300" s="1" t="s">
        <v>2289</v>
      </c>
      <c r="Z300" s="40">
        <v>8</v>
      </c>
      <c r="AA300" s="13" t="b">
        <v>1</v>
      </c>
      <c r="AB300" s="17" t="s">
        <v>1890</v>
      </c>
      <c r="AC300" s="57" t="s">
        <v>1415</v>
      </c>
      <c r="AD300" s="1"/>
      <c r="AE300" s="57"/>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c r="KN300" s="1"/>
      <c r="KO300" s="1"/>
      <c r="KP300" s="1"/>
      <c r="KQ300" s="1"/>
      <c r="KR300" s="1"/>
      <c r="KS300" s="1"/>
      <c r="KT300" s="1"/>
      <c r="KU300" s="1"/>
      <c r="KV300" s="1"/>
      <c r="KW300" s="1"/>
      <c r="KX300" s="1"/>
      <c r="KY300" s="1"/>
      <c r="KZ300" s="1"/>
      <c r="LA300" s="1"/>
      <c r="LB300" s="1"/>
      <c r="LC300" s="1"/>
      <c r="LD300" s="1"/>
      <c r="LE300" s="1"/>
      <c r="LF300" s="1"/>
      <c r="LG300" s="1"/>
      <c r="LH300" s="1"/>
      <c r="LI300" s="1"/>
      <c r="LJ300" s="1"/>
      <c r="LK300" s="1"/>
      <c r="LL300" s="1"/>
      <c r="LM300" s="1"/>
      <c r="LN300" s="1"/>
      <c r="LO300" s="1"/>
      <c r="LP300" s="1"/>
      <c r="LQ300" s="1"/>
      <c r="LR300" s="1"/>
      <c r="LS300" s="1"/>
    </row>
    <row r="301" spans="1:331" s="72" customFormat="1" x14ac:dyDescent="0.25">
      <c r="A301" s="72" t="s">
        <v>1151</v>
      </c>
      <c r="B301" s="75" t="s">
        <v>1152</v>
      </c>
      <c r="C301" s="13" t="s">
        <v>1651</v>
      </c>
      <c r="D301" s="72">
        <v>0</v>
      </c>
      <c r="H301" s="72" t="s">
        <v>1153</v>
      </c>
      <c r="I301" s="72" t="s">
        <v>1154</v>
      </c>
      <c r="J301" s="72" t="s">
        <v>1155</v>
      </c>
      <c r="K301" s="72" t="s">
        <v>1153</v>
      </c>
      <c r="L301" s="72">
        <v>0</v>
      </c>
      <c r="O301" s="72">
        <v>1</v>
      </c>
      <c r="P301" s="72" t="s">
        <v>1156</v>
      </c>
      <c r="Q301" s="1"/>
      <c r="R301" s="1" t="s">
        <v>1157</v>
      </c>
      <c r="T301" s="72">
        <v>10</v>
      </c>
      <c r="V301" s="72">
        <v>9</v>
      </c>
      <c r="W301" s="1">
        <v>10</v>
      </c>
      <c r="X301" s="1">
        <v>10</v>
      </c>
      <c r="Y301" s="1" t="s">
        <v>2290</v>
      </c>
      <c r="Z301" s="72">
        <v>14</v>
      </c>
      <c r="AA301" s="13" t="b">
        <v>1</v>
      </c>
      <c r="AB301" s="1"/>
      <c r="AC301" s="57" t="s">
        <v>1297</v>
      </c>
      <c r="AD301" s="1"/>
      <c r="AE301" s="57"/>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row>
    <row r="302" spans="1:331" s="40" customFormat="1" x14ac:dyDescent="0.25">
      <c r="A302" s="40" t="s">
        <v>1158</v>
      </c>
      <c r="B302" s="44" t="s">
        <v>1159</v>
      </c>
      <c r="C302" s="13" t="s">
        <v>1651</v>
      </c>
      <c r="D302" s="40">
        <v>0</v>
      </c>
      <c r="H302" s="40" t="s">
        <v>1160</v>
      </c>
      <c r="I302" s="40" t="s">
        <v>1161</v>
      </c>
      <c r="J302" s="40" t="s">
        <v>1160</v>
      </c>
      <c r="K302" s="40" t="s">
        <v>1160</v>
      </c>
      <c r="L302" s="40">
        <v>0</v>
      </c>
      <c r="O302" s="40">
        <v>1</v>
      </c>
      <c r="P302" s="40" t="s">
        <v>1162</v>
      </c>
      <c r="Q302" s="1" t="s">
        <v>1616</v>
      </c>
      <c r="R302" s="1"/>
      <c r="S302" s="40">
        <v>5</v>
      </c>
      <c r="T302" s="40">
        <v>12</v>
      </c>
      <c r="V302" s="40">
        <v>12</v>
      </c>
      <c r="W302" s="1">
        <v>12</v>
      </c>
      <c r="X302" s="1">
        <v>15</v>
      </c>
      <c r="Y302" s="1" t="s">
        <v>2291</v>
      </c>
      <c r="Z302" s="40">
        <v>8</v>
      </c>
      <c r="AA302" s="13" t="b">
        <v>1</v>
      </c>
      <c r="AB302" s="1"/>
      <c r="AC302" s="57" t="s">
        <v>1419</v>
      </c>
      <c r="AD302" s="1"/>
      <c r="AE302" s="57"/>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c r="IY302" s="1"/>
      <c r="IZ302" s="1"/>
      <c r="JA302" s="1"/>
      <c r="JB302" s="1"/>
      <c r="JC302" s="1"/>
      <c r="JD302" s="1"/>
      <c r="JE302" s="1"/>
      <c r="JF302" s="1"/>
      <c r="JG302" s="1"/>
      <c r="JH302" s="1"/>
      <c r="JI302" s="1"/>
      <c r="JJ302" s="1"/>
      <c r="JK302" s="1"/>
      <c r="JL302" s="1"/>
      <c r="JM302" s="1"/>
      <c r="JN302" s="1"/>
      <c r="JO302" s="1"/>
      <c r="JP302" s="1"/>
      <c r="JQ302" s="1"/>
      <c r="JR302" s="1"/>
      <c r="JS302" s="1"/>
      <c r="JT302" s="1"/>
      <c r="JU302" s="1"/>
      <c r="JV302" s="1"/>
      <c r="JW302" s="1"/>
      <c r="JX302" s="1"/>
      <c r="JY302" s="1"/>
      <c r="JZ302" s="1"/>
      <c r="KA302" s="1"/>
      <c r="KB302" s="1"/>
      <c r="KC302" s="1"/>
      <c r="KD302" s="1"/>
      <c r="KE302" s="1"/>
      <c r="KF302" s="1"/>
      <c r="KG302" s="1"/>
      <c r="KH302" s="1"/>
      <c r="KI302" s="1"/>
      <c r="KJ302" s="1"/>
      <c r="KK302" s="1"/>
      <c r="KL302" s="1"/>
      <c r="KM302" s="1"/>
      <c r="KN302" s="1"/>
      <c r="KO302" s="1"/>
      <c r="KP302" s="1"/>
      <c r="KQ302" s="1"/>
      <c r="KR302" s="1"/>
      <c r="KS302" s="1"/>
      <c r="KT302" s="1"/>
      <c r="KU302" s="1"/>
      <c r="KV302" s="1"/>
      <c r="KW302" s="1"/>
      <c r="KX302" s="1"/>
      <c r="KY302" s="1"/>
      <c r="KZ302" s="1"/>
      <c r="LA302" s="1"/>
      <c r="LB302" s="1"/>
      <c r="LC302" s="1"/>
      <c r="LD302" s="1"/>
      <c r="LE302" s="1"/>
      <c r="LF302" s="1"/>
      <c r="LG302" s="1"/>
      <c r="LH302" s="1"/>
      <c r="LI302" s="1"/>
      <c r="LJ302" s="1"/>
      <c r="LK302" s="1"/>
      <c r="LL302" s="1"/>
      <c r="LM302" s="1"/>
      <c r="LN302" s="1"/>
      <c r="LO302" s="1"/>
      <c r="LP302" s="1"/>
      <c r="LQ302" s="1"/>
      <c r="LR302" s="1"/>
      <c r="LS302" s="1"/>
    </row>
    <row r="303" spans="1:331" s="25" customFormat="1" x14ac:dyDescent="0.25">
      <c r="A303" s="25" t="s">
        <v>1163</v>
      </c>
      <c r="B303" s="29" t="s">
        <v>1164</v>
      </c>
      <c r="C303" s="13" t="s">
        <v>1651</v>
      </c>
      <c r="D303" s="25">
        <v>0</v>
      </c>
      <c r="H303" s="25" t="s">
        <v>1165</v>
      </c>
      <c r="I303" s="25" t="s">
        <v>1166</v>
      </c>
      <c r="J303" s="25" t="s">
        <v>1165</v>
      </c>
      <c r="K303" s="25" t="s">
        <v>1165</v>
      </c>
      <c r="L303" s="25">
        <v>0</v>
      </c>
      <c r="O303" s="25">
        <v>0</v>
      </c>
      <c r="Q303" s="1" t="s">
        <v>1617</v>
      </c>
      <c r="R303" s="1"/>
      <c r="T303" s="25">
        <v>8</v>
      </c>
      <c r="V303" s="25">
        <v>7</v>
      </c>
      <c r="W303" s="1">
        <v>8</v>
      </c>
      <c r="X303" s="1">
        <v>8</v>
      </c>
      <c r="Y303" s="1" t="s">
        <v>2292</v>
      </c>
      <c r="Z303" s="25">
        <v>5</v>
      </c>
      <c r="AA303" s="13" t="b">
        <v>1</v>
      </c>
      <c r="AB303" s="1"/>
      <c r="AC303" s="57" t="s">
        <v>1313</v>
      </c>
      <c r="AD303" s="1"/>
      <c r="AE303" s="57"/>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c r="LA303" s="1"/>
      <c r="LB303" s="1"/>
      <c r="LC303" s="1"/>
      <c r="LD303" s="1"/>
      <c r="LE303" s="1"/>
      <c r="LF303" s="1"/>
      <c r="LG303" s="1"/>
      <c r="LH303" s="1"/>
      <c r="LI303" s="1"/>
      <c r="LJ303" s="1"/>
      <c r="LK303" s="1"/>
      <c r="LL303" s="1"/>
      <c r="LM303" s="1"/>
      <c r="LN303" s="1"/>
      <c r="LO303" s="1"/>
      <c r="LP303" s="1"/>
      <c r="LQ303" s="1"/>
      <c r="LR303" s="1"/>
      <c r="LS303" s="1"/>
    </row>
    <row r="304" spans="1:331" s="49" customFormat="1" x14ac:dyDescent="0.25">
      <c r="A304" s="49" t="s">
        <v>1167</v>
      </c>
      <c r="B304" s="51" t="s">
        <v>1168</v>
      </c>
      <c r="C304" s="13" t="s">
        <v>1651</v>
      </c>
      <c r="D304" s="49">
        <v>0</v>
      </c>
      <c r="H304" s="49" t="s">
        <v>1169</v>
      </c>
      <c r="I304" s="49" t="s">
        <v>1170</v>
      </c>
      <c r="J304" s="49" t="s">
        <v>1169</v>
      </c>
      <c r="K304" s="49" t="s">
        <v>1169</v>
      </c>
      <c r="L304" s="49">
        <v>0</v>
      </c>
      <c r="O304" s="49">
        <v>1</v>
      </c>
      <c r="Q304" s="1"/>
      <c r="R304" s="1" t="s">
        <v>1171</v>
      </c>
      <c r="S304" s="49">
        <v>12</v>
      </c>
      <c r="U304" s="49">
        <v>6</v>
      </c>
      <c r="W304" s="1">
        <v>12</v>
      </c>
      <c r="X304" s="1">
        <v>31</v>
      </c>
      <c r="Y304" s="1" t="s">
        <v>2293</v>
      </c>
      <c r="Z304" s="49">
        <v>9</v>
      </c>
      <c r="AA304" s="13" t="b">
        <v>1</v>
      </c>
      <c r="AB304" s="1"/>
      <c r="AC304" s="57" t="s">
        <v>1418</v>
      </c>
      <c r="AD304" s="1"/>
      <c r="AE304" s="57"/>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c r="KN304" s="1"/>
      <c r="KO304" s="1"/>
      <c r="KP304" s="1"/>
      <c r="KQ304" s="1"/>
      <c r="KR304" s="1"/>
      <c r="KS304" s="1"/>
      <c r="KT304" s="1"/>
      <c r="KU304" s="1"/>
      <c r="KV304" s="1"/>
      <c r="KW304" s="1"/>
      <c r="KX304" s="1"/>
      <c r="KY304" s="1"/>
      <c r="KZ304" s="1"/>
      <c r="LA304" s="1"/>
      <c r="LB304" s="1"/>
      <c r="LC304" s="1"/>
      <c r="LD304" s="1"/>
      <c r="LE304" s="1"/>
      <c r="LF304" s="1"/>
      <c r="LG304" s="1"/>
      <c r="LH304" s="1"/>
      <c r="LI304" s="1"/>
      <c r="LJ304" s="1"/>
      <c r="LK304" s="1"/>
      <c r="LL304" s="1"/>
      <c r="LM304" s="1"/>
      <c r="LN304" s="1"/>
      <c r="LO304" s="1"/>
      <c r="LP304" s="1"/>
      <c r="LQ304" s="1"/>
      <c r="LR304" s="1"/>
      <c r="LS304" s="1"/>
    </row>
    <row r="305" spans="1:331" s="25" customFormat="1" x14ac:dyDescent="0.25">
      <c r="A305" s="25" t="s">
        <v>1172</v>
      </c>
      <c r="B305" s="29" t="s">
        <v>1173</v>
      </c>
      <c r="C305" s="13" t="s">
        <v>1651</v>
      </c>
      <c r="D305" s="25">
        <v>0</v>
      </c>
      <c r="H305" s="25" t="s">
        <v>1174</v>
      </c>
      <c r="I305" s="25" t="s">
        <v>1175</v>
      </c>
      <c r="J305" s="25" t="s">
        <v>1174</v>
      </c>
      <c r="K305" s="25" t="s">
        <v>1174</v>
      </c>
      <c r="L305" s="25">
        <v>0</v>
      </c>
      <c r="O305" s="25">
        <v>0</v>
      </c>
      <c r="Q305" s="1" t="s">
        <v>1618</v>
      </c>
      <c r="R305" s="1"/>
      <c r="S305" s="25">
        <v>7</v>
      </c>
      <c r="T305" s="25">
        <v>7</v>
      </c>
      <c r="U305" s="25">
        <v>7</v>
      </c>
      <c r="V305" s="25">
        <v>6</v>
      </c>
      <c r="W305" s="1">
        <v>7</v>
      </c>
      <c r="X305" s="1">
        <v>10</v>
      </c>
      <c r="Y305" s="1" t="s">
        <v>2294</v>
      </c>
      <c r="Z305" s="25">
        <v>5</v>
      </c>
      <c r="AA305" s="13" t="b">
        <v>1</v>
      </c>
      <c r="AB305" s="1"/>
      <c r="AC305" s="89" t="s">
        <v>1348</v>
      </c>
      <c r="AD305" s="1"/>
      <c r="AE305" s="57"/>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c r="LA305" s="1"/>
      <c r="LB305" s="1"/>
      <c r="LC305" s="1"/>
      <c r="LD305" s="1"/>
      <c r="LE305" s="1"/>
      <c r="LF305" s="1"/>
      <c r="LG305" s="1"/>
      <c r="LH305" s="1"/>
      <c r="LI305" s="1"/>
      <c r="LJ305" s="1"/>
      <c r="LK305" s="1"/>
      <c r="LL305" s="1"/>
      <c r="LM305" s="1"/>
      <c r="LN305" s="1"/>
      <c r="LO305" s="1"/>
      <c r="LP305" s="1"/>
      <c r="LQ305" s="1"/>
      <c r="LR305" s="1"/>
      <c r="LS305" s="1"/>
    </row>
    <row r="306" spans="1:331" s="59" customFormat="1" x14ac:dyDescent="0.25">
      <c r="A306" s="59" t="s">
        <v>1176</v>
      </c>
      <c r="B306" s="61" t="s">
        <v>1177</v>
      </c>
      <c r="C306" s="13" t="s">
        <v>1651</v>
      </c>
      <c r="D306" s="59">
        <v>0</v>
      </c>
      <c r="H306" s="59" t="s">
        <v>1178</v>
      </c>
      <c r="I306" s="59" t="s">
        <v>1179</v>
      </c>
      <c r="J306" s="62">
        <v>43496</v>
      </c>
      <c r="K306" s="62" t="s">
        <v>1178</v>
      </c>
      <c r="L306" s="59">
        <v>1</v>
      </c>
      <c r="M306" s="59" t="s">
        <v>1180</v>
      </c>
      <c r="O306" s="59">
        <v>1</v>
      </c>
      <c r="Q306" s="1"/>
      <c r="R306" s="1" t="s">
        <v>1181</v>
      </c>
      <c r="S306" s="59">
        <v>11</v>
      </c>
      <c r="U306" s="59">
        <v>15</v>
      </c>
      <c r="W306" s="1">
        <v>11</v>
      </c>
      <c r="X306" s="1">
        <v>13</v>
      </c>
      <c r="Y306" s="1" t="s">
        <v>2295</v>
      </c>
      <c r="Z306" s="59">
        <v>11</v>
      </c>
      <c r="AA306" s="13" t="b">
        <v>1</v>
      </c>
      <c r="AB306" s="1" t="s">
        <v>1894</v>
      </c>
      <c r="AC306" s="57" t="s">
        <v>1641</v>
      </c>
      <c r="AD306" s="1"/>
      <c r="AE306" s="57"/>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c r="KN306" s="1"/>
      <c r="KO306" s="1"/>
      <c r="KP306" s="1"/>
      <c r="KQ306" s="1"/>
      <c r="KR306" s="1"/>
      <c r="KS306" s="1"/>
      <c r="KT306" s="1"/>
      <c r="KU306" s="1"/>
      <c r="KV306" s="1"/>
      <c r="KW306" s="1"/>
      <c r="KX306" s="1"/>
      <c r="KY306" s="1"/>
      <c r="KZ306" s="1"/>
      <c r="LA306" s="1"/>
      <c r="LB306" s="1"/>
      <c r="LC306" s="1"/>
      <c r="LD306" s="1"/>
      <c r="LE306" s="1"/>
      <c r="LF306" s="1"/>
      <c r="LG306" s="1"/>
      <c r="LH306" s="1"/>
      <c r="LI306" s="1"/>
      <c r="LJ306" s="1"/>
      <c r="LK306" s="1"/>
      <c r="LL306" s="1"/>
      <c r="LM306" s="1"/>
      <c r="LN306" s="1"/>
      <c r="LO306" s="1"/>
      <c r="LP306" s="1"/>
      <c r="LQ306" s="1"/>
      <c r="LR306" s="1"/>
      <c r="LS306" s="1"/>
    </row>
    <row r="307" spans="1:331" s="72" customFormat="1" x14ac:dyDescent="0.25">
      <c r="A307" s="72" t="s">
        <v>1182</v>
      </c>
      <c r="B307" s="75" t="s">
        <v>1183</v>
      </c>
      <c r="C307" s="13" t="s">
        <v>1651</v>
      </c>
      <c r="D307" s="72">
        <v>0</v>
      </c>
      <c r="H307" s="72" t="s">
        <v>1184</v>
      </c>
      <c r="I307" s="72" t="s">
        <v>1185</v>
      </c>
      <c r="J307" s="72" t="s">
        <v>1184</v>
      </c>
      <c r="K307" s="72" t="s">
        <v>1715</v>
      </c>
      <c r="L307" s="72">
        <v>0</v>
      </c>
      <c r="O307" s="72">
        <v>1</v>
      </c>
      <c r="P307" s="72" t="s">
        <v>1186</v>
      </c>
      <c r="Q307" s="1"/>
      <c r="R307" s="1" t="s">
        <v>1187</v>
      </c>
      <c r="S307" s="72">
        <v>16</v>
      </c>
      <c r="U307" s="72">
        <v>12</v>
      </c>
      <c r="W307" s="1">
        <v>16</v>
      </c>
      <c r="X307" s="1">
        <v>14</v>
      </c>
      <c r="Y307" s="1" t="s">
        <v>2296</v>
      </c>
      <c r="Z307" s="72">
        <v>14</v>
      </c>
      <c r="AA307" s="13" t="b">
        <v>1</v>
      </c>
      <c r="AB307" s="1" t="s">
        <v>1899</v>
      </c>
      <c r="AC307" s="57" t="s">
        <v>1416</v>
      </c>
      <c r="AD307" s="1"/>
      <c r="AE307" s="57"/>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row>
    <row r="308" spans="1:331" s="3" customFormat="1" x14ac:dyDescent="0.25">
      <c r="A308" s="3" t="s">
        <v>1188</v>
      </c>
      <c r="B308" s="5" t="s">
        <v>1189</v>
      </c>
      <c r="C308" s="13" t="s">
        <v>1651</v>
      </c>
      <c r="D308" s="3">
        <v>0</v>
      </c>
      <c r="H308" s="3" t="s">
        <v>1190</v>
      </c>
      <c r="I308" s="3" t="s">
        <v>1190</v>
      </c>
      <c r="J308" s="3" t="s">
        <v>1191</v>
      </c>
      <c r="K308" s="3" t="s">
        <v>1190</v>
      </c>
      <c r="L308" s="3">
        <v>1</v>
      </c>
      <c r="M308" s="3" t="s">
        <v>1192</v>
      </c>
      <c r="O308" s="3">
        <v>1</v>
      </c>
      <c r="P308" s="3" t="s">
        <v>1193</v>
      </c>
      <c r="Q308" s="1" t="s">
        <v>1619</v>
      </c>
      <c r="R308" s="1"/>
      <c r="S308" s="3">
        <v>17</v>
      </c>
      <c r="V308" s="3">
        <v>17</v>
      </c>
      <c r="W308" s="1">
        <v>17</v>
      </c>
      <c r="X308" s="1">
        <v>14</v>
      </c>
      <c r="Y308" s="1" t="s">
        <v>2297</v>
      </c>
      <c r="Z308" s="3">
        <v>1</v>
      </c>
      <c r="AA308" s="13" t="b">
        <v>1</v>
      </c>
      <c r="AB308" s="1"/>
      <c r="AC308" s="57" t="s">
        <v>1372</v>
      </c>
      <c r="AD308" s="1"/>
      <c r="AE308" s="57"/>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c r="IY308" s="1"/>
      <c r="IZ308" s="1"/>
      <c r="JA308" s="1"/>
      <c r="JB308" s="1"/>
      <c r="JC308" s="1"/>
      <c r="JD308" s="1"/>
      <c r="JE308" s="1"/>
      <c r="JF308" s="1"/>
      <c r="JG308" s="1"/>
      <c r="JH308" s="1"/>
      <c r="JI308" s="1"/>
      <c r="JJ308" s="1"/>
      <c r="JK308" s="1"/>
      <c r="JL308" s="1"/>
      <c r="JM308" s="1"/>
      <c r="JN308" s="1"/>
      <c r="JO308" s="1"/>
      <c r="JP308" s="1"/>
      <c r="JQ308" s="1"/>
      <c r="JR308" s="1"/>
      <c r="JS308" s="1"/>
      <c r="JT308" s="1"/>
      <c r="JU308" s="1"/>
      <c r="JV308" s="1"/>
      <c r="JW308" s="1"/>
      <c r="JX308" s="1"/>
      <c r="JY308" s="1"/>
      <c r="JZ308" s="1"/>
      <c r="KA308" s="1"/>
      <c r="KB308" s="1"/>
      <c r="KC308" s="1"/>
      <c r="KD308" s="1"/>
      <c r="KE308" s="1"/>
      <c r="KF308" s="1"/>
      <c r="KG308" s="1"/>
      <c r="KH308" s="1"/>
      <c r="KI308" s="1"/>
      <c r="KJ308" s="1"/>
      <c r="KK308" s="1"/>
      <c r="KL308" s="1"/>
      <c r="KM308" s="1"/>
      <c r="KN308" s="1"/>
      <c r="KO308" s="1"/>
      <c r="KP308" s="1"/>
      <c r="KQ308" s="1"/>
      <c r="KR308" s="1"/>
      <c r="KS308" s="1"/>
      <c r="KT308" s="1"/>
      <c r="KU308" s="1"/>
      <c r="KV308" s="1"/>
      <c r="KW308" s="1"/>
      <c r="KX308" s="1"/>
      <c r="KY308" s="1"/>
      <c r="KZ308" s="1"/>
      <c r="LA308" s="1"/>
      <c r="LB308" s="1"/>
      <c r="LC308" s="1"/>
      <c r="LD308" s="1"/>
      <c r="LE308" s="1"/>
      <c r="LF308" s="1"/>
      <c r="LG308" s="1"/>
      <c r="LH308" s="1"/>
      <c r="LI308" s="1"/>
      <c r="LJ308" s="1"/>
      <c r="LK308" s="1"/>
      <c r="LL308" s="1"/>
      <c r="LM308" s="1"/>
      <c r="LN308" s="1"/>
      <c r="LO308" s="1"/>
      <c r="LP308" s="1"/>
      <c r="LQ308" s="1"/>
      <c r="LR308" s="1"/>
      <c r="LS308" s="1"/>
    </row>
    <row r="309" spans="1:331" s="3" customFormat="1" x14ac:dyDescent="0.25">
      <c r="A309" s="3" t="s">
        <v>1194</v>
      </c>
      <c r="B309" s="5" t="s">
        <v>1195</v>
      </c>
      <c r="C309" s="13" t="s">
        <v>1651</v>
      </c>
      <c r="D309" s="3">
        <v>0</v>
      </c>
      <c r="H309" s="3" t="s">
        <v>1196</v>
      </c>
      <c r="I309" s="3" t="s">
        <v>1196</v>
      </c>
      <c r="J309" s="3" t="s">
        <v>1197</v>
      </c>
      <c r="K309" s="3" t="s">
        <v>1196</v>
      </c>
      <c r="L309" s="3">
        <v>1</v>
      </c>
      <c r="M309" s="3" t="s">
        <v>1198</v>
      </c>
      <c r="O309" s="3">
        <v>1</v>
      </c>
      <c r="P309" s="3" t="s">
        <v>1199</v>
      </c>
      <c r="Q309" s="1" t="s">
        <v>1620</v>
      </c>
      <c r="R309" s="1"/>
      <c r="S309" s="3">
        <v>10</v>
      </c>
      <c r="V309" s="3">
        <v>24</v>
      </c>
      <c r="W309" s="1">
        <v>10</v>
      </c>
      <c r="X309" s="1">
        <v>16</v>
      </c>
      <c r="Y309" s="1" t="s">
        <v>2298</v>
      </c>
      <c r="Z309" s="3">
        <v>1</v>
      </c>
      <c r="AA309" s="13" t="b">
        <v>1</v>
      </c>
      <c r="AB309" s="1" t="s">
        <v>1898</v>
      </c>
      <c r="AC309" s="57" t="s">
        <v>1377</v>
      </c>
      <c r="AD309" s="1"/>
      <c r="AE309" s="57"/>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c r="KN309" s="1"/>
      <c r="KO309" s="1"/>
      <c r="KP309" s="1"/>
      <c r="KQ309" s="1"/>
      <c r="KR309" s="1"/>
      <c r="KS309" s="1"/>
      <c r="KT309" s="1"/>
      <c r="KU309" s="1"/>
      <c r="KV309" s="1"/>
      <c r="KW309" s="1"/>
      <c r="KX309" s="1"/>
      <c r="KY309" s="1"/>
      <c r="KZ309" s="1"/>
      <c r="LA309" s="1"/>
      <c r="LB309" s="1"/>
      <c r="LC309" s="1"/>
      <c r="LD309" s="1"/>
      <c r="LE309" s="1"/>
      <c r="LF309" s="1"/>
      <c r="LG309" s="1"/>
      <c r="LH309" s="1"/>
      <c r="LI309" s="1"/>
      <c r="LJ309" s="1"/>
      <c r="LK309" s="1"/>
      <c r="LL309" s="1"/>
      <c r="LM309" s="1"/>
      <c r="LN309" s="1"/>
      <c r="LO309" s="1"/>
      <c r="LP309" s="1"/>
      <c r="LQ309" s="1"/>
      <c r="LR309" s="1"/>
      <c r="LS309" s="1"/>
    </row>
    <row r="310" spans="1:331" s="3" customFormat="1" x14ac:dyDescent="0.25">
      <c r="A310" s="3" t="s">
        <v>1200</v>
      </c>
      <c r="B310" s="5" t="s">
        <v>1201</v>
      </c>
      <c r="C310" s="13" t="s">
        <v>1651</v>
      </c>
      <c r="D310" s="3">
        <v>0</v>
      </c>
      <c r="H310" s="3" t="s">
        <v>1202</v>
      </c>
      <c r="I310" s="3" t="s">
        <v>1202</v>
      </c>
      <c r="J310" s="3" t="s">
        <v>1203</v>
      </c>
      <c r="K310" s="3" t="s">
        <v>1202</v>
      </c>
      <c r="L310" s="3">
        <v>2</v>
      </c>
      <c r="M310" s="3" t="s">
        <v>1204</v>
      </c>
      <c r="N310" s="3" t="s">
        <v>1205</v>
      </c>
      <c r="O310" s="3">
        <v>1</v>
      </c>
      <c r="P310" s="3" t="s">
        <v>1206</v>
      </c>
      <c r="Q310" s="1" t="s">
        <v>266</v>
      </c>
      <c r="R310" s="1"/>
      <c r="T310" s="3">
        <v>8</v>
      </c>
      <c r="V310" s="3">
        <v>18</v>
      </c>
      <c r="W310" s="1">
        <v>8</v>
      </c>
      <c r="X310" s="1">
        <v>17</v>
      </c>
      <c r="Y310" s="1" t="s">
        <v>2299</v>
      </c>
      <c r="Z310" s="3">
        <v>1</v>
      </c>
      <c r="AA310" s="13" t="b">
        <v>1</v>
      </c>
      <c r="AB310" s="1" t="s">
        <v>1898</v>
      </c>
      <c r="AC310" s="57" t="s">
        <v>1301</v>
      </c>
      <c r="AD310" s="1"/>
      <c r="AE310" s="57"/>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c r="KN310" s="1"/>
      <c r="KO310" s="1"/>
      <c r="KP310" s="1"/>
      <c r="KQ310" s="1"/>
      <c r="KR310" s="1"/>
      <c r="KS310" s="1"/>
      <c r="KT310" s="1"/>
      <c r="KU310" s="1"/>
      <c r="KV310" s="1"/>
      <c r="KW310" s="1"/>
      <c r="KX310" s="1"/>
      <c r="KY310" s="1"/>
      <c r="KZ310" s="1"/>
      <c r="LA310" s="1"/>
      <c r="LB310" s="1"/>
      <c r="LC310" s="1"/>
      <c r="LD310" s="1"/>
      <c r="LE310" s="1"/>
      <c r="LF310" s="1"/>
      <c r="LG310" s="1"/>
      <c r="LH310" s="1"/>
      <c r="LI310" s="1"/>
      <c r="LJ310" s="1"/>
      <c r="LK310" s="1"/>
      <c r="LL310" s="1"/>
      <c r="LM310" s="1"/>
      <c r="LN310" s="1"/>
      <c r="LO310" s="1"/>
      <c r="LP310" s="1"/>
      <c r="LQ310" s="1"/>
      <c r="LR310" s="1"/>
      <c r="LS310" s="1"/>
    </row>
    <row r="311" spans="1:331" s="3" customFormat="1" x14ac:dyDescent="0.25">
      <c r="A311" s="3" t="s">
        <v>1207</v>
      </c>
      <c r="B311" s="5" t="s">
        <v>1208</v>
      </c>
      <c r="C311" s="13" t="s">
        <v>1651</v>
      </c>
      <c r="D311" s="3">
        <v>0</v>
      </c>
      <c r="H311" s="3" t="s">
        <v>242</v>
      </c>
      <c r="I311" s="3" t="s">
        <v>242</v>
      </c>
      <c r="J311" s="3" t="s">
        <v>1209</v>
      </c>
      <c r="K311" s="3" t="s">
        <v>242</v>
      </c>
      <c r="L311" s="3">
        <v>1</v>
      </c>
      <c r="M311" s="3" t="s">
        <v>1210</v>
      </c>
      <c r="O311" s="3">
        <v>0</v>
      </c>
      <c r="Q311" s="1" t="s">
        <v>1621</v>
      </c>
      <c r="R311" s="1"/>
      <c r="T311" s="3">
        <v>10</v>
      </c>
      <c r="V311" s="3">
        <v>13</v>
      </c>
      <c r="W311" s="1">
        <v>10</v>
      </c>
      <c r="X311" s="1">
        <v>14</v>
      </c>
      <c r="Y311" s="1" t="s">
        <v>2300</v>
      </c>
      <c r="Z311" s="3">
        <v>1</v>
      </c>
      <c r="AA311" s="13" t="b">
        <v>1</v>
      </c>
      <c r="AB311" s="1" t="s">
        <v>1899</v>
      </c>
      <c r="AC311" s="57" t="s">
        <v>1302</v>
      </c>
      <c r="AD311" s="1"/>
      <c r="AE311" s="57"/>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
      <c r="KP311" s="1"/>
      <c r="KQ311" s="1"/>
      <c r="KR311" s="1"/>
      <c r="KS311" s="1"/>
      <c r="KT311" s="1"/>
      <c r="KU311" s="1"/>
      <c r="KV311" s="1"/>
      <c r="KW311" s="1"/>
      <c r="KX311" s="1"/>
      <c r="KY311" s="1"/>
      <c r="KZ311" s="1"/>
      <c r="LA311" s="1"/>
      <c r="LB311" s="1"/>
      <c r="LC311" s="1"/>
      <c r="LD311" s="1"/>
      <c r="LE311" s="1"/>
      <c r="LF311" s="1"/>
      <c r="LG311" s="1"/>
      <c r="LH311" s="1"/>
      <c r="LI311" s="1"/>
      <c r="LJ311" s="1"/>
      <c r="LK311" s="1"/>
      <c r="LL311" s="1"/>
      <c r="LM311" s="1"/>
      <c r="LN311" s="1"/>
      <c r="LO311" s="1"/>
      <c r="LP311" s="1"/>
      <c r="LQ311" s="1"/>
      <c r="LR311" s="1"/>
      <c r="LS311" s="1"/>
    </row>
    <row r="312" spans="1:331" s="3" customFormat="1" x14ac:dyDescent="0.25">
      <c r="A312" s="3" t="s">
        <v>1211</v>
      </c>
      <c r="B312" s="5" t="s">
        <v>1212</v>
      </c>
      <c r="C312" s="13" t="s">
        <v>1651</v>
      </c>
      <c r="D312" s="3">
        <v>0</v>
      </c>
      <c r="H312" s="3" t="s">
        <v>1213</v>
      </c>
      <c r="I312" s="3" t="s">
        <v>1213</v>
      </c>
      <c r="J312" s="3" t="s">
        <v>1214</v>
      </c>
      <c r="K312" s="3" t="s">
        <v>1213</v>
      </c>
      <c r="L312" s="3">
        <v>1</v>
      </c>
      <c r="M312" s="3" t="s">
        <v>1100</v>
      </c>
      <c r="O312" s="3">
        <v>1</v>
      </c>
      <c r="P312" s="3" t="s">
        <v>1215</v>
      </c>
      <c r="Q312" s="1" t="s">
        <v>1622</v>
      </c>
      <c r="R312" s="1"/>
      <c r="S312" s="3">
        <v>10</v>
      </c>
      <c r="U312" s="3">
        <v>10</v>
      </c>
      <c r="W312" s="1">
        <v>10</v>
      </c>
      <c r="X312" s="1">
        <v>14</v>
      </c>
      <c r="Y312" s="1" t="s">
        <v>2301</v>
      </c>
      <c r="Z312" s="3">
        <v>1</v>
      </c>
      <c r="AA312" s="13" t="b">
        <v>1</v>
      </c>
      <c r="AB312" s="1"/>
      <c r="AC312" s="57" t="s">
        <v>1447</v>
      </c>
      <c r="AD312" s="1"/>
      <c r="AE312" s="57"/>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c r="LA312" s="1"/>
      <c r="LB312" s="1"/>
      <c r="LC312" s="1"/>
      <c r="LD312" s="1"/>
      <c r="LE312" s="1"/>
      <c r="LF312" s="1"/>
      <c r="LG312" s="1"/>
      <c r="LH312" s="1"/>
      <c r="LI312" s="1"/>
      <c r="LJ312" s="1"/>
      <c r="LK312" s="1"/>
      <c r="LL312" s="1"/>
      <c r="LM312" s="1"/>
      <c r="LN312" s="1"/>
      <c r="LO312" s="1"/>
      <c r="LP312" s="1"/>
      <c r="LQ312" s="1"/>
      <c r="LR312" s="1"/>
      <c r="LS312" s="1"/>
    </row>
    <row r="313" spans="1:331" s="3" customFormat="1" x14ac:dyDescent="0.25">
      <c r="A313" s="3" t="s">
        <v>1216</v>
      </c>
      <c r="B313" s="5" t="s">
        <v>1217</v>
      </c>
      <c r="C313" s="13" t="s">
        <v>1651</v>
      </c>
      <c r="D313" s="3">
        <v>0</v>
      </c>
      <c r="H313" s="3" t="s">
        <v>1218</v>
      </c>
      <c r="I313" s="3" t="s">
        <v>1218</v>
      </c>
      <c r="J313" s="3" t="s">
        <v>1218</v>
      </c>
      <c r="K313" s="3" t="s">
        <v>1218</v>
      </c>
      <c r="L313" s="3">
        <v>1</v>
      </c>
      <c r="M313" s="3" t="s">
        <v>1219</v>
      </c>
      <c r="O313" s="3">
        <v>0</v>
      </c>
      <c r="Q313" s="1" t="s">
        <v>1623</v>
      </c>
      <c r="R313" s="1"/>
      <c r="S313" s="3">
        <v>7</v>
      </c>
      <c r="U313" s="3">
        <v>12</v>
      </c>
      <c r="W313" s="1">
        <v>7</v>
      </c>
      <c r="X313" s="1">
        <v>9</v>
      </c>
      <c r="Y313" s="1" t="s">
        <v>2302</v>
      </c>
      <c r="Z313" s="3">
        <v>1</v>
      </c>
      <c r="AA313" s="13" t="b">
        <v>1</v>
      </c>
      <c r="AB313" s="1" t="s">
        <v>1898</v>
      </c>
      <c r="AC313" s="57" t="s">
        <v>1378</v>
      </c>
      <c r="AD313" s="1"/>
      <c r="AE313" s="57"/>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c r="LA313" s="1"/>
      <c r="LB313" s="1"/>
      <c r="LC313" s="1"/>
      <c r="LD313" s="1"/>
      <c r="LE313" s="1"/>
      <c r="LF313" s="1"/>
      <c r="LG313" s="1"/>
      <c r="LH313" s="1"/>
      <c r="LI313" s="1"/>
      <c r="LJ313" s="1"/>
      <c r="LK313" s="1"/>
      <c r="LL313" s="1"/>
      <c r="LM313" s="1"/>
      <c r="LN313" s="1"/>
      <c r="LO313" s="1"/>
      <c r="LP313" s="1"/>
      <c r="LQ313" s="1"/>
      <c r="LR313" s="1"/>
      <c r="LS313" s="1"/>
    </row>
    <row r="314" spans="1:331" s="59" customFormat="1" x14ac:dyDescent="0.25">
      <c r="A314" s="59" t="s">
        <v>1220</v>
      </c>
      <c r="B314" s="61" t="s">
        <v>1139</v>
      </c>
      <c r="C314" s="13" t="s">
        <v>1651</v>
      </c>
      <c r="D314" s="59">
        <v>0</v>
      </c>
      <c r="H314" s="59" t="s">
        <v>1221</v>
      </c>
      <c r="I314" s="59" t="s">
        <v>1221</v>
      </c>
      <c r="J314" s="59" t="s">
        <v>1222</v>
      </c>
      <c r="K314" s="59" t="s">
        <v>1716</v>
      </c>
      <c r="L314" s="59">
        <v>2</v>
      </c>
      <c r="M314" s="59" t="s">
        <v>1223</v>
      </c>
      <c r="N314" s="59" t="s">
        <v>1224</v>
      </c>
      <c r="O314" s="59">
        <v>1</v>
      </c>
      <c r="Q314" s="1"/>
      <c r="R314" s="1" t="s">
        <v>1143</v>
      </c>
      <c r="S314" s="59">
        <v>36</v>
      </c>
      <c r="W314" s="1">
        <v>36</v>
      </c>
      <c r="X314" s="1">
        <v>12</v>
      </c>
      <c r="Y314" s="1" t="s">
        <v>2303</v>
      </c>
      <c r="Z314" s="59">
        <v>11</v>
      </c>
      <c r="AA314" s="13" t="b">
        <v>1</v>
      </c>
      <c r="AB314" s="1" t="s">
        <v>1890</v>
      </c>
      <c r="AC314" s="57" t="s">
        <v>1928</v>
      </c>
      <c r="AD314" s="1"/>
      <c r="AE314" s="57"/>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
      <c r="KP314" s="1"/>
      <c r="KQ314" s="1"/>
      <c r="KR314" s="1"/>
      <c r="KS314" s="1"/>
      <c r="KT314" s="1"/>
      <c r="KU314" s="1"/>
      <c r="KV314" s="1"/>
      <c r="KW314" s="1"/>
      <c r="KX314" s="1"/>
      <c r="KY314" s="1"/>
      <c r="KZ314" s="1"/>
      <c r="LA314" s="1"/>
      <c r="LB314" s="1"/>
      <c r="LC314" s="1"/>
      <c r="LD314" s="1"/>
      <c r="LE314" s="1"/>
      <c r="LF314" s="1"/>
      <c r="LG314" s="1"/>
      <c r="LH314" s="1"/>
      <c r="LI314" s="1"/>
      <c r="LJ314" s="1"/>
      <c r="LK314" s="1"/>
      <c r="LL314" s="1"/>
      <c r="LM314" s="1"/>
      <c r="LN314" s="1"/>
      <c r="LO314" s="1"/>
      <c r="LP314" s="1"/>
      <c r="LQ314" s="1"/>
      <c r="LR314" s="1"/>
      <c r="LS314" s="1"/>
    </row>
    <row r="315" spans="1:331" s="3" customFormat="1" x14ac:dyDescent="0.25">
      <c r="A315" s="3" t="s">
        <v>1225</v>
      </c>
      <c r="B315" s="5" t="s">
        <v>1226</v>
      </c>
      <c r="C315" s="13" t="s">
        <v>1651</v>
      </c>
      <c r="D315" s="3">
        <v>0</v>
      </c>
      <c r="H315" s="3" t="s">
        <v>1227</v>
      </c>
      <c r="I315" s="3" t="s">
        <v>1227</v>
      </c>
      <c r="J315" s="3" t="s">
        <v>1228</v>
      </c>
      <c r="K315" s="3" t="s">
        <v>1227</v>
      </c>
      <c r="L315" s="3">
        <v>1</v>
      </c>
      <c r="M315" s="3" t="s">
        <v>1229</v>
      </c>
      <c r="O315" s="3">
        <v>1</v>
      </c>
      <c r="P315" s="3" t="s">
        <v>1230</v>
      </c>
      <c r="Q315" s="1" t="s">
        <v>1624</v>
      </c>
      <c r="R315" s="1"/>
      <c r="S315" s="3">
        <v>8</v>
      </c>
      <c r="U315" s="3">
        <v>10</v>
      </c>
      <c r="W315" s="1">
        <v>8</v>
      </c>
      <c r="X315" s="1">
        <v>8</v>
      </c>
      <c r="Y315" s="1" t="s">
        <v>2304</v>
      </c>
      <c r="Z315" s="3">
        <v>1</v>
      </c>
      <c r="AA315" s="13" t="b">
        <v>1</v>
      </c>
      <c r="AB315" s="1"/>
      <c r="AC315" s="57" t="s">
        <v>1379</v>
      </c>
      <c r="AD315" s="1"/>
      <c r="AE315" s="57"/>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c r="LO315" s="1"/>
      <c r="LP315" s="1"/>
      <c r="LQ315" s="1"/>
      <c r="LR315" s="1"/>
      <c r="LS315" s="1"/>
    </row>
    <row r="316" spans="1:331" s="46" customFormat="1" x14ac:dyDescent="0.25">
      <c r="A316" s="45" t="s">
        <v>261</v>
      </c>
      <c r="C316" s="1" t="s">
        <v>1783</v>
      </c>
      <c r="Q316"/>
      <c r="R316"/>
      <c r="W316"/>
      <c r="X316" s="1"/>
      <c r="Y316" s="1"/>
      <c r="Z316" s="45">
        <v>-1</v>
      </c>
      <c r="AA316" s="93" t="b">
        <v>0</v>
      </c>
      <c r="AB316" s="1"/>
      <c r="AC316" s="57" t="s">
        <v>1784</v>
      </c>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row>
    <row r="317" spans="1:331" s="45" customFormat="1" x14ac:dyDescent="0.25">
      <c r="A317" s="45" t="s">
        <v>1749</v>
      </c>
      <c r="B317" s="45">
        <v>716372</v>
      </c>
      <c r="C317" s="1" t="s">
        <v>1783</v>
      </c>
      <c r="D317" s="45">
        <v>1</v>
      </c>
      <c r="E317" s="45" t="s">
        <v>703</v>
      </c>
      <c r="H317" s="45" t="s">
        <v>703</v>
      </c>
      <c r="I317" s="45" t="s">
        <v>703</v>
      </c>
      <c r="J317" s="45" t="s">
        <v>703</v>
      </c>
      <c r="K317" s="45" t="s">
        <v>703</v>
      </c>
      <c r="L317" s="45">
        <v>1</v>
      </c>
      <c r="M317" s="45" t="s">
        <v>699</v>
      </c>
      <c r="O317" s="45">
        <v>1</v>
      </c>
      <c r="P317" s="45" t="s">
        <v>699</v>
      </c>
      <c r="Q317" s="13" t="s">
        <v>1952</v>
      </c>
      <c r="R317" s="1"/>
      <c r="T317" s="45">
        <v>37</v>
      </c>
      <c r="W317" s="1">
        <v>37</v>
      </c>
      <c r="X317" s="1"/>
      <c r="Y317" s="1"/>
      <c r="Z317" s="45">
        <v>-1</v>
      </c>
      <c r="AA317" s="13" t="b">
        <v>0</v>
      </c>
      <c r="AB317" s="1"/>
      <c r="AC317" s="57" t="s">
        <v>1953</v>
      </c>
      <c r="AD317" s="1"/>
      <c r="AE317" s="1" t="s">
        <v>1837</v>
      </c>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row>
    <row r="318" spans="1:331" s="45" customFormat="1" x14ac:dyDescent="0.25">
      <c r="A318" s="45" t="s">
        <v>1750</v>
      </c>
      <c r="B318" s="45">
        <v>713606</v>
      </c>
      <c r="C318" s="1" t="s">
        <v>1783</v>
      </c>
      <c r="D318" s="45">
        <v>0</v>
      </c>
      <c r="H318" s="45" t="s">
        <v>703</v>
      </c>
      <c r="I318" s="45" t="s">
        <v>136</v>
      </c>
      <c r="L318" s="45">
        <v>2</v>
      </c>
      <c r="M318" s="45" t="s">
        <v>696</v>
      </c>
      <c r="N318" s="45" t="s">
        <v>696</v>
      </c>
      <c r="O318" s="45">
        <v>1</v>
      </c>
      <c r="Q318" s="1"/>
      <c r="R318" s="1" t="s">
        <v>1328</v>
      </c>
      <c r="W318" s="1"/>
      <c r="X318" s="1"/>
      <c r="Y318" s="1"/>
      <c r="Z318" s="45">
        <v>-1</v>
      </c>
      <c r="AA318" s="13" t="b">
        <v>0</v>
      </c>
      <c r="AB318" s="1"/>
      <c r="AC318" s="57" t="s">
        <v>1838</v>
      </c>
      <c r="AD318" s="1"/>
      <c r="AE318" s="57" t="s">
        <v>1839</v>
      </c>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row>
    <row r="319" spans="1:331" s="45" customFormat="1" x14ac:dyDescent="0.25">
      <c r="A319" s="45" t="s">
        <v>1751</v>
      </c>
      <c r="B319" s="45">
        <v>407709</v>
      </c>
      <c r="C319" s="1" t="s">
        <v>1783</v>
      </c>
      <c r="D319" s="45">
        <v>1</v>
      </c>
      <c r="E319" s="45" t="s">
        <v>1561</v>
      </c>
      <c r="H319" s="45" t="s">
        <v>720</v>
      </c>
      <c r="I319" s="45" t="s">
        <v>1561</v>
      </c>
      <c r="J319" s="45" t="s">
        <v>720</v>
      </c>
      <c r="K319" s="45" t="s">
        <v>1561</v>
      </c>
      <c r="L319" s="45">
        <v>0</v>
      </c>
      <c r="O319" s="45">
        <v>0</v>
      </c>
      <c r="Q319" s="1" t="s">
        <v>1752</v>
      </c>
      <c r="R319" s="1"/>
      <c r="W319" s="1"/>
      <c r="X319" s="1"/>
      <c r="Y319" s="1"/>
      <c r="Z319" s="45">
        <v>-1</v>
      </c>
      <c r="AA319" s="13" t="b">
        <v>0</v>
      </c>
      <c r="AB319" s="1"/>
      <c r="AC319" s="57" t="s">
        <v>1918</v>
      </c>
      <c r="AD319" s="1"/>
      <c r="AE319" s="57" t="s">
        <v>1840</v>
      </c>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row>
    <row r="320" spans="1:331" s="18" customFormat="1" ht="15.75" x14ac:dyDescent="0.25">
      <c r="A320" s="18" t="s">
        <v>1753</v>
      </c>
      <c r="B320" s="18">
        <v>224454</v>
      </c>
      <c r="C320" s="84" t="s">
        <v>1783</v>
      </c>
      <c r="D320" s="18">
        <v>1</v>
      </c>
      <c r="E320" s="18" t="s">
        <v>1754</v>
      </c>
      <c r="H320" s="18" t="s">
        <v>1754</v>
      </c>
      <c r="I320" s="18" t="s">
        <v>1754</v>
      </c>
      <c r="J320" s="82" t="s">
        <v>1754</v>
      </c>
      <c r="K320" s="18" t="s">
        <v>1754</v>
      </c>
      <c r="L320" s="18">
        <v>1</v>
      </c>
      <c r="M320" s="18" t="s">
        <v>1755</v>
      </c>
      <c r="O320" s="18">
        <v>1</v>
      </c>
      <c r="P320" s="18" t="s">
        <v>1756</v>
      </c>
      <c r="Q320" s="84" t="s">
        <v>1757</v>
      </c>
      <c r="R320" s="84"/>
      <c r="S320" s="18">
        <v>17.8</v>
      </c>
      <c r="U320" s="18">
        <v>11</v>
      </c>
      <c r="W320" s="84">
        <v>18</v>
      </c>
      <c r="X320" s="1">
        <v>15</v>
      </c>
      <c r="Y320" s="1" t="s">
        <v>2305</v>
      </c>
      <c r="Z320" s="18">
        <v>3</v>
      </c>
      <c r="AA320" s="94" t="b">
        <v>1</v>
      </c>
      <c r="AB320" s="84"/>
      <c r="AC320" s="86" t="s">
        <v>1945</v>
      </c>
      <c r="AD320" s="84"/>
      <c r="AE320" s="86" t="s">
        <v>1841</v>
      </c>
      <c r="AF320" s="84"/>
      <c r="AG320" s="84"/>
      <c r="AH320" s="84"/>
      <c r="AI320" s="84"/>
      <c r="AJ320" s="84"/>
      <c r="AK320" s="84"/>
      <c r="AL320" s="84"/>
      <c r="AM320" s="84"/>
      <c r="AN320" s="84"/>
      <c r="AO320" s="84"/>
      <c r="AP320" s="84"/>
      <c r="AQ320" s="84"/>
      <c r="AR320" s="84"/>
      <c r="AS320" s="84"/>
      <c r="AT320" s="84"/>
      <c r="AU320" s="84"/>
      <c r="AV320" s="84"/>
      <c r="AW320" s="84"/>
      <c r="AX320" s="84"/>
      <c r="AY320" s="84"/>
      <c r="AZ320" s="84"/>
      <c r="BA320" s="84"/>
      <c r="BB320" s="84"/>
      <c r="BC320" s="84"/>
      <c r="BD320" s="84"/>
      <c r="BE320" s="84"/>
      <c r="BF320" s="84"/>
      <c r="BG320" s="84"/>
      <c r="BH320" s="84"/>
      <c r="BI320" s="84"/>
      <c r="BJ320" s="84"/>
      <c r="BK320" s="84"/>
      <c r="BL320" s="84"/>
      <c r="BM320" s="84"/>
      <c r="BN320" s="84"/>
      <c r="BO320" s="84"/>
      <c r="BP320" s="84"/>
      <c r="BQ320" s="84"/>
      <c r="BR320" s="84"/>
      <c r="BS320" s="84"/>
      <c r="BT320" s="84"/>
      <c r="BU320" s="84"/>
      <c r="BV320" s="84"/>
    </row>
    <row r="321" spans="1:74" s="45" customFormat="1" x14ac:dyDescent="0.25">
      <c r="A321" s="45" t="s">
        <v>1758</v>
      </c>
      <c r="B321" s="45">
        <v>233824</v>
      </c>
      <c r="C321" s="1" t="s">
        <v>1783</v>
      </c>
      <c r="D321" s="45">
        <v>0</v>
      </c>
      <c r="H321" s="45" t="s">
        <v>1509</v>
      </c>
      <c r="I321" s="45" t="s">
        <v>1563</v>
      </c>
      <c r="J321" s="45" t="s">
        <v>1508</v>
      </c>
      <c r="K321" s="45" t="s">
        <v>1563</v>
      </c>
      <c r="L321" s="45">
        <v>3</v>
      </c>
      <c r="M321" s="45" t="s">
        <v>1759</v>
      </c>
      <c r="N321" s="45" t="s">
        <v>1756</v>
      </c>
      <c r="O321" s="45">
        <v>1</v>
      </c>
      <c r="P321" s="45" t="s">
        <v>1760</v>
      </c>
      <c r="Q321" s="1" t="s">
        <v>1761</v>
      </c>
      <c r="R321" s="1"/>
      <c r="S321" s="45">
        <v>11</v>
      </c>
      <c r="W321" s="1">
        <v>11</v>
      </c>
      <c r="X321" s="1"/>
      <c r="Y321" s="1"/>
      <c r="Z321" s="45">
        <v>-1</v>
      </c>
      <c r="AA321" s="13" t="b">
        <v>0</v>
      </c>
      <c r="AB321" s="1"/>
      <c r="AC321" s="57" t="s">
        <v>1954</v>
      </c>
      <c r="AD321" s="1"/>
      <c r="AE321" s="57" t="s">
        <v>1842</v>
      </c>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row>
    <row r="322" spans="1:74" s="18" customFormat="1" ht="15.75" x14ac:dyDescent="0.25">
      <c r="A322" s="18" t="s">
        <v>1762</v>
      </c>
      <c r="B322" s="18" t="s">
        <v>1835</v>
      </c>
      <c r="C322" s="84" t="s">
        <v>1783</v>
      </c>
      <c r="D322" s="18">
        <v>1</v>
      </c>
      <c r="E322" s="18" t="s">
        <v>1508</v>
      </c>
      <c r="H322" s="18" t="s">
        <v>1752</v>
      </c>
      <c r="I322" s="18" t="s">
        <v>1508</v>
      </c>
      <c r="J322" s="18" t="s">
        <v>1763</v>
      </c>
      <c r="K322" s="18" t="s">
        <v>1752</v>
      </c>
      <c r="L322" s="18">
        <v>1</v>
      </c>
      <c r="M322" s="18" t="s">
        <v>1764</v>
      </c>
      <c r="O322" s="18">
        <v>1</v>
      </c>
      <c r="Q322" s="84" t="s">
        <v>1765</v>
      </c>
      <c r="R322" s="84"/>
      <c r="S322" s="18">
        <v>12</v>
      </c>
      <c r="U322" s="18">
        <v>13</v>
      </c>
      <c r="W322" s="84">
        <v>12</v>
      </c>
      <c r="X322" s="1"/>
      <c r="Y322" s="1"/>
      <c r="Z322" s="18">
        <v>3</v>
      </c>
      <c r="AA322" s="94" t="s">
        <v>2310</v>
      </c>
      <c r="AB322" s="84" t="s">
        <v>1895</v>
      </c>
      <c r="AC322" s="86" t="s">
        <v>1955</v>
      </c>
      <c r="AD322" s="84"/>
      <c r="AE322" s="86" t="s">
        <v>1843</v>
      </c>
      <c r="AF322" s="84"/>
      <c r="AG322" s="84"/>
      <c r="AH322" s="84"/>
      <c r="AI322" s="84"/>
      <c r="AJ322" s="84"/>
      <c r="AK322" s="84"/>
      <c r="AL322" s="84"/>
      <c r="AM322" s="84"/>
      <c r="AN322" s="84"/>
      <c r="AO322" s="84"/>
      <c r="AP322" s="84"/>
      <c r="AQ322" s="84"/>
      <c r="AR322" s="84"/>
      <c r="AS322" s="84"/>
      <c r="AT322" s="84"/>
      <c r="AU322" s="84"/>
      <c r="AV322" s="84"/>
      <c r="AW322" s="84"/>
      <c r="AX322" s="84"/>
      <c r="AY322" s="84"/>
      <c r="AZ322" s="84"/>
      <c r="BA322" s="84"/>
      <c r="BB322" s="84"/>
      <c r="BC322" s="84"/>
      <c r="BD322" s="84"/>
      <c r="BE322" s="84"/>
      <c r="BF322" s="84"/>
      <c r="BG322" s="84"/>
      <c r="BH322" s="84"/>
      <c r="BI322" s="84"/>
      <c r="BJ322" s="84"/>
      <c r="BK322" s="84"/>
      <c r="BL322" s="84"/>
      <c r="BM322" s="84"/>
      <c r="BN322" s="84"/>
      <c r="BO322" s="84"/>
      <c r="BP322" s="84"/>
      <c r="BQ322" s="84"/>
      <c r="BR322" s="84"/>
      <c r="BS322" s="84"/>
      <c r="BT322" s="84"/>
      <c r="BU322" s="84"/>
      <c r="BV322" s="84"/>
    </row>
    <row r="323" spans="1:74" s="45" customFormat="1" x14ac:dyDescent="0.25">
      <c r="A323" s="45" t="s">
        <v>1766</v>
      </c>
      <c r="B323" s="45">
        <v>718339</v>
      </c>
      <c r="C323" s="1" t="s">
        <v>1783</v>
      </c>
      <c r="D323" s="45">
        <v>1</v>
      </c>
      <c r="E323" s="45" t="s">
        <v>1767</v>
      </c>
      <c r="H323" s="45" t="s">
        <v>1763</v>
      </c>
      <c r="I323" s="45" t="s">
        <v>1768</v>
      </c>
      <c r="J323" s="45" t="s">
        <v>1767</v>
      </c>
      <c r="K323" s="45" t="s">
        <v>1768</v>
      </c>
      <c r="L323" s="45">
        <v>0</v>
      </c>
      <c r="O323" s="45">
        <v>1</v>
      </c>
      <c r="P323" s="45" t="s">
        <v>1769</v>
      </c>
      <c r="Q323" s="1" t="s">
        <v>1763</v>
      </c>
      <c r="R323" s="1"/>
      <c r="S323" s="45">
        <v>10</v>
      </c>
      <c r="W323" s="1">
        <v>10</v>
      </c>
      <c r="X323" s="1"/>
      <c r="Y323" s="1"/>
      <c r="Z323" s="45">
        <v>-1</v>
      </c>
      <c r="AA323" s="13" t="b">
        <v>0</v>
      </c>
      <c r="AB323" s="1"/>
      <c r="AC323" s="57" t="s">
        <v>1956</v>
      </c>
      <c r="AD323" s="1"/>
      <c r="AE323" s="57" t="s">
        <v>1844</v>
      </c>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row>
    <row r="324" spans="1:74" s="45" customFormat="1" x14ac:dyDescent="0.25">
      <c r="A324" s="45" t="s">
        <v>1770</v>
      </c>
      <c r="B324" s="45">
        <v>713500</v>
      </c>
      <c r="C324" s="1" t="s">
        <v>1783</v>
      </c>
      <c r="D324" s="45">
        <v>0</v>
      </c>
      <c r="H324" s="45" t="s">
        <v>1771</v>
      </c>
      <c r="I324" s="45" t="s">
        <v>1535</v>
      </c>
      <c r="J324" s="45" t="s">
        <v>1771</v>
      </c>
      <c r="K324" s="45" t="s">
        <v>123</v>
      </c>
      <c r="L324" s="45">
        <v>0</v>
      </c>
      <c r="O324" s="45">
        <v>1</v>
      </c>
      <c r="P324" s="45" t="s">
        <v>1555</v>
      </c>
      <c r="Q324" s="13" t="s">
        <v>1474</v>
      </c>
      <c r="R324" s="1"/>
      <c r="T324" s="45">
        <v>20</v>
      </c>
      <c r="W324" s="1">
        <v>20</v>
      </c>
      <c r="X324" s="1"/>
      <c r="Y324" s="1"/>
      <c r="Z324" s="45">
        <v>-1</v>
      </c>
      <c r="AA324" s="13" t="b">
        <v>0</v>
      </c>
      <c r="AB324" s="1" t="s">
        <v>1890</v>
      </c>
      <c r="AC324" s="57" t="s">
        <v>1957</v>
      </c>
      <c r="AD324" s="1"/>
      <c r="AE324" s="57"/>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row>
    <row r="325" spans="1:74" s="45" customFormat="1" x14ac:dyDescent="0.25">
      <c r="A325" s="45" t="s">
        <v>1772</v>
      </c>
      <c r="B325" s="45">
        <v>718749</v>
      </c>
      <c r="C325" s="1" t="s">
        <v>1783</v>
      </c>
      <c r="D325" s="45">
        <v>0</v>
      </c>
      <c r="H325" s="45" t="s">
        <v>1773</v>
      </c>
      <c r="I325" s="45" t="s">
        <v>1773</v>
      </c>
      <c r="J325" s="45" t="s">
        <v>1774</v>
      </c>
      <c r="K325" s="45" t="s">
        <v>1773</v>
      </c>
      <c r="L325" s="45">
        <v>0</v>
      </c>
      <c r="O325" s="45">
        <v>1</v>
      </c>
      <c r="P325" s="45" t="s">
        <v>1775</v>
      </c>
      <c r="Q325" s="1"/>
      <c r="R325" s="1" t="s">
        <v>1775</v>
      </c>
      <c r="W325" s="1"/>
      <c r="X325" s="1"/>
      <c r="Y325" s="1"/>
      <c r="Z325" s="45">
        <v>-1</v>
      </c>
      <c r="AA325" s="13" t="b">
        <v>0</v>
      </c>
      <c r="AB325" s="1"/>
      <c r="AC325" s="57" t="s">
        <v>1852</v>
      </c>
      <c r="AD325" s="1"/>
      <c r="AE325" s="57"/>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row>
    <row r="326" spans="1:74" s="45" customFormat="1" x14ac:dyDescent="0.25">
      <c r="A326" s="45" t="s">
        <v>1776</v>
      </c>
      <c r="B326" s="45">
        <v>718753</v>
      </c>
      <c r="C326" s="1" t="s">
        <v>1783</v>
      </c>
      <c r="D326" s="45">
        <v>0</v>
      </c>
      <c r="H326" s="45" t="s">
        <v>1777</v>
      </c>
      <c r="I326" s="45" t="s">
        <v>1760</v>
      </c>
      <c r="J326" s="45" t="s">
        <v>1774</v>
      </c>
      <c r="K326" s="45" t="s">
        <v>1777</v>
      </c>
      <c r="L326" s="45">
        <v>0</v>
      </c>
      <c r="O326" s="45">
        <v>1</v>
      </c>
      <c r="P326" s="45" t="s">
        <v>1778</v>
      </c>
      <c r="Q326" s="1" t="s">
        <v>1779</v>
      </c>
      <c r="R326" s="1"/>
      <c r="S326" s="45">
        <v>20</v>
      </c>
      <c r="W326" s="1">
        <v>20</v>
      </c>
      <c r="X326" s="1"/>
      <c r="Y326" s="1"/>
      <c r="Z326" s="45">
        <v>-1</v>
      </c>
      <c r="AA326" s="13" t="b">
        <v>0</v>
      </c>
      <c r="AB326" s="1"/>
      <c r="AC326" s="57" t="s">
        <v>1851</v>
      </c>
      <c r="AD326" s="1"/>
      <c r="AE326" s="57"/>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row>
    <row r="327" spans="1:74" s="49" customFormat="1" x14ac:dyDescent="0.25">
      <c r="A327" s="49" t="s">
        <v>1780</v>
      </c>
      <c r="B327" s="49">
        <v>717561</v>
      </c>
      <c r="C327" s="1" t="s">
        <v>1783</v>
      </c>
      <c r="D327" s="49">
        <v>0</v>
      </c>
      <c r="H327" s="49" t="s">
        <v>1781</v>
      </c>
      <c r="I327" s="49" t="s">
        <v>1781</v>
      </c>
      <c r="J327" s="49" t="s">
        <v>1760</v>
      </c>
      <c r="K327" s="49" t="s">
        <v>1781</v>
      </c>
      <c r="L327" s="49">
        <v>0</v>
      </c>
      <c r="O327" s="49">
        <v>1</v>
      </c>
      <c r="Q327" s="1"/>
      <c r="R327" s="1" t="s">
        <v>1782</v>
      </c>
      <c r="S327" s="49">
        <v>6</v>
      </c>
      <c r="W327" s="1">
        <v>6</v>
      </c>
      <c r="X327" s="1">
        <v>10</v>
      </c>
      <c r="Y327" s="1" t="s">
        <v>2306</v>
      </c>
      <c r="Z327" s="49">
        <v>9</v>
      </c>
      <c r="AA327" s="13" t="b">
        <v>1</v>
      </c>
      <c r="AB327" s="1"/>
      <c r="AC327" s="57"/>
      <c r="AD327" s="1"/>
      <c r="AE327" s="57"/>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row>
    <row r="328" spans="1:74" s="45" customFormat="1" x14ac:dyDescent="0.25">
      <c r="A328" s="45" t="s">
        <v>1801</v>
      </c>
      <c r="B328" s="45">
        <v>519696</v>
      </c>
      <c r="C328" s="1" t="s">
        <v>1783</v>
      </c>
      <c r="D328" s="45">
        <v>2</v>
      </c>
      <c r="E328" s="45" t="s">
        <v>1802</v>
      </c>
      <c r="F328" s="45" t="s">
        <v>1802</v>
      </c>
      <c r="H328" s="45" t="s">
        <v>1803</v>
      </c>
      <c r="I328" s="45" t="s">
        <v>1777</v>
      </c>
      <c r="J328" s="47" t="s">
        <v>1735</v>
      </c>
      <c r="K328" s="45" t="s">
        <v>1803</v>
      </c>
      <c r="L328" s="45">
        <v>1</v>
      </c>
      <c r="M328" s="45" t="s">
        <v>1803</v>
      </c>
      <c r="O328" s="45">
        <v>1</v>
      </c>
      <c r="Q328" s="1" t="s">
        <v>1804</v>
      </c>
      <c r="R328" s="1"/>
      <c r="T328" s="45">
        <v>20.7</v>
      </c>
      <c r="W328" s="1">
        <v>21</v>
      </c>
      <c r="X328" s="1">
        <v>23</v>
      </c>
      <c r="Y328" s="1" t="s">
        <v>2307</v>
      </c>
      <c r="Z328" s="45">
        <v>-1</v>
      </c>
      <c r="AA328" s="13" t="b">
        <v>1</v>
      </c>
      <c r="AB328" s="17" t="s">
        <v>1890</v>
      </c>
      <c r="AC328" s="57" t="s">
        <v>1951</v>
      </c>
      <c r="AD328" s="1"/>
      <c r="AE328" s="57" t="s">
        <v>1845</v>
      </c>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row>
    <row r="329" spans="1:74" s="45" customFormat="1" x14ac:dyDescent="0.25">
      <c r="A329" s="45" t="s">
        <v>1805</v>
      </c>
      <c r="B329" s="45">
        <v>55178</v>
      </c>
      <c r="C329" s="1" t="s">
        <v>1783</v>
      </c>
      <c r="D329" s="45">
        <v>0</v>
      </c>
      <c r="H329" s="45" t="s">
        <v>1468</v>
      </c>
      <c r="I329" s="45" t="s">
        <v>1775</v>
      </c>
      <c r="J329" s="45" t="s">
        <v>1806</v>
      </c>
      <c r="K329" s="45" t="s">
        <v>1807</v>
      </c>
      <c r="L329" s="45">
        <v>0</v>
      </c>
      <c r="O329" s="45">
        <v>0</v>
      </c>
      <c r="Q329" s="1" t="s">
        <v>1808</v>
      </c>
      <c r="R329" s="1"/>
      <c r="T329" s="45">
        <v>4</v>
      </c>
      <c r="W329" s="1">
        <v>4</v>
      </c>
      <c r="X329" s="1"/>
      <c r="Y329" s="1"/>
      <c r="Z329" s="45">
        <v>-1</v>
      </c>
      <c r="AA329" s="13" t="b">
        <v>0</v>
      </c>
      <c r="AB329" s="1"/>
      <c r="AC329" s="57" t="s">
        <v>1853</v>
      </c>
      <c r="AD329" s="1"/>
      <c r="AE329" s="57" t="s">
        <v>1846</v>
      </c>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row>
    <row r="330" spans="1:74" s="45" customFormat="1" x14ac:dyDescent="0.25">
      <c r="A330" s="45" t="s">
        <v>1809</v>
      </c>
      <c r="B330" s="45">
        <v>719992</v>
      </c>
      <c r="C330" s="1" t="s">
        <v>1783</v>
      </c>
      <c r="D330" s="45">
        <v>0</v>
      </c>
      <c r="H330" s="45" t="s">
        <v>1779</v>
      </c>
      <c r="I330" s="45" t="s">
        <v>1810</v>
      </c>
      <c r="J330" s="45" t="s">
        <v>1811</v>
      </c>
      <c r="K330" s="45" t="s">
        <v>1810</v>
      </c>
      <c r="L330" s="45">
        <v>0</v>
      </c>
      <c r="O330" s="45">
        <v>1</v>
      </c>
      <c r="P330" s="45" t="s">
        <v>1812</v>
      </c>
      <c r="Q330" s="1" t="s">
        <v>1813</v>
      </c>
      <c r="R330" s="1"/>
      <c r="W330" s="1"/>
      <c r="X330" s="1"/>
      <c r="Y330" s="1"/>
      <c r="Z330" s="45">
        <v>-1</v>
      </c>
      <c r="AA330" s="13" t="b">
        <v>0</v>
      </c>
      <c r="AB330" s="1"/>
      <c r="AC330" s="57" t="s">
        <v>1854</v>
      </c>
      <c r="AD330" s="1"/>
      <c r="AE330" s="57" t="s">
        <v>1847</v>
      </c>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row>
    <row r="331" spans="1:74" s="3" customFormat="1" x14ac:dyDescent="0.25">
      <c r="A331" s="3" t="s">
        <v>1814</v>
      </c>
      <c r="B331" s="3">
        <v>636308</v>
      </c>
      <c r="C331" s="1" t="s">
        <v>1783</v>
      </c>
      <c r="D331" s="3">
        <v>0</v>
      </c>
      <c r="H331" s="3" t="s">
        <v>1808</v>
      </c>
      <c r="I331" s="3" t="s">
        <v>1815</v>
      </c>
      <c r="J331" s="3" t="s">
        <v>1808</v>
      </c>
      <c r="K331" s="3" t="s">
        <v>1815</v>
      </c>
      <c r="L331" s="3">
        <v>1</v>
      </c>
      <c r="M331" s="3" t="s">
        <v>1736</v>
      </c>
      <c r="O331" s="3">
        <v>1</v>
      </c>
      <c r="P331" s="3" t="s">
        <v>1816</v>
      </c>
      <c r="Q331" s="1" t="s">
        <v>1817</v>
      </c>
      <c r="R331" s="1"/>
      <c r="S331" s="3">
        <v>13</v>
      </c>
      <c r="T331" s="3">
        <v>18</v>
      </c>
      <c r="W331" s="1">
        <v>18</v>
      </c>
      <c r="X331" s="1">
        <v>6</v>
      </c>
      <c r="Y331" s="1" t="s">
        <v>2308</v>
      </c>
      <c r="Z331" s="3">
        <v>1</v>
      </c>
      <c r="AA331" s="13" t="b">
        <v>1</v>
      </c>
      <c r="AB331" s="1"/>
      <c r="AC331" s="57" t="s">
        <v>1855</v>
      </c>
      <c r="AD331" s="1"/>
      <c r="AE331" s="57" t="s">
        <v>1848</v>
      </c>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row>
    <row r="332" spans="1:74" s="26" customFormat="1" ht="15.75" x14ac:dyDescent="0.25">
      <c r="A332" s="26" t="s">
        <v>1818</v>
      </c>
      <c r="B332" s="26">
        <v>101444</v>
      </c>
      <c r="C332" s="83" t="s">
        <v>1783</v>
      </c>
      <c r="D332" s="26">
        <v>0</v>
      </c>
      <c r="H332" s="90" t="s">
        <v>1804</v>
      </c>
      <c r="I332" s="90" t="s">
        <v>1808</v>
      </c>
      <c r="J332" s="90" t="s">
        <v>1958</v>
      </c>
      <c r="K332" s="90" t="s">
        <v>1808</v>
      </c>
      <c r="L332" s="90">
        <v>0</v>
      </c>
      <c r="M332" s="90"/>
      <c r="N332" s="90"/>
      <c r="O332" s="90">
        <v>0</v>
      </c>
      <c r="P332" s="90"/>
      <c r="Q332" s="92" t="s">
        <v>1820</v>
      </c>
      <c r="R332" s="83"/>
      <c r="T332" s="26">
        <v>10</v>
      </c>
      <c r="W332" s="83">
        <v>10</v>
      </c>
      <c r="X332" s="1">
        <v>16</v>
      </c>
      <c r="Y332" s="1" t="s">
        <v>2309</v>
      </c>
      <c r="Z332" s="26">
        <v>5</v>
      </c>
      <c r="AA332" s="92" t="b">
        <v>1</v>
      </c>
      <c r="AB332" s="83"/>
      <c r="AC332" s="85" t="s">
        <v>1959</v>
      </c>
      <c r="AD332" s="83"/>
      <c r="AE332" s="85" t="s">
        <v>1846</v>
      </c>
      <c r="AF332" s="83"/>
      <c r="AG332" s="83"/>
      <c r="AH332" s="83"/>
      <c r="AI332" s="83"/>
      <c r="AJ332" s="83"/>
      <c r="AK332" s="83"/>
      <c r="AL332" s="83"/>
      <c r="AM332" s="83"/>
      <c r="AN332" s="83"/>
      <c r="AO332" s="83"/>
      <c r="AP332" s="83"/>
      <c r="AQ332" s="83"/>
      <c r="AR332" s="83"/>
      <c r="AS332" s="83"/>
      <c r="AT332" s="83"/>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row>
    <row r="333" spans="1:74" s="45" customFormat="1" x14ac:dyDescent="0.25">
      <c r="A333" s="45" t="s">
        <v>1821</v>
      </c>
      <c r="B333" s="45">
        <v>629002</v>
      </c>
      <c r="C333" s="1" t="s">
        <v>1783</v>
      </c>
      <c r="D333" s="45">
        <v>0</v>
      </c>
      <c r="H333" s="45" t="s">
        <v>1822</v>
      </c>
      <c r="I333" s="45" t="s">
        <v>1823</v>
      </c>
      <c r="J333" s="45" t="s">
        <v>1824</v>
      </c>
      <c r="K333" s="45" t="s">
        <v>1822</v>
      </c>
      <c r="L333" s="45">
        <v>0</v>
      </c>
      <c r="O333" s="45">
        <v>1</v>
      </c>
      <c r="Q333" s="1"/>
      <c r="R333" s="1" t="s">
        <v>1825</v>
      </c>
      <c r="T333" s="45">
        <v>11</v>
      </c>
      <c r="W333" s="1">
        <v>11</v>
      </c>
      <c r="X333" s="1"/>
      <c r="Y333" s="1"/>
      <c r="Z333" s="45">
        <v>-1</v>
      </c>
      <c r="AA333" s="13" t="b">
        <v>0</v>
      </c>
      <c r="AB333" s="1"/>
      <c r="AC333" s="57" t="s">
        <v>1854</v>
      </c>
      <c r="AD333" s="1"/>
      <c r="AE333" s="57" t="s">
        <v>1846</v>
      </c>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row>
    <row r="334" spans="1:74" s="45" customFormat="1" x14ac:dyDescent="0.25">
      <c r="A334" s="45" t="s">
        <v>1826</v>
      </c>
      <c r="B334" s="45">
        <v>659523</v>
      </c>
      <c r="C334" s="1" t="s">
        <v>1783</v>
      </c>
      <c r="D334" s="45">
        <v>2</v>
      </c>
      <c r="E334" s="45" t="s">
        <v>1827</v>
      </c>
      <c r="F334" s="45" t="s">
        <v>1827</v>
      </c>
      <c r="H334" s="45" t="s">
        <v>1828</v>
      </c>
      <c r="I334" s="45" t="s">
        <v>1823</v>
      </c>
      <c r="J334" s="45" t="s">
        <v>1829</v>
      </c>
      <c r="K334" s="45" t="s">
        <v>1827</v>
      </c>
      <c r="L334" s="45">
        <v>1</v>
      </c>
      <c r="M334" s="45" t="s">
        <v>1830</v>
      </c>
      <c r="O334" s="45">
        <v>0</v>
      </c>
      <c r="Q334" s="1" t="s">
        <v>1831</v>
      </c>
      <c r="R334" s="1"/>
      <c r="W334" s="1"/>
      <c r="X334" s="1"/>
      <c r="Y334" s="1"/>
      <c r="Z334" s="45">
        <v>-1</v>
      </c>
      <c r="AA334" s="13" t="b">
        <v>0</v>
      </c>
      <c r="AB334" s="1"/>
      <c r="AC334" s="57" t="s">
        <v>1854</v>
      </c>
      <c r="AD334" s="1"/>
      <c r="AE334" s="57" t="s">
        <v>1849</v>
      </c>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row>
    <row r="335" spans="1:74" s="45" customFormat="1" x14ac:dyDescent="0.25">
      <c r="A335" s="45" t="s">
        <v>1832</v>
      </c>
      <c r="B335" s="45">
        <v>721580</v>
      </c>
      <c r="C335" s="1" t="s">
        <v>1783</v>
      </c>
      <c r="D335" s="45">
        <v>0</v>
      </c>
      <c r="H335" s="45" t="s">
        <v>1833</v>
      </c>
      <c r="I335" s="45" t="s">
        <v>1829</v>
      </c>
      <c r="J335" s="45" t="s">
        <v>1856</v>
      </c>
      <c r="K335" s="45" t="s">
        <v>1833</v>
      </c>
      <c r="L335" s="45">
        <v>0</v>
      </c>
      <c r="O335" s="45">
        <v>1</v>
      </c>
      <c r="P335" s="45" t="s">
        <v>1830</v>
      </c>
      <c r="Q335" s="1" t="s">
        <v>1834</v>
      </c>
      <c r="R335" s="1"/>
      <c r="W335" s="1"/>
      <c r="X335" s="1"/>
      <c r="Y335" s="1"/>
      <c r="Z335" s="45">
        <v>-1</v>
      </c>
      <c r="AA335" s="13" t="b">
        <v>0</v>
      </c>
      <c r="AB335" s="1" t="s">
        <v>1895</v>
      </c>
      <c r="AC335" s="57" t="s">
        <v>1857</v>
      </c>
      <c r="AD335" s="1"/>
      <c r="AE335" s="57" t="s">
        <v>1850</v>
      </c>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row>
    <row r="336" spans="1:74" s="25" customFormat="1" x14ac:dyDescent="0.25">
      <c r="A336" s="1"/>
      <c r="B336" s="13"/>
      <c r="C336" s="1"/>
      <c r="D336" s="1"/>
      <c r="E336" s="1"/>
      <c r="F336" s="1"/>
      <c r="G336" s="1"/>
      <c r="H336" s="1"/>
      <c r="I336" s="1"/>
      <c r="J336" s="1"/>
      <c r="K336" s="1"/>
      <c r="L336" s="1"/>
      <c r="M336" s="1"/>
      <c r="N336" s="1"/>
      <c r="O336" s="1"/>
      <c r="P336" s="1"/>
      <c r="Q336" s="1"/>
      <c r="R336" s="1"/>
      <c r="S336" s="1"/>
      <c r="T336" s="1"/>
      <c r="U336" s="1"/>
      <c r="V336" s="1"/>
      <c r="W336" s="1"/>
      <c r="X336" s="1"/>
      <c r="Y336" s="1"/>
      <c r="Z336" s="1"/>
      <c r="AA336" s="13"/>
      <c r="AB336" s="1"/>
      <c r="AC336" s="57"/>
      <c r="AD336" s="1"/>
      <c r="AE336" s="57"/>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row>
    <row r="337" spans="1:74" s="79" customFormat="1" x14ac:dyDescent="0.25">
      <c r="A337" s="1"/>
      <c r="B337" s="13"/>
      <c r="C337" s="1"/>
      <c r="D337" s="1"/>
      <c r="E337" s="1"/>
      <c r="F337" s="1"/>
      <c r="G337" s="1"/>
      <c r="H337" s="1"/>
      <c r="I337" s="1"/>
      <c r="J337" s="1"/>
      <c r="K337" s="1"/>
      <c r="L337" s="1"/>
      <c r="M337" s="1"/>
      <c r="N337" s="1"/>
      <c r="O337" s="1"/>
      <c r="P337" s="1"/>
      <c r="Q337" s="1"/>
      <c r="R337" s="1"/>
      <c r="S337" s="1"/>
      <c r="T337" s="1"/>
      <c r="U337" s="1"/>
      <c r="V337" s="1"/>
      <c r="W337" s="1"/>
      <c r="X337" s="1"/>
      <c r="Y337" s="1"/>
      <c r="Z337" s="1"/>
      <c r="AA337" s="13"/>
      <c r="AC337" s="57" t="s">
        <v>1721</v>
      </c>
      <c r="AE337" s="87"/>
    </row>
    <row r="338" spans="1:74" s="45" customFormat="1" x14ac:dyDescent="0.25">
      <c r="A338" s="1"/>
      <c r="B338" s="13"/>
      <c r="C338" s="1"/>
      <c r="D338" s="1"/>
      <c r="E338" s="1"/>
      <c r="F338" s="1"/>
      <c r="G338" s="1"/>
      <c r="H338" s="1"/>
      <c r="I338" s="1"/>
      <c r="J338" s="1"/>
      <c r="K338" s="1"/>
      <c r="L338" s="1"/>
      <c r="M338" s="1"/>
      <c r="N338" s="1"/>
      <c r="O338" s="1"/>
      <c r="P338" s="1"/>
      <c r="Q338" s="1"/>
      <c r="R338" s="1"/>
      <c r="S338" s="1"/>
      <c r="T338" s="1"/>
      <c r="U338" s="1"/>
      <c r="V338" s="1"/>
      <c r="W338" s="1"/>
      <c r="X338" s="1"/>
      <c r="Y338" s="1"/>
      <c r="Z338" s="1"/>
      <c r="AA338" s="13"/>
      <c r="AB338" s="1"/>
      <c r="AC338" s="57" t="s">
        <v>1636</v>
      </c>
      <c r="AD338" s="1"/>
      <c r="AE338" s="57"/>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row>
    <row r="339" spans="1:74" s="49" customFormat="1" x14ac:dyDescent="0.25">
      <c r="A339" s="1"/>
      <c r="B339" s="13"/>
      <c r="C339" s="1"/>
      <c r="D339" s="1"/>
      <c r="E339" s="1"/>
      <c r="F339" s="1"/>
      <c r="G339" s="1"/>
      <c r="H339" s="1"/>
      <c r="I339" s="1"/>
      <c r="J339" s="1"/>
      <c r="K339" s="1"/>
      <c r="L339" s="1"/>
      <c r="M339" s="1"/>
      <c r="N339" s="1"/>
      <c r="O339" s="1"/>
      <c r="P339" s="1"/>
      <c r="Q339" s="1"/>
      <c r="R339" s="1"/>
      <c r="S339" s="1"/>
      <c r="T339" s="1"/>
      <c r="U339" s="1"/>
      <c r="V339" s="1"/>
      <c r="W339" s="1"/>
      <c r="X339" s="1"/>
      <c r="Y339" s="1"/>
      <c r="Z339" s="1"/>
      <c r="AA339" s="13"/>
      <c r="AB339" s="1"/>
      <c r="AC339" s="57" t="s">
        <v>1634</v>
      </c>
      <c r="AD339" s="1"/>
      <c r="AE339" s="57"/>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row>
    <row r="340" spans="1:74" s="25" customFormat="1" x14ac:dyDescent="0.25">
      <c r="A340" s="1"/>
      <c r="B340" s="13"/>
      <c r="C340" s="1"/>
      <c r="D340" s="1"/>
      <c r="E340" s="1"/>
      <c r="F340" s="1"/>
      <c r="G340" s="1"/>
      <c r="H340" s="1"/>
      <c r="I340" s="1"/>
      <c r="J340" s="1"/>
      <c r="K340" s="1"/>
      <c r="L340" s="1"/>
      <c r="M340" s="1"/>
      <c r="N340" s="1"/>
      <c r="O340" s="1"/>
      <c r="P340" s="1"/>
      <c r="Q340" s="1"/>
      <c r="R340" s="1"/>
      <c r="S340" s="1"/>
      <c r="T340" s="1"/>
      <c r="U340" s="1"/>
      <c r="V340" s="1"/>
      <c r="W340" s="1"/>
      <c r="X340" s="1"/>
      <c r="Y340" s="1"/>
      <c r="Z340" s="1"/>
      <c r="AA340" s="13"/>
      <c r="AB340" s="1"/>
      <c r="AC340" s="57"/>
      <c r="AD340" s="1"/>
      <c r="AE340" s="57"/>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row>
    <row r="341" spans="1:74" s="45" customFormat="1" x14ac:dyDescent="0.25">
      <c r="A341" s="1"/>
      <c r="B341" s="13"/>
      <c r="C341" s="1"/>
      <c r="D341" s="91"/>
      <c r="E341" s="1"/>
      <c r="F341" s="1"/>
      <c r="G341" s="1"/>
      <c r="H341" s="1"/>
      <c r="I341" s="1"/>
      <c r="J341" s="91"/>
      <c r="K341" s="1"/>
      <c r="L341" s="1"/>
      <c r="M341" s="1"/>
      <c r="N341" s="1"/>
      <c r="O341" s="1"/>
      <c r="P341" s="1"/>
      <c r="Q341" s="1"/>
      <c r="R341" s="1"/>
      <c r="S341" s="1"/>
      <c r="T341" s="1"/>
      <c r="U341" s="1"/>
      <c r="V341" s="1"/>
      <c r="W341" s="1"/>
      <c r="X341" s="1"/>
      <c r="Y341" s="1"/>
      <c r="Z341" s="1"/>
      <c r="AA341" s="13"/>
      <c r="AB341" s="1"/>
      <c r="AC341" s="57" t="s">
        <v>1722</v>
      </c>
      <c r="AD341" s="1"/>
      <c r="AE341" s="57"/>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row>
    <row r="342" spans="1:74" x14ac:dyDescent="0.25">
      <c r="C342" s="1"/>
      <c r="AC342" s="57" t="s">
        <v>1723</v>
      </c>
    </row>
    <row r="343" spans="1:74" x14ac:dyDescent="0.25">
      <c r="C343" s="1"/>
      <c r="L343" s="91"/>
      <c r="P343" s="91"/>
      <c r="AC343" s="57" t="s">
        <v>1724</v>
      </c>
    </row>
    <row r="344" spans="1:74" s="49" customFormat="1" x14ac:dyDescent="0.25">
      <c r="A344" s="1"/>
      <c r="B344" s="13"/>
      <c r="C344" s="1"/>
      <c r="D344" s="1"/>
      <c r="E344" s="1"/>
      <c r="F344" s="1"/>
      <c r="G344" s="1"/>
      <c r="H344" s="1"/>
      <c r="I344" s="1"/>
      <c r="J344" s="1"/>
      <c r="K344" s="1"/>
      <c r="L344" s="1"/>
      <c r="M344" s="1"/>
      <c r="N344" s="1"/>
      <c r="O344" s="1"/>
      <c r="P344" s="1"/>
      <c r="Q344" s="1"/>
      <c r="R344" s="1"/>
      <c r="S344" s="1"/>
      <c r="T344" s="1"/>
      <c r="U344" s="1"/>
      <c r="V344" s="1"/>
      <c r="W344" s="1"/>
      <c r="X344" s="1"/>
      <c r="Y344" s="1"/>
      <c r="Z344" s="1"/>
      <c r="AA344" s="13"/>
      <c r="AB344" s="1"/>
      <c r="AC344" s="57"/>
      <c r="AD344" s="1"/>
      <c r="AE344" s="57"/>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row>
    <row r="345" spans="1:74" s="25" customFormat="1" x14ac:dyDescent="0.25">
      <c r="A345" s="1"/>
      <c r="B345" s="13"/>
      <c r="C345" s="1"/>
      <c r="D345" s="1"/>
      <c r="E345" s="1"/>
      <c r="F345" s="1"/>
      <c r="G345" s="1"/>
      <c r="H345" s="1"/>
      <c r="I345" s="1"/>
      <c r="J345" s="1"/>
      <c r="K345" s="1"/>
      <c r="L345" s="1"/>
      <c r="M345" s="1"/>
      <c r="N345" s="1"/>
      <c r="O345" s="1"/>
      <c r="P345" s="1"/>
      <c r="Q345" s="1"/>
      <c r="R345" s="1"/>
      <c r="S345" s="1"/>
      <c r="T345" s="1"/>
      <c r="U345" s="1"/>
      <c r="V345" s="1"/>
      <c r="W345" s="1"/>
      <c r="X345" s="1"/>
      <c r="Y345" s="1"/>
      <c r="Z345" s="1"/>
      <c r="AA345" s="13"/>
      <c r="AB345" s="1"/>
      <c r="AC345" s="57"/>
      <c r="AD345" s="1"/>
      <c r="AE345" s="57"/>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row>
    <row r="346" spans="1:74" x14ac:dyDescent="0.25">
      <c r="C346" s="1"/>
      <c r="D346" s="57"/>
      <c r="AC346" s="57" t="s">
        <v>1633</v>
      </c>
    </row>
    <row r="347" spans="1:74" s="45" customFormat="1" x14ac:dyDescent="0.25">
      <c r="A347" s="1"/>
      <c r="B347" s="13"/>
      <c r="C347" s="1"/>
      <c r="D347" s="1"/>
      <c r="E347" s="1"/>
      <c r="F347" s="1"/>
      <c r="G347" s="1"/>
      <c r="H347" s="1"/>
      <c r="I347" s="1"/>
      <c r="J347" s="1"/>
      <c r="K347" s="1"/>
      <c r="L347" s="1"/>
      <c r="M347" s="1"/>
      <c r="N347" s="1"/>
      <c r="O347" s="1"/>
      <c r="P347" s="1"/>
      <c r="Q347" s="1"/>
      <c r="R347" s="1"/>
      <c r="S347" s="1"/>
      <c r="T347" s="1"/>
      <c r="U347" s="1"/>
      <c r="V347" s="1"/>
      <c r="W347" s="1"/>
      <c r="X347" s="1"/>
      <c r="Y347" s="1"/>
      <c r="Z347" s="1"/>
      <c r="AA347" s="13"/>
      <c r="AB347" s="1"/>
      <c r="AC347" s="57" t="s">
        <v>1637</v>
      </c>
      <c r="AD347" s="1"/>
      <c r="AE347" s="57"/>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row>
    <row r="348" spans="1:74" s="25" customFormat="1" x14ac:dyDescent="0.25">
      <c r="A348" s="1"/>
      <c r="B348" s="13"/>
      <c r="C348" s="1"/>
      <c r="D348" s="1"/>
      <c r="E348" s="1"/>
      <c r="F348" s="1"/>
      <c r="G348" s="1"/>
      <c r="H348" s="1"/>
      <c r="I348" s="1"/>
      <c r="J348" s="1"/>
      <c r="K348" s="1"/>
      <c r="L348" s="1"/>
      <c r="M348" s="1"/>
      <c r="N348" s="1"/>
      <c r="O348" s="1"/>
      <c r="P348" s="1"/>
      <c r="Q348" s="1"/>
      <c r="R348" s="1"/>
      <c r="S348" s="1"/>
      <c r="T348" s="1"/>
      <c r="U348" s="1"/>
      <c r="V348" s="1"/>
      <c r="W348" s="1"/>
      <c r="X348" s="1"/>
      <c r="Y348" s="1"/>
      <c r="Z348" s="1"/>
      <c r="AA348" s="13"/>
      <c r="AB348" s="1"/>
      <c r="AC348" s="57"/>
      <c r="AD348" s="1"/>
      <c r="AE348" s="57"/>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row>
    <row r="349" spans="1:74" x14ac:dyDescent="0.25">
      <c r="C349" s="1"/>
    </row>
    <row r="350" spans="1:74" s="45" customFormat="1" x14ac:dyDescent="0.25">
      <c r="A350" s="1"/>
      <c r="B350" s="13"/>
      <c r="C350" s="1"/>
      <c r="D350" s="1"/>
      <c r="E350" s="1"/>
      <c r="F350" s="1"/>
      <c r="G350" s="1"/>
      <c r="H350" s="1"/>
      <c r="I350" s="1"/>
      <c r="J350" s="1"/>
      <c r="K350" s="1"/>
      <c r="L350" s="1"/>
      <c r="M350" s="1"/>
      <c r="N350" s="1"/>
      <c r="O350" s="1"/>
      <c r="P350" s="1"/>
      <c r="Q350" s="1"/>
      <c r="R350" s="1"/>
      <c r="S350" s="1"/>
      <c r="T350" s="1"/>
      <c r="U350" s="1"/>
      <c r="V350" s="1"/>
      <c r="W350" s="1"/>
      <c r="X350" s="1"/>
      <c r="Y350" s="1"/>
      <c r="Z350" s="1"/>
      <c r="AA350" s="13"/>
      <c r="AB350" s="1"/>
      <c r="AC350" s="57" t="s">
        <v>1636</v>
      </c>
      <c r="AD350" s="1"/>
      <c r="AE350" s="57"/>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row>
    <row r="351" spans="1:74" s="40" customFormat="1" x14ac:dyDescent="0.25">
      <c r="A351" s="1"/>
      <c r="B351" s="13"/>
      <c r="C351" s="1"/>
      <c r="D351" s="1"/>
      <c r="E351" s="1"/>
      <c r="F351" s="1"/>
      <c r="G351" s="1"/>
      <c r="H351" s="1"/>
      <c r="I351" s="1"/>
      <c r="J351" s="1"/>
      <c r="K351" s="1"/>
      <c r="L351" s="1"/>
      <c r="M351" s="1"/>
      <c r="N351" s="1"/>
      <c r="O351" s="1"/>
      <c r="P351" s="1"/>
      <c r="Q351" s="1"/>
      <c r="R351" s="1"/>
      <c r="S351" s="1"/>
      <c r="T351" s="1"/>
      <c r="U351" s="1"/>
      <c r="V351" s="1"/>
      <c r="W351" s="1"/>
      <c r="X351" s="1"/>
      <c r="Y351" s="1"/>
      <c r="Z351" s="1"/>
      <c r="AA351" s="13"/>
      <c r="AB351" s="1"/>
      <c r="AC351" s="57"/>
      <c r="AD351" s="1"/>
      <c r="AE351" s="57"/>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row>
    <row r="352" spans="1:74" x14ac:dyDescent="0.25">
      <c r="C352" s="1"/>
    </row>
    <row r="353" spans="1:74" x14ac:dyDescent="0.25">
      <c r="C353" s="1"/>
    </row>
    <row r="354" spans="1:74" x14ac:dyDescent="0.25">
      <c r="C354" s="1"/>
    </row>
    <row r="355" spans="1:74" x14ac:dyDescent="0.25">
      <c r="C355" s="1"/>
    </row>
    <row r="356" spans="1:74" s="40" customFormat="1" x14ac:dyDescent="0.25">
      <c r="A356" s="1"/>
      <c r="B356" s="13"/>
      <c r="C356" s="1"/>
      <c r="D356" s="1"/>
      <c r="E356" s="1"/>
      <c r="F356" s="1"/>
      <c r="G356" s="1"/>
      <c r="H356" s="1"/>
      <c r="I356" s="1"/>
      <c r="J356" s="1"/>
      <c r="K356" s="1"/>
      <c r="L356" s="1"/>
      <c r="M356" s="1"/>
      <c r="N356" s="1"/>
      <c r="O356" s="1"/>
      <c r="P356" s="1"/>
      <c r="Q356" s="1"/>
      <c r="R356" s="1"/>
      <c r="S356" s="1"/>
      <c r="T356" s="1"/>
      <c r="U356" s="1"/>
      <c r="V356" s="1"/>
      <c r="W356" s="1"/>
      <c r="X356" s="1"/>
      <c r="Y356" s="1"/>
      <c r="Z356" s="1"/>
      <c r="AA356" s="13"/>
      <c r="AB356" s="1"/>
      <c r="AC356" s="57"/>
      <c r="AD356" s="1"/>
      <c r="AE356" s="57"/>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row>
    <row r="357" spans="1:74" s="40" customFormat="1" x14ac:dyDescent="0.25">
      <c r="A357" s="1"/>
      <c r="B357" s="13"/>
      <c r="C357" s="1"/>
      <c r="D357" s="1"/>
      <c r="E357" s="1"/>
      <c r="F357" s="1"/>
      <c r="G357" s="1"/>
      <c r="H357" s="1"/>
      <c r="I357" s="1"/>
      <c r="J357" s="1"/>
      <c r="K357" s="1"/>
      <c r="L357" s="1"/>
      <c r="M357" s="1"/>
      <c r="N357" s="1"/>
      <c r="O357" s="1"/>
      <c r="P357" s="1"/>
      <c r="Q357" s="1"/>
      <c r="R357" s="1"/>
      <c r="S357" s="1"/>
      <c r="T357" s="1"/>
      <c r="U357" s="1"/>
      <c r="V357" s="1"/>
      <c r="W357" s="1"/>
      <c r="X357" s="1"/>
      <c r="Y357" s="1"/>
      <c r="Z357" s="1"/>
      <c r="AA357" s="13"/>
      <c r="AB357" s="1"/>
      <c r="AC357" s="57" t="s">
        <v>1634</v>
      </c>
      <c r="AD357" s="1"/>
      <c r="AE357" s="57"/>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row>
    <row r="358" spans="1:74" s="45" customFormat="1" x14ac:dyDescent="0.25">
      <c r="A358" s="1"/>
      <c r="B358" s="13"/>
      <c r="C358" s="1"/>
      <c r="D358" s="1"/>
      <c r="E358" s="1"/>
      <c r="F358" s="1"/>
      <c r="G358" s="1"/>
      <c r="H358" s="1"/>
      <c r="I358" s="1"/>
      <c r="J358" s="1"/>
      <c r="K358" s="1"/>
      <c r="L358" s="1"/>
      <c r="M358" s="1"/>
      <c r="N358" s="1"/>
      <c r="O358" s="1"/>
      <c r="P358" s="1"/>
      <c r="Q358" s="1"/>
      <c r="R358" s="1"/>
      <c r="S358" s="1"/>
      <c r="T358" s="1"/>
      <c r="U358" s="1"/>
      <c r="V358" s="1"/>
      <c r="W358" s="1"/>
      <c r="X358" s="1"/>
      <c r="Y358" s="1"/>
      <c r="Z358" s="1"/>
      <c r="AA358" s="13"/>
      <c r="AB358" s="1"/>
      <c r="AC358" s="57" t="s">
        <v>1637</v>
      </c>
      <c r="AD358" s="1"/>
      <c r="AE358" s="57"/>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row>
    <row r="359" spans="1:74" s="45" customFormat="1" x14ac:dyDescent="0.25">
      <c r="A359" s="1"/>
      <c r="B359" s="13"/>
      <c r="C359" s="1"/>
      <c r="D359" s="1"/>
      <c r="E359" s="1"/>
      <c r="F359" s="1"/>
      <c r="G359" s="1"/>
      <c r="H359" s="1"/>
      <c r="I359" s="1"/>
      <c r="J359" s="1"/>
      <c r="K359" s="1"/>
      <c r="L359" s="1"/>
      <c r="M359" s="1"/>
      <c r="N359" s="1"/>
      <c r="O359" s="1"/>
      <c r="P359" s="1"/>
      <c r="Q359" s="1"/>
      <c r="R359" s="1"/>
      <c r="S359" s="1"/>
      <c r="T359" s="1"/>
      <c r="U359" s="1"/>
      <c r="V359" s="1"/>
      <c r="W359" s="1"/>
      <c r="X359" s="1"/>
      <c r="Y359" s="1"/>
      <c r="Z359" s="1"/>
      <c r="AA359" s="13"/>
      <c r="AB359" s="1"/>
      <c r="AC359" s="57" t="s">
        <v>1637</v>
      </c>
      <c r="AD359" s="1"/>
      <c r="AE359" s="57"/>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row>
    <row r="360" spans="1:74" s="40" customFormat="1" x14ac:dyDescent="0.25">
      <c r="A360" s="1"/>
      <c r="B360" s="13"/>
      <c r="C360" s="1"/>
      <c r="D360" s="1"/>
      <c r="E360" s="1"/>
      <c r="F360" s="1"/>
      <c r="G360" s="1"/>
      <c r="H360" s="1"/>
      <c r="I360" s="1"/>
      <c r="J360" s="1"/>
      <c r="K360" s="1"/>
      <c r="L360" s="1"/>
      <c r="M360" s="1"/>
      <c r="N360" s="1"/>
      <c r="O360" s="1"/>
      <c r="P360" s="1"/>
      <c r="Q360" s="1"/>
      <c r="R360" s="1"/>
      <c r="S360" s="1"/>
      <c r="T360" s="1"/>
      <c r="U360" s="1"/>
      <c r="V360" s="1"/>
      <c r="W360" s="1"/>
      <c r="X360" s="1"/>
      <c r="Y360" s="1"/>
      <c r="Z360" s="1"/>
      <c r="AA360" s="13"/>
      <c r="AB360" s="1"/>
      <c r="AC360" s="57"/>
      <c r="AD360" s="1"/>
      <c r="AE360" s="57"/>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row>
    <row r="361" spans="1:74" x14ac:dyDescent="0.25">
      <c r="C361" s="1"/>
    </row>
    <row r="362" spans="1:74" s="49" customFormat="1" x14ac:dyDescent="0.25">
      <c r="A362" s="1"/>
      <c r="B362" s="13"/>
      <c r="C362" s="1"/>
      <c r="D362" s="1"/>
      <c r="E362" s="1"/>
      <c r="F362" s="1"/>
      <c r="G362" s="1"/>
      <c r="H362" s="1"/>
      <c r="I362" s="1"/>
      <c r="J362" s="1"/>
      <c r="K362" s="1"/>
      <c r="L362" s="1"/>
      <c r="M362" s="1"/>
      <c r="N362" s="1"/>
      <c r="O362" s="1"/>
      <c r="P362" s="1"/>
      <c r="Q362" s="1"/>
      <c r="R362" s="1"/>
      <c r="S362" s="1"/>
      <c r="T362" s="1"/>
      <c r="U362" s="1"/>
      <c r="V362" s="1"/>
      <c r="W362" s="1"/>
      <c r="X362" s="1"/>
      <c r="Y362" s="1"/>
      <c r="Z362" s="1"/>
      <c r="AA362" s="13"/>
      <c r="AB362" s="1"/>
      <c r="AC362" s="57"/>
      <c r="AD362" s="1"/>
      <c r="AE362" s="57"/>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row>
    <row r="363" spans="1:74" s="25" customFormat="1" x14ac:dyDescent="0.25">
      <c r="A363" s="1"/>
      <c r="B363" s="13"/>
      <c r="C363" s="1"/>
      <c r="D363" s="1"/>
      <c r="E363" s="1"/>
      <c r="F363" s="1"/>
      <c r="G363" s="1"/>
      <c r="H363" s="1"/>
      <c r="I363" s="1"/>
      <c r="J363" s="1"/>
      <c r="K363" s="1"/>
      <c r="L363" s="1"/>
      <c r="M363" s="1"/>
      <c r="N363" s="1"/>
      <c r="O363" s="1"/>
      <c r="P363" s="1"/>
      <c r="Q363" s="1"/>
      <c r="R363" s="1"/>
      <c r="S363" s="1"/>
      <c r="T363" s="1"/>
      <c r="U363" s="1"/>
      <c r="V363" s="1"/>
      <c r="W363" s="1"/>
      <c r="X363" s="1"/>
      <c r="Y363" s="1"/>
      <c r="Z363" s="1"/>
      <c r="AA363" s="13"/>
      <c r="AB363" s="1"/>
      <c r="AC363" s="57"/>
      <c r="AD363" s="1"/>
      <c r="AE363" s="57"/>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row>
    <row r="364" spans="1:74" x14ac:dyDescent="0.25">
      <c r="C364" s="1"/>
    </row>
    <row r="365" spans="1:74" s="45" customFormat="1" x14ac:dyDescent="0.25">
      <c r="A365" s="1"/>
      <c r="B365" s="13"/>
      <c r="C365" s="1"/>
      <c r="D365" s="1"/>
      <c r="E365" s="1"/>
      <c r="F365" s="1"/>
      <c r="G365" s="1"/>
      <c r="H365" s="1"/>
      <c r="I365" s="1"/>
      <c r="J365" s="1"/>
      <c r="K365" s="1"/>
      <c r="L365" s="1"/>
      <c r="M365" s="1"/>
      <c r="N365" s="1"/>
      <c r="O365" s="1"/>
      <c r="P365" s="1"/>
      <c r="Q365" s="1"/>
      <c r="R365" s="1"/>
      <c r="S365" s="1"/>
      <c r="T365" s="1"/>
      <c r="U365" s="1"/>
      <c r="V365" s="1"/>
      <c r="W365" s="1"/>
      <c r="X365" s="1"/>
      <c r="Y365" s="1"/>
      <c r="Z365" s="1"/>
      <c r="AA365" s="13"/>
      <c r="AB365" s="1"/>
      <c r="AC365" s="57" t="s">
        <v>1637</v>
      </c>
      <c r="AD365" s="1"/>
      <c r="AE365" s="57"/>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row>
    <row r="366" spans="1:74" x14ac:dyDescent="0.25">
      <c r="C366" s="1"/>
    </row>
    <row r="367" spans="1:74" x14ac:dyDescent="0.25">
      <c r="C367" s="1"/>
    </row>
    <row r="368" spans="1:74" s="45" customFormat="1" x14ac:dyDescent="0.25">
      <c r="A368" s="1"/>
      <c r="B368" s="13"/>
      <c r="C368" s="1"/>
      <c r="D368" s="1"/>
      <c r="E368" s="1"/>
      <c r="F368" s="1"/>
      <c r="G368" s="1"/>
      <c r="H368" s="1"/>
      <c r="I368" s="1"/>
      <c r="J368" s="1"/>
      <c r="K368" s="1"/>
      <c r="L368" s="1"/>
      <c r="M368" s="1"/>
      <c r="N368" s="1"/>
      <c r="O368" s="1"/>
      <c r="P368" s="1"/>
      <c r="Q368" s="1"/>
      <c r="R368" s="1"/>
      <c r="S368" s="1"/>
      <c r="T368" s="1"/>
      <c r="U368" s="1"/>
      <c r="V368" s="1"/>
      <c r="W368" s="1"/>
      <c r="X368" s="1"/>
      <c r="Y368" s="1"/>
      <c r="Z368" s="1"/>
      <c r="AA368" s="13"/>
      <c r="AB368" s="1"/>
      <c r="AC368" s="57" t="s">
        <v>1637</v>
      </c>
      <c r="AD368" s="1"/>
      <c r="AE368" s="57"/>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row>
    <row r="369" spans="1:74" s="45" customFormat="1" x14ac:dyDescent="0.25">
      <c r="A369" s="1"/>
      <c r="B369" s="13"/>
      <c r="C369" s="1"/>
      <c r="D369" s="1"/>
      <c r="E369" s="1"/>
      <c r="F369" s="1"/>
      <c r="G369" s="1"/>
      <c r="H369" s="1"/>
      <c r="I369" s="1"/>
      <c r="J369" s="1"/>
      <c r="K369" s="1"/>
      <c r="L369" s="1"/>
      <c r="M369" s="1"/>
      <c r="N369" s="1"/>
      <c r="O369" s="1"/>
      <c r="P369" s="1"/>
      <c r="Q369" s="1"/>
      <c r="R369" s="1"/>
      <c r="S369" s="1"/>
      <c r="T369" s="1"/>
      <c r="U369" s="1"/>
      <c r="V369" s="1"/>
      <c r="W369" s="1"/>
      <c r="X369" s="1"/>
      <c r="Y369" s="1"/>
      <c r="Z369" s="1"/>
      <c r="AA369" s="13"/>
      <c r="AB369" s="1"/>
      <c r="AC369" s="57" t="s">
        <v>1637</v>
      </c>
      <c r="AD369" s="1"/>
      <c r="AE369" s="57"/>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row>
    <row r="370" spans="1:74" s="25" customFormat="1" x14ac:dyDescent="0.25">
      <c r="A370" s="1"/>
      <c r="B370" s="13"/>
      <c r="C370" s="1"/>
      <c r="D370" s="1"/>
      <c r="E370" s="1"/>
      <c r="F370" s="1"/>
      <c r="G370" s="1"/>
      <c r="H370" s="1"/>
      <c r="I370" s="1"/>
      <c r="J370" s="1"/>
      <c r="K370" s="1"/>
      <c r="L370" s="1"/>
      <c r="M370" s="1"/>
      <c r="N370" s="1"/>
      <c r="O370" s="1"/>
      <c r="P370" s="1"/>
      <c r="Q370" s="1"/>
      <c r="R370" s="1"/>
      <c r="S370" s="1"/>
      <c r="T370" s="1"/>
      <c r="U370" s="1"/>
      <c r="V370" s="1"/>
      <c r="W370" s="1"/>
      <c r="X370" s="1"/>
      <c r="Y370" s="1"/>
      <c r="Z370" s="1"/>
      <c r="AA370" s="13"/>
      <c r="AB370" s="1"/>
      <c r="AC370" s="57"/>
      <c r="AD370" s="1"/>
      <c r="AE370" s="57"/>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row>
    <row r="371" spans="1:74" s="49" customFormat="1" x14ac:dyDescent="0.25">
      <c r="A371" s="1"/>
      <c r="B371" s="13"/>
      <c r="C371" s="1"/>
      <c r="D371" s="1"/>
      <c r="E371" s="1"/>
      <c r="F371" s="1"/>
      <c r="G371" s="1"/>
      <c r="H371" s="1"/>
      <c r="I371" s="1"/>
      <c r="J371" s="1"/>
      <c r="K371" s="1"/>
      <c r="L371" s="1"/>
      <c r="M371" s="1"/>
      <c r="N371" s="1"/>
      <c r="O371" s="1"/>
      <c r="P371" s="1"/>
      <c r="Q371" s="1"/>
      <c r="R371" s="1"/>
      <c r="S371" s="1"/>
      <c r="T371" s="1"/>
      <c r="U371" s="1"/>
      <c r="V371" s="1"/>
      <c r="W371" s="1"/>
      <c r="X371" s="1"/>
      <c r="Y371" s="1"/>
      <c r="Z371" s="1"/>
      <c r="AA371" s="13"/>
      <c r="AB371" s="1"/>
      <c r="AC371" s="57"/>
      <c r="AD371" s="1"/>
      <c r="AE371" s="57"/>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row>
    <row r="372" spans="1:74" s="45" customFormat="1" x14ac:dyDescent="0.25">
      <c r="A372" s="1"/>
      <c r="B372" s="13"/>
      <c r="C372" s="1"/>
      <c r="D372" s="1"/>
      <c r="E372" s="1"/>
      <c r="F372" s="1"/>
      <c r="G372" s="1"/>
      <c r="H372" s="1"/>
      <c r="I372" s="1"/>
      <c r="J372" s="1"/>
      <c r="K372" s="1"/>
      <c r="L372" s="1"/>
      <c r="M372" s="1"/>
      <c r="N372" s="1"/>
      <c r="O372" s="1"/>
      <c r="P372" s="1"/>
      <c r="Q372" s="1"/>
      <c r="R372" s="1"/>
      <c r="S372" s="1"/>
      <c r="T372" s="1"/>
      <c r="U372" s="1"/>
      <c r="V372" s="1"/>
      <c r="W372" s="1"/>
      <c r="X372" s="1"/>
      <c r="Y372" s="1"/>
      <c r="Z372" s="1"/>
      <c r="AA372" s="13"/>
      <c r="AB372" s="1"/>
      <c r="AC372" s="57" t="s">
        <v>1637</v>
      </c>
      <c r="AD372" s="1"/>
      <c r="AE372" s="57"/>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row>
    <row r="373" spans="1:74" x14ac:dyDescent="0.25">
      <c r="C373" s="1"/>
    </row>
    <row r="374" spans="1:74" s="49" customFormat="1" x14ac:dyDescent="0.25">
      <c r="A374" s="1"/>
      <c r="B374" s="13"/>
      <c r="C374" s="1"/>
      <c r="D374" s="1"/>
      <c r="E374" s="1"/>
      <c r="F374" s="1"/>
      <c r="G374" s="1"/>
      <c r="H374" s="1"/>
      <c r="I374" s="1"/>
      <c r="J374" s="1"/>
      <c r="K374" s="1"/>
      <c r="L374" s="1"/>
      <c r="M374" s="1"/>
      <c r="N374" s="1"/>
      <c r="O374" s="1"/>
      <c r="P374" s="1"/>
      <c r="Q374" s="1"/>
      <c r="R374" s="1"/>
      <c r="S374" s="1"/>
      <c r="T374" s="1"/>
      <c r="U374" s="1"/>
      <c r="V374" s="1"/>
      <c r="W374" s="1"/>
      <c r="X374" s="1"/>
      <c r="Y374" s="1"/>
      <c r="Z374" s="1"/>
      <c r="AA374" s="13"/>
      <c r="AB374" s="1"/>
      <c r="AC374" s="57"/>
      <c r="AD374" s="1"/>
      <c r="AE374" s="57"/>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row>
    <row r="375" spans="1:74" s="25" customFormat="1" x14ac:dyDescent="0.25">
      <c r="A375" s="1"/>
      <c r="B375" s="13"/>
      <c r="C375" s="1"/>
      <c r="D375" s="1"/>
      <c r="E375" s="1"/>
      <c r="F375" s="1"/>
      <c r="G375" s="1"/>
      <c r="H375" s="1"/>
      <c r="I375" s="1"/>
      <c r="J375" s="1"/>
      <c r="K375" s="1"/>
      <c r="L375" s="1"/>
      <c r="M375" s="1"/>
      <c r="N375" s="1"/>
      <c r="O375" s="1"/>
      <c r="P375" s="1"/>
      <c r="Q375" s="1"/>
      <c r="R375" s="1"/>
      <c r="S375" s="1"/>
      <c r="T375" s="1"/>
      <c r="U375" s="1"/>
      <c r="V375" s="1"/>
      <c r="W375" s="1"/>
      <c r="X375" s="1"/>
      <c r="Y375" s="1"/>
      <c r="Z375" s="1"/>
      <c r="AA375" s="13"/>
      <c r="AB375" s="1"/>
      <c r="AC375" s="57"/>
      <c r="AD375" s="1"/>
      <c r="AE375" s="57"/>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row>
    <row r="376" spans="1:74" x14ac:dyDescent="0.25">
      <c r="C376" s="1"/>
    </row>
    <row r="377" spans="1:74" x14ac:dyDescent="0.25">
      <c r="C377" s="1"/>
    </row>
    <row r="378" spans="1:74" s="49" customFormat="1" x14ac:dyDescent="0.25">
      <c r="A378" s="1"/>
      <c r="B378" s="13"/>
      <c r="C378" s="1"/>
      <c r="D378" s="1"/>
      <c r="E378" s="1"/>
      <c r="F378" s="1"/>
      <c r="G378" s="1"/>
      <c r="H378" s="1"/>
      <c r="I378" s="1"/>
      <c r="J378" s="1"/>
      <c r="K378" s="1"/>
      <c r="L378" s="1"/>
      <c r="M378" s="1"/>
      <c r="N378" s="1"/>
      <c r="O378" s="1"/>
      <c r="P378" s="1"/>
      <c r="Q378" s="1"/>
      <c r="R378" s="1"/>
      <c r="S378" s="1"/>
      <c r="T378" s="1"/>
      <c r="U378" s="1"/>
      <c r="V378" s="1"/>
      <c r="W378" s="1"/>
      <c r="X378" s="1"/>
      <c r="Y378" s="1"/>
      <c r="Z378" s="1"/>
      <c r="AA378" s="13"/>
      <c r="AB378" s="1"/>
      <c r="AC378" s="57"/>
      <c r="AD378" s="1"/>
      <c r="AE378" s="57"/>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row>
    <row r="379" spans="1:74" s="25" customFormat="1" x14ac:dyDescent="0.25">
      <c r="A379" s="1"/>
      <c r="B379" s="13"/>
      <c r="C379" s="1"/>
      <c r="D379" s="1"/>
      <c r="E379" s="1"/>
      <c r="F379" s="1"/>
      <c r="G379" s="1"/>
      <c r="H379" s="1"/>
      <c r="I379" s="1"/>
      <c r="J379" s="1"/>
      <c r="K379" s="1"/>
      <c r="L379" s="1"/>
      <c r="M379" s="1"/>
      <c r="N379" s="1"/>
      <c r="O379" s="1"/>
      <c r="P379" s="1"/>
      <c r="Q379" s="1"/>
      <c r="R379" s="1"/>
      <c r="S379" s="1"/>
      <c r="T379" s="1"/>
      <c r="U379" s="1"/>
      <c r="V379" s="1"/>
      <c r="W379" s="1"/>
      <c r="X379" s="1"/>
      <c r="Y379" s="1"/>
      <c r="Z379" s="1"/>
      <c r="AA379" s="13"/>
      <c r="AB379" s="1"/>
      <c r="AC379" s="57"/>
      <c r="AD379" s="1"/>
      <c r="AE379" s="57"/>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row>
    <row r="380" spans="1:74" s="25" customFormat="1" x14ac:dyDescent="0.25">
      <c r="A380" s="1"/>
      <c r="B380" s="13"/>
      <c r="C380" s="1"/>
      <c r="D380" s="1"/>
      <c r="E380" s="1"/>
      <c r="F380" s="1"/>
      <c r="G380" s="1"/>
      <c r="H380" s="1"/>
      <c r="I380" s="1"/>
      <c r="J380" s="1"/>
      <c r="K380" s="1"/>
      <c r="L380" s="1"/>
      <c r="M380" s="1"/>
      <c r="N380" s="1"/>
      <c r="O380" s="1"/>
      <c r="P380" s="1"/>
      <c r="Q380" s="1"/>
      <c r="R380" s="1"/>
      <c r="S380" s="1"/>
      <c r="T380" s="1"/>
      <c r="U380" s="1"/>
      <c r="V380" s="1"/>
      <c r="W380" s="1"/>
      <c r="X380" s="1"/>
      <c r="Y380" s="1"/>
      <c r="Z380" s="1"/>
      <c r="AA380" s="13"/>
      <c r="AB380" s="1"/>
      <c r="AC380" s="57"/>
      <c r="AD380" s="1"/>
      <c r="AE380" s="57"/>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row>
    <row r="381" spans="1:74" s="45" customFormat="1" x14ac:dyDescent="0.25">
      <c r="A381" s="1"/>
      <c r="B381" s="13"/>
      <c r="C381" s="1"/>
      <c r="D381" s="1"/>
      <c r="E381" s="1"/>
      <c r="F381" s="1"/>
      <c r="G381" s="1"/>
      <c r="H381" s="1"/>
      <c r="I381" s="1"/>
      <c r="J381" s="1"/>
      <c r="K381" s="1"/>
      <c r="L381" s="1"/>
      <c r="M381" s="1"/>
      <c r="N381" s="1"/>
      <c r="O381" s="1"/>
      <c r="P381" s="1"/>
      <c r="Q381" s="1"/>
      <c r="R381" s="1"/>
      <c r="S381" s="1"/>
      <c r="T381" s="1"/>
      <c r="U381" s="1"/>
      <c r="V381" s="1"/>
      <c r="W381" s="1"/>
      <c r="X381" s="1"/>
      <c r="Y381" s="1"/>
      <c r="Z381" s="1"/>
      <c r="AA381" s="13"/>
      <c r="AB381" s="1"/>
      <c r="AC381" s="57" t="s">
        <v>1637</v>
      </c>
      <c r="AD381" s="1"/>
      <c r="AE381" s="57"/>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row>
    <row r="382" spans="1:74" x14ac:dyDescent="0.25">
      <c r="C382" s="1"/>
    </row>
    <row r="383" spans="1:74" s="45" customFormat="1" x14ac:dyDescent="0.25">
      <c r="A383" s="1"/>
      <c r="B383" s="13"/>
      <c r="C383" s="1"/>
      <c r="D383" s="1"/>
      <c r="E383" s="1"/>
      <c r="F383" s="1"/>
      <c r="G383" s="1"/>
      <c r="H383" s="1"/>
      <c r="I383" s="1"/>
      <c r="J383" s="1"/>
      <c r="K383" s="1"/>
      <c r="L383" s="1"/>
      <c r="M383" s="1"/>
      <c r="N383" s="1"/>
      <c r="O383" s="1"/>
      <c r="P383" s="1"/>
      <c r="Q383" s="1"/>
      <c r="R383" s="1"/>
      <c r="S383" s="1"/>
      <c r="T383" s="1"/>
      <c r="U383" s="1"/>
      <c r="V383" s="1"/>
      <c r="W383" s="1"/>
      <c r="X383" s="1"/>
      <c r="Y383" s="1"/>
      <c r="Z383" s="1"/>
      <c r="AA383" s="13"/>
      <c r="AB383" s="1"/>
      <c r="AC383" s="57" t="s">
        <v>1637</v>
      </c>
      <c r="AD383" s="1"/>
      <c r="AE383" s="57"/>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row>
    <row r="384" spans="1:74" s="45" customFormat="1" x14ac:dyDescent="0.25">
      <c r="A384" s="1"/>
      <c r="B384" s="13"/>
      <c r="C384" s="1"/>
      <c r="D384" s="1"/>
      <c r="E384" s="1"/>
      <c r="F384" s="1"/>
      <c r="G384" s="1"/>
      <c r="H384" s="1"/>
      <c r="I384" s="1"/>
      <c r="J384" s="1"/>
      <c r="K384" s="1"/>
      <c r="L384" s="1"/>
      <c r="M384" s="1"/>
      <c r="N384" s="1"/>
      <c r="O384" s="1"/>
      <c r="P384" s="1"/>
      <c r="Q384" s="1"/>
      <c r="R384" s="1"/>
      <c r="S384" s="1"/>
      <c r="T384" s="1"/>
      <c r="U384" s="1"/>
      <c r="V384" s="1"/>
      <c r="W384" s="1"/>
      <c r="X384" s="1"/>
      <c r="Y384" s="1"/>
      <c r="Z384" s="1"/>
      <c r="AA384" s="13"/>
      <c r="AB384" s="1"/>
      <c r="AC384" s="57" t="s">
        <v>1637</v>
      </c>
      <c r="AD384" s="1"/>
      <c r="AE384" s="57"/>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row>
    <row r="385" spans="1:74" s="45" customFormat="1" x14ac:dyDescent="0.25">
      <c r="A385" s="1"/>
      <c r="B385" s="13"/>
      <c r="C385" s="1"/>
      <c r="D385" s="1"/>
      <c r="E385" s="1"/>
      <c r="F385" s="1"/>
      <c r="G385" s="1"/>
      <c r="H385" s="1"/>
      <c r="I385" s="1"/>
      <c r="J385" s="1"/>
      <c r="K385" s="1"/>
      <c r="L385" s="1"/>
      <c r="M385" s="1"/>
      <c r="N385" s="1"/>
      <c r="O385" s="1"/>
      <c r="P385" s="1"/>
      <c r="Q385" s="1"/>
      <c r="R385" s="1"/>
      <c r="S385" s="1"/>
      <c r="T385" s="1"/>
      <c r="U385" s="1"/>
      <c r="V385" s="1"/>
      <c r="W385" s="1"/>
      <c r="X385" s="1"/>
      <c r="Y385" s="1"/>
      <c r="Z385" s="1"/>
      <c r="AA385" s="13"/>
      <c r="AB385" s="1"/>
      <c r="AC385" s="57" t="s">
        <v>1637</v>
      </c>
      <c r="AD385" s="1"/>
      <c r="AE385" s="57"/>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row>
    <row r="386" spans="1:74" s="45" customFormat="1" x14ac:dyDescent="0.25">
      <c r="A386" s="1"/>
      <c r="B386" s="13"/>
      <c r="C386" s="1"/>
      <c r="D386" s="1"/>
      <c r="E386" s="1"/>
      <c r="F386" s="1"/>
      <c r="G386" s="1"/>
      <c r="H386" s="1"/>
      <c r="I386" s="1"/>
      <c r="J386" s="1"/>
      <c r="K386" s="1"/>
      <c r="L386" s="1"/>
      <c r="M386" s="1"/>
      <c r="N386" s="1"/>
      <c r="O386" s="1"/>
      <c r="P386" s="1"/>
      <c r="Q386" s="1"/>
      <c r="R386" s="1"/>
      <c r="S386" s="1"/>
      <c r="T386" s="1"/>
      <c r="U386" s="1"/>
      <c r="V386" s="1"/>
      <c r="W386" s="1"/>
      <c r="X386" s="1"/>
      <c r="Y386" s="1"/>
      <c r="Z386" s="1"/>
      <c r="AA386" s="13"/>
      <c r="AB386" s="1"/>
      <c r="AC386" s="57" t="s">
        <v>1636</v>
      </c>
      <c r="AD386" s="1"/>
      <c r="AE386" s="57"/>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row>
    <row r="387" spans="1:74" s="45" customFormat="1" x14ac:dyDescent="0.25">
      <c r="A387" s="1"/>
      <c r="B387" s="13"/>
      <c r="C387" s="1"/>
      <c r="D387" s="1"/>
      <c r="E387" s="1"/>
      <c r="F387" s="1"/>
      <c r="G387" s="1"/>
      <c r="H387" s="1"/>
      <c r="I387" s="1"/>
      <c r="J387" s="1"/>
      <c r="K387" s="1"/>
      <c r="L387" s="1"/>
      <c r="M387" s="1"/>
      <c r="N387" s="1"/>
      <c r="O387" s="1"/>
      <c r="P387" s="1"/>
      <c r="Q387" s="1"/>
      <c r="R387" s="1"/>
      <c r="S387" s="1"/>
      <c r="T387" s="1"/>
      <c r="U387" s="1"/>
      <c r="V387" s="1"/>
      <c r="W387" s="1"/>
      <c r="X387" s="1"/>
      <c r="Y387" s="1"/>
      <c r="Z387" s="1"/>
      <c r="AA387" s="13"/>
      <c r="AB387" s="1"/>
      <c r="AC387" s="57" t="s">
        <v>1637</v>
      </c>
      <c r="AD387" s="1"/>
      <c r="AE387" s="57"/>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row>
    <row r="388" spans="1:74" s="45" customFormat="1" x14ac:dyDescent="0.25">
      <c r="A388" s="1"/>
      <c r="B388" s="13"/>
      <c r="C388" s="1"/>
      <c r="D388" s="1"/>
      <c r="E388" s="1"/>
      <c r="F388" s="1"/>
      <c r="G388" s="1"/>
      <c r="H388" s="1"/>
      <c r="I388" s="1"/>
      <c r="J388" s="1"/>
      <c r="K388" s="1"/>
      <c r="L388" s="1"/>
      <c r="M388" s="1"/>
      <c r="N388" s="1"/>
      <c r="O388" s="1"/>
      <c r="P388" s="1"/>
      <c r="Q388" s="1"/>
      <c r="R388" s="1"/>
      <c r="S388" s="1"/>
      <c r="T388" s="1"/>
      <c r="U388" s="1"/>
      <c r="V388" s="1"/>
      <c r="W388" s="1"/>
      <c r="X388" s="1"/>
      <c r="Y388" s="1"/>
      <c r="Z388" s="1"/>
      <c r="AA388" s="13"/>
      <c r="AB388" s="1"/>
      <c r="AC388" s="57" t="s">
        <v>1637</v>
      </c>
      <c r="AD388" s="1"/>
      <c r="AE388" s="57"/>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row>
    <row r="389" spans="1:74" x14ac:dyDescent="0.25">
      <c r="C389" s="1"/>
    </row>
    <row r="390" spans="1:74" s="49" customFormat="1" x14ac:dyDescent="0.25">
      <c r="A390" s="1"/>
      <c r="B390" s="13"/>
      <c r="C390" s="1"/>
      <c r="D390" s="1"/>
      <c r="E390" s="1"/>
      <c r="F390" s="1"/>
      <c r="G390" s="1"/>
      <c r="H390" s="1"/>
      <c r="I390" s="1"/>
      <c r="J390" s="1"/>
      <c r="K390" s="1"/>
      <c r="L390" s="1"/>
      <c r="M390" s="1"/>
      <c r="N390" s="1"/>
      <c r="O390" s="1"/>
      <c r="P390" s="1"/>
      <c r="Q390" s="1"/>
      <c r="R390" s="1"/>
      <c r="S390" s="1"/>
      <c r="T390" s="1"/>
      <c r="U390" s="1"/>
      <c r="V390" s="1"/>
      <c r="W390" s="1"/>
      <c r="X390" s="1"/>
      <c r="Y390" s="1"/>
      <c r="Z390" s="1"/>
      <c r="AA390" s="13"/>
      <c r="AB390" s="1"/>
      <c r="AC390" s="57"/>
      <c r="AD390" s="1"/>
      <c r="AE390" s="57"/>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row>
    <row r="391" spans="1:74" s="45" customFormat="1" x14ac:dyDescent="0.25">
      <c r="A391" s="1"/>
      <c r="B391" s="13"/>
      <c r="C391" s="1"/>
      <c r="D391" s="1"/>
      <c r="E391" s="1"/>
      <c r="F391" s="1"/>
      <c r="G391" s="1"/>
      <c r="H391" s="1"/>
      <c r="I391" s="1"/>
      <c r="J391" s="1"/>
      <c r="K391" s="1"/>
      <c r="L391" s="1"/>
      <c r="M391" s="1"/>
      <c r="N391" s="1"/>
      <c r="O391" s="1"/>
      <c r="P391" s="1"/>
      <c r="Q391" s="1"/>
      <c r="R391" s="1"/>
      <c r="S391" s="1"/>
      <c r="T391" s="1"/>
      <c r="U391" s="1"/>
      <c r="V391" s="1"/>
      <c r="W391" s="1"/>
      <c r="X391" s="1"/>
      <c r="Y391" s="1"/>
      <c r="Z391" s="1"/>
      <c r="AA391" s="13"/>
      <c r="AB391" s="1"/>
      <c r="AC391" s="57" t="s">
        <v>1637</v>
      </c>
      <c r="AD391" s="1"/>
      <c r="AE391" s="57"/>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row>
    <row r="392" spans="1:74" s="45" customFormat="1" x14ac:dyDescent="0.25">
      <c r="A392" s="1"/>
      <c r="B392" s="13"/>
      <c r="C392" s="1"/>
      <c r="D392" s="1"/>
      <c r="E392" s="1"/>
      <c r="F392" s="1"/>
      <c r="G392" s="1"/>
      <c r="H392" s="1"/>
      <c r="I392" s="1"/>
      <c r="J392" s="1"/>
      <c r="K392" s="1"/>
      <c r="L392" s="1"/>
      <c r="M392" s="1"/>
      <c r="N392" s="1"/>
      <c r="O392" s="1"/>
      <c r="P392" s="1"/>
      <c r="Q392" s="1"/>
      <c r="R392" s="1"/>
      <c r="S392" s="1"/>
      <c r="T392" s="1"/>
      <c r="U392" s="1"/>
      <c r="V392" s="1"/>
      <c r="W392" s="1"/>
      <c r="X392" s="1"/>
      <c r="Y392" s="1"/>
      <c r="Z392" s="1"/>
      <c r="AA392" s="13"/>
      <c r="AB392" s="1"/>
      <c r="AC392" s="57" t="s">
        <v>1637</v>
      </c>
      <c r="AD392" s="1"/>
      <c r="AE392" s="57"/>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row>
    <row r="393" spans="1:74" x14ac:dyDescent="0.25">
      <c r="C393" s="1"/>
    </row>
    <row r="394" spans="1:74" x14ac:dyDescent="0.25">
      <c r="C394" s="1"/>
    </row>
    <row r="395" spans="1:74" s="40" customFormat="1" x14ac:dyDescent="0.25">
      <c r="A395" s="1"/>
      <c r="B395" s="13"/>
      <c r="C395" s="1"/>
      <c r="D395" s="1"/>
      <c r="E395" s="1"/>
      <c r="F395" s="1"/>
      <c r="G395" s="1"/>
      <c r="H395" s="1"/>
      <c r="I395" s="1"/>
      <c r="J395" s="1"/>
      <c r="K395" s="1"/>
      <c r="L395" s="1"/>
      <c r="M395" s="1"/>
      <c r="N395" s="1"/>
      <c r="O395" s="1"/>
      <c r="P395" s="1"/>
      <c r="Q395" s="1"/>
      <c r="R395" s="1"/>
      <c r="S395" s="1"/>
      <c r="T395" s="1"/>
      <c r="U395" s="1"/>
      <c r="V395" s="1"/>
      <c r="W395" s="1"/>
      <c r="X395" s="1"/>
      <c r="Y395" s="1"/>
      <c r="Z395" s="1"/>
      <c r="AA395" s="13"/>
      <c r="AB395" s="1"/>
      <c r="AC395" s="57"/>
      <c r="AD395" s="1"/>
      <c r="AE395" s="57"/>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row>
    <row r="396" spans="1:74" s="40" customFormat="1" x14ac:dyDescent="0.25">
      <c r="A396" s="1"/>
      <c r="B396" s="13"/>
      <c r="C396" s="1"/>
      <c r="D396" s="1"/>
      <c r="E396" s="1"/>
      <c r="F396" s="1"/>
      <c r="G396" s="1"/>
      <c r="H396" s="1"/>
      <c r="I396" s="1"/>
      <c r="J396" s="1"/>
      <c r="K396" s="1"/>
      <c r="L396" s="1"/>
      <c r="M396" s="1"/>
      <c r="N396" s="1"/>
      <c r="O396" s="1"/>
      <c r="P396" s="1"/>
      <c r="Q396" s="1"/>
      <c r="R396" s="1"/>
      <c r="S396" s="1"/>
      <c r="T396" s="1"/>
      <c r="U396" s="1"/>
      <c r="V396" s="1"/>
      <c r="W396" s="1"/>
      <c r="X396" s="1"/>
      <c r="Y396" s="1"/>
      <c r="Z396" s="1"/>
      <c r="AA396" s="13"/>
      <c r="AB396" s="1"/>
      <c r="AC396" s="57"/>
      <c r="AD396" s="1"/>
      <c r="AE396" s="57"/>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row>
    <row r="397" spans="1:74" s="40" customFormat="1" x14ac:dyDescent="0.25">
      <c r="A397" s="1"/>
      <c r="B397" s="13"/>
      <c r="C397" s="1"/>
      <c r="D397" s="1"/>
      <c r="E397" s="1"/>
      <c r="F397" s="1"/>
      <c r="G397" s="1"/>
      <c r="H397" s="1"/>
      <c r="I397" s="1"/>
      <c r="J397" s="1"/>
      <c r="K397" s="1"/>
      <c r="L397" s="1"/>
      <c r="M397" s="1"/>
      <c r="N397" s="1"/>
      <c r="O397" s="1"/>
      <c r="P397" s="1"/>
      <c r="Q397" s="1"/>
      <c r="R397" s="1"/>
      <c r="S397" s="1"/>
      <c r="T397" s="1"/>
      <c r="U397" s="1"/>
      <c r="V397" s="1"/>
      <c r="W397" s="1"/>
      <c r="X397" s="1"/>
      <c r="Y397" s="1"/>
      <c r="Z397" s="1"/>
      <c r="AA397" s="13"/>
      <c r="AB397" s="1"/>
      <c r="AC397" s="57"/>
      <c r="AD397" s="1"/>
      <c r="AE397" s="57"/>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row>
    <row r="398" spans="1:74" s="40" customFormat="1" x14ac:dyDescent="0.25">
      <c r="A398" s="1"/>
      <c r="B398" s="13"/>
      <c r="C398" s="1"/>
      <c r="D398" s="1"/>
      <c r="E398" s="1"/>
      <c r="F398" s="1"/>
      <c r="G398" s="1"/>
      <c r="H398" s="1"/>
      <c r="I398" s="1"/>
      <c r="J398" s="1"/>
      <c r="K398" s="1"/>
      <c r="L398" s="1"/>
      <c r="M398" s="1"/>
      <c r="N398" s="1"/>
      <c r="O398" s="1"/>
      <c r="P398" s="1"/>
      <c r="Q398" s="1"/>
      <c r="R398" s="1"/>
      <c r="S398" s="1"/>
      <c r="T398" s="1"/>
      <c r="U398" s="1"/>
      <c r="V398" s="1"/>
      <c r="W398" s="1"/>
      <c r="X398" s="1"/>
      <c r="Y398" s="1"/>
      <c r="Z398" s="1"/>
      <c r="AA398" s="13"/>
      <c r="AB398" s="1"/>
      <c r="AC398" s="57"/>
      <c r="AD398" s="1"/>
      <c r="AE398" s="57"/>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row>
    <row r="399" spans="1:74" s="40" customFormat="1" x14ac:dyDescent="0.25">
      <c r="A399" s="1"/>
      <c r="B399" s="13"/>
      <c r="C399" s="1"/>
      <c r="D399" s="1"/>
      <c r="E399" s="1"/>
      <c r="F399" s="1"/>
      <c r="G399" s="1"/>
      <c r="H399" s="1"/>
      <c r="I399" s="1"/>
      <c r="J399" s="1"/>
      <c r="K399" s="1"/>
      <c r="L399" s="1"/>
      <c r="M399" s="1"/>
      <c r="N399" s="1"/>
      <c r="O399" s="1"/>
      <c r="P399" s="1"/>
      <c r="Q399" s="1"/>
      <c r="R399" s="1"/>
      <c r="S399" s="1"/>
      <c r="T399" s="1"/>
      <c r="U399" s="1"/>
      <c r="V399" s="1"/>
      <c r="W399" s="1"/>
      <c r="X399" s="1"/>
      <c r="Y399" s="1"/>
      <c r="Z399" s="1"/>
      <c r="AA399" s="13"/>
      <c r="AB399" s="1"/>
      <c r="AC399" s="57"/>
      <c r="AD399" s="1"/>
      <c r="AE399" s="57"/>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row>
    <row r="400" spans="1:74" x14ac:dyDescent="0.25">
      <c r="C400" s="1"/>
    </row>
    <row r="401" spans="1:142" s="40" customFormat="1" x14ac:dyDescent="0.25">
      <c r="A401" s="1"/>
      <c r="B401" s="13"/>
      <c r="C401" s="1"/>
      <c r="D401" s="1"/>
      <c r="E401" s="1"/>
      <c r="F401" s="1"/>
      <c r="G401" s="1"/>
      <c r="H401" s="1"/>
      <c r="I401" s="1"/>
      <c r="J401" s="1"/>
      <c r="K401" s="1"/>
      <c r="L401" s="1"/>
      <c r="M401" s="1"/>
      <c r="N401" s="1"/>
      <c r="O401" s="1"/>
      <c r="P401" s="1"/>
      <c r="Q401" s="1"/>
      <c r="R401" s="1"/>
      <c r="S401" s="1"/>
      <c r="T401" s="1"/>
      <c r="U401" s="1"/>
      <c r="V401" s="1"/>
      <c r="W401" s="1"/>
      <c r="X401" s="1"/>
      <c r="Y401" s="1"/>
      <c r="Z401" s="1"/>
      <c r="AA401" s="13"/>
      <c r="AB401" s="1"/>
      <c r="AC401" s="57"/>
      <c r="AD401" s="1"/>
      <c r="AE401" s="57"/>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row>
    <row r="402" spans="1:142" s="45" customFormat="1" x14ac:dyDescent="0.25">
      <c r="A402" s="1"/>
      <c r="B402" s="13"/>
      <c r="C402" s="1"/>
      <c r="D402" s="1"/>
      <c r="E402" s="1"/>
      <c r="F402" s="1"/>
      <c r="G402" s="1"/>
      <c r="H402" s="1"/>
      <c r="I402" s="1"/>
      <c r="J402" s="1"/>
      <c r="K402" s="1"/>
      <c r="L402" s="1"/>
      <c r="M402" s="1"/>
      <c r="N402" s="1"/>
      <c r="O402" s="1"/>
      <c r="P402" s="1"/>
      <c r="Q402" s="1"/>
      <c r="R402" s="1"/>
      <c r="S402" s="1"/>
      <c r="T402" s="1"/>
      <c r="U402" s="1"/>
      <c r="V402" s="1"/>
      <c r="W402" s="1"/>
      <c r="X402" s="1"/>
      <c r="Y402" s="1"/>
      <c r="Z402" s="1"/>
      <c r="AA402" s="13"/>
      <c r="AB402" s="1"/>
      <c r="AC402" s="57" t="s">
        <v>1636</v>
      </c>
      <c r="AD402" s="1"/>
      <c r="AE402" s="57"/>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row>
    <row r="403" spans="1:142" s="45" customFormat="1" x14ac:dyDescent="0.25">
      <c r="A403" s="1"/>
      <c r="B403" s="13"/>
      <c r="C403" s="1"/>
      <c r="D403" s="1"/>
      <c r="E403" s="13"/>
      <c r="F403" s="1"/>
      <c r="G403" s="1"/>
      <c r="H403" s="1"/>
      <c r="I403" s="1"/>
      <c r="J403" s="1"/>
      <c r="K403" s="1"/>
      <c r="L403" s="1"/>
      <c r="M403" s="1"/>
      <c r="N403" s="1"/>
      <c r="O403" s="1"/>
      <c r="P403" s="1"/>
      <c r="Q403" s="1"/>
      <c r="R403" s="1"/>
      <c r="S403" s="1"/>
      <c r="T403" s="1"/>
      <c r="U403" s="1"/>
      <c r="V403" s="1"/>
      <c r="W403" s="1"/>
      <c r="X403" s="1"/>
      <c r="Y403" s="1"/>
      <c r="Z403" s="1"/>
      <c r="AA403" s="13"/>
      <c r="AB403" s="1"/>
      <c r="AC403" s="57" t="s">
        <v>1636</v>
      </c>
      <c r="AD403" s="1"/>
      <c r="AE403" s="57"/>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row>
    <row r="404" spans="1:142" x14ac:dyDescent="0.25">
      <c r="C404" s="1"/>
      <c r="D404" s="91"/>
      <c r="L404" s="91"/>
      <c r="M404" s="91"/>
    </row>
    <row r="405" spans="1:142" x14ac:dyDescent="0.25">
      <c r="C405" s="1"/>
      <c r="AC405" s="57" t="s">
        <v>1635</v>
      </c>
    </row>
    <row r="406" spans="1:142" s="25" customFormat="1" x14ac:dyDescent="0.25">
      <c r="A406" s="1"/>
      <c r="B406" s="13"/>
      <c r="C406" s="1"/>
      <c r="D406" s="1"/>
      <c r="E406" s="1"/>
      <c r="F406" s="1"/>
      <c r="G406" s="1"/>
      <c r="H406" s="1"/>
      <c r="I406" s="1"/>
      <c r="J406" s="1"/>
      <c r="K406" s="1"/>
      <c r="L406" s="1"/>
      <c r="M406" s="1"/>
      <c r="N406" s="1"/>
      <c r="O406" s="1"/>
      <c r="P406" s="1"/>
      <c r="Q406" s="1"/>
      <c r="R406" s="1"/>
      <c r="S406" s="1"/>
      <c r="T406" s="1"/>
      <c r="U406" s="1"/>
      <c r="V406" s="1"/>
      <c r="W406" s="1"/>
      <c r="X406" s="1"/>
      <c r="Y406" s="1"/>
      <c r="Z406" s="1"/>
      <c r="AA406" s="13"/>
      <c r="AB406" s="1"/>
      <c r="AC406" s="57"/>
      <c r="AD406" s="1"/>
      <c r="AE406" s="57"/>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row>
    <row r="407" spans="1:142" x14ac:dyDescent="0.25">
      <c r="C407" s="1"/>
    </row>
    <row r="408" spans="1:142" s="40" customFormat="1" x14ac:dyDescent="0.25">
      <c r="A408" s="1"/>
      <c r="B408" s="13"/>
      <c r="C408" s="1"/>
      <c r="D408" s="1"/>
      <c r="E408" s="1"/>
      <c r="F408" s="1"/>
      <c r="G408" s="1"/>
      <c r="H408" s="1"/>
      <c r="I408" s="1"/>
      <c r="J408" s="1"/>
      <c r="K408" s="1"/>
      <c r="L408" s="1"/>
      <c r="M408" s="1"/>
      <c r="N408" s="1"/>
      <c r="O408" s="1"/>
      <c r="P408" s="1"/>
      <c r="Q408" s="1"/>
      <c r="R408" s="1"/>
      <c r="S408" s="1"/>
      <c r="T408" s="1"/>
      <c r="U408" s="1"/>
      <c r="V408" s="1"/>
      <c r="W408" s="1"/>
      <c r="X408" s="1"/>
      <c r="Y408" s="1"/>
      <c r="Z408" s="1"/>
      <c r="AA408" s="13"/>
      <c r="AB408" s="1"/>
      <c r="AC408" s="57"/>
      <c r="AD408" s="1"/>
      <c r="AE408" s="57"/>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row>
    <row r="409" spans="1:142" s="25" customFormat="1" x14ac:dyDescent="0.25">
      <c r="A409" s="1"/>
      <c r="B409" s="13"/>
      <c r="C409" s="1"/>
      <c r="D409" s="1"/>
      <c r="E409" s="1"/>
      <c r="F409" s="1"/>
      <c r="G409" s="1"/>
      <c r="H409" s="1"/>
      <c r="I409" s="1"/>
      <c r="J409" s="1"/>
      <c r="K409" s="1"/>
      <c r="L409" s="1"/>
      <c r="M409" s="1"/>
      <c r="N409" s="1"/>
      <c r="O409" s="1"/>
      <c r="P409" s="1"/>
      <c r="Q409" s="1"/>
      <c r="R409" s="1"/>
      <c r="S409" s="1"/>
      <c r="T409" s="1"/>
      <c r="U409" s="1"/>
      <c r="V409" s="1"/>
      <c r="W409" s="1"/>
      <c r="X409" s="1"/>
      <c r="Y409" s="1"/>
      <c r="Z409" s="1"/>
      <c r="AA409" s="13"/>
      <c r="AB409" s="1"/>
      <c r="AC409" s="57"/>
      <c r="AD409" s="1"/>
      <c r="AE409" s="57"/>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row>
    <row r="410" spans="1:142" s="45" customFormat="1" x14ac:dyDescent="0.25">
      <c r="A410" s="1"/>
      <c r="B410" s="13"/>
      <c r="C410" s="1"/>
      <c r="D410" s="1"/>
      <c r="E410" s="1"/>
      <c r="F410" s="1"/>
      <c r="G410" s="1"/>
      <c r="H410" s="1"/>
      <c r="I410" s="1"/>
      <c r="J410" s="1"/>
      <c r="K410" s="1"/>
      <c r="L410" s="1"/>
      <c r="M410" s="1"/>
      <c r="N410" s="1"/>
      <c r="O410" s="1"/>
      <c r="P410" s="1"/>
      <c r="Q410" s="1"/>
      <c r="R410" s="1"/>
      <c r="S410" s="1"/>
      <c r="T410" s="1"/>
      <c r="U410" s="1"/>
      <c r="V410" s="1"/>
      <c r="W410" s="1"/>
      <c r="X410" s="1"/>
      <c r="Y410" s="1"/>
      <c r="Z410" s="1"/>
      <c r="AA410" s="13"/>
      <c r="AB410" s="1"/>
      <c r="AC410" s="57" t="s">
        <v>1636</v>
      </c>
      <c r="AD410" s="1"/>
      <c r="AE410" s="57"/>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row>
    <row r="411" spans="1:142" x14ac:dyDescent="0.25">
      <c r="C411" s="1"/>
    </row>
    <row r="412" spans="1:142" x14ac:dyDescent="0.25">
      <c r="C412" s="1"/>
    </row>
    <row r="413" spans="1:142" s="40" customFormat="1" x14ac:dyDescent="0.25">
      <c r="A413" s="1"/>
      <c r="B413" s="13"/>
      <c r="C413" s="1"/>
      <c r="D413" s="1"/>
      <c r="E413" s="1"/>
      <c r="F413" s="1"/>
      <c r="G413" s="1"/>
      <c r="H413" s="1"/>
      <c r="I413" s="1"/>
      <c r="J413" s="1"/>
      <c r="K413" s="1"/>
      <c r="L413" s="1"/>
      <c r="M413" s="1"/>
      <c r="N413" s="1"/>
      <c r="O413" s="1"/>
      <c r="P413" s="1"/>
      <c r="Q413" s="1"/>
      <c r="R413" s="1"/>
      <c r="S413" s="1"/>
      <c r="T413" s="1"/>
      <c r="U413" s="1"/>
      <c r="V413" s="1"/>
      <c r="W413" s="1"/>
      <c r="X413" s="1"/>
      <c r="Y413" s="1"/>
      <c r="Z413" s="1"/>
      <c r="AA413" s="13"/>
      <c r="AB413" s="1"/>
      <c r="AC413" s="57"/>
      <c r="AD413" s="1"/>
      <c r="AE413" s="57"/>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row>
    <row r="414" spans="1:142" s="40" customFormat="1" x14ac:dyDescent="0.25">
      <c r="A414" s="1"/>
      <c r="B414" s="13"/>
      <c r="C414" s="1"/>
      <c r="D414" s="1"/>
      <c r="E414" s="1"/>
      <c r="F414" s="1"/>
      <c r="G414" s="1"/>
      <c r="H414" s="1"/>
      <c r="I414" s="1"/>
      <c r="J414" s="1"/>
      <c r="K414" s="1"/>
      <c r="L414" s="1"/>
      <c r="M414" s="1"/>
      <c r="N414" s="1"/>
      <c r="O414" s="1"/>
      <c r="P414" s="1"/>
      <c r="Q414" s="1"/>
      <c r="R414" s="1"/>
      <c r="S414" s="1"/>
      <c r="T414" s="1"/>
      <c r="U414" s="1"/>
      <c r="V414" s="1"/>
      <c r="W414" s="1"/>
      <c r="X414" s="1"/>
      <c r="Y414" s="1"/>
      <c r="Z414" s="1"/>
      <c r="AA414" s="13"/>
      <c r="AB414" s="1"/>
      <c r="AC414" s="57"/>
      <c r="AD414" s="1"/>
      <c r="AE414" s="57"/>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row>
    <row r="415" spans="1:142" x14ac:dyDescent="0.25">
      <c r="C415" s="1"/>
    </row>
    <row r="416" spans="1:142" x14ac:dyDescent="0.25">
      <c r="C416" s="1"/>
    </row>
    <row r="417" spans="1:142" x14ac:dyDescent="0.25">
      <c r="C417" s="1"/>
    </row>
    <row r="418" spans="1:142" x14ac:dyDescent="0.25">
      <c r="C418" s="1"/>
    </row>
    <row r="419" spans="1:142" x14ac:dyDescent="0.25">
      <c r="C419" s="1"/>
    </row>
    <row r="420" spans="1:142" s="40" customFormat="1" x14ac:dyDescent="0.25">
      <c r="A420" s="1"/>
      <c r="B420" s="13"/>
      <c r="C420" s="1"/>
      <c r="D420" s="1"/>
      <c r="E420" s="1"/>
      <c r="F420" s="1"/>
      <c r="G420" s="1"/>
      <c r="H420" s="1"/>
      <c r="I420" s="1"/>
      <c r="J420" s="1"/>
      <c r="K420" s="1"/>
      <c r="L420" s="1"/>
      <c r="M420" s="1"/>
      <c r="N420" s="1"/>
      <c r="O420" s="1"/>
      <c r="P420" s="1"/>
      <c r="Q420" s="1"/>
      <c r="R420" s="1"/>
      <c r="S420" s="1"/>
      <c r="T420" s="1"/>
      <c r="U420" s="1"/>
      <c r="V420" s="1"/>
      <c r="W420" s="1"/>
      <c r="X420" s="1"/>
      <c r="Y420" s="1"/>
      <c r="Z420" s="1"/>
      <c r="AA420" s="13"/>
      <c r="AB420" s="1"/>
      <c r="AC420" s="57"/>
      <c r="AD420" s="1"/>
      <c r="AE420" s="57"/>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row>
    <row r="421" spans="1:142" x14ac:dyDescent="0.25">
      <c r="C421" s="1"/>
    </row>
    <row r="422" spans="1:142" x14ac:dyDescent="0.25">
      <c r="C422" s="1"/>
    </row>
    <row r="423" spans="1:142" s="25" customFormat="1" x14ac:dyDescent="0.25">
      <c r="A423" s="1"/>
      <c r="B423" s="13"/>
      <c r="C423" s="1"/>
      <c r="D423" s="1"/>
      <c r="E423" s="1"/>
      <c r="F423" s="1"/>
      <c r="G423" s="1"/>
      <c r="H423" s="1"/>
      <c r="I423" s="1"/>
      <c r="J423" s="1"/>
      <c r="K423" s="1"/>
      <c r="L423" s="1"/>
      <c r="M423" s="1"/>
      <c r="N423" s="1"/>
      <c r="O423" s="1"/>
      <c r="P423" s="1"/>
      <c r="Q423" s="1"/>
      <c r="R423" s="1"/>
      <c r="S423" s="1"/>
      <c r="T423" s="1"/>
      <c r="U423" s="1"/>
      <c r="V423" s="1"/>
      <c r="W423" s="1"/>
      <c r="X423" s="1"/>
      <c r="Y423" s="1"/>
      <c r="Z423" s="1"/>
      <c r="AA423" s="13"/>
      <c r="AB423" s="1"/>
      <c r="AC423" s="57"/>
      <c r="AD423" s="1"/>
      <c r="AE423" s="57"/>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row>
    <row r="424" spans="1:142" s="40" customFormat="1" x14ac:dyDescent="0.25">
      <c r="A424" s="1"/>
      <c r="B424" s="13"/>
      <c r="C424" s="1"/>
      <c r="D424" s="1"/>
      <c r="E424" s="1"/>
      <c r="F424" s="1"/>
      <c r="G424" s="1"/>
      <c r="H424" s="1"/>
      <c r="I424" s="1"/>
      <c r="J424" s="1"/>
      <c r="K424" s="1"/>
      <c r="L424" s="1"/>
      <c r="M424" s="1"/>
      <c r="N424" s="1"/>
      <c r="O424" s="1"/>
      <c r="P424" s="1"/>
      <c r="Q424" s="1"/>
      <c r="R424" s="1"/>
      <c r="S424" s="1"/>
      <c r="T424" s="1"/>
      <c r="U424" s="1"/>
      <c r="V424" s="1"/>
      <c r="W424" s="1"/>
      <c r="X424" s="1"/>
      <c r="Y424" s="1"/>
      <c r="Z424" s="1"/>
      <c r="AA424" s="13"/>
      <c r="AB424" s="1"/>
      <c r="AC424" s="57"/>
      <c r="AD424" s="1"/>
      <c r="AE424" s="57"/>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row>
    <row r="425" spans="1:142" x14ac:dyDescent="0.25">
      <c r="C425" s="1"/>
    </row>
    <row r="426" spans="1:142" s="40" customFormat="1" x14ac:dyDescent="0.25">
      <c r="A426" s="1"/>
      <c r="B426" s="13"/>
      <c r="C426" s="1"/>
      <c r="D426" s="1"/>
      <c r="E426" s="1"/>
      <c r="F426" s="1"/>
      <c r="G426" s="1"/>
      <c r="H426" s="1"/>
      <c r="I426" s="1"/>
      <c r="J426" s="1"/>
      <c r="K426" s="1"/>
      <c r="L426" s="1"/>
      <c r="M426" s="1"/>
      <c r="N426" s="1"/>
      <c r="O426" s="1"/>
      <c r="P426" s="1"/>
      <c r="Q426" s="1"/>
      <c r="R426" s="1"/>
      <c r="S426" s="1"/>
      <c r="T426" s="1"/>
      <c r="U426" s="1"/>
      <c r="V426" s="1"/>
      <c r="W426" s="1"/>
      <c r="X426" s="1"/>
      <c r="Y426" s="1"/>
      <c r="Z426" s="1"/>
      <c r="AA426" s="13"/>
      <c r="AB426" s="1"/>
      <c r="AC426" s="57"/>
      <c r="AD426" s="1"/>
      <c r="AE426" s="57"/>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row>
    <row r="427" spans="1:142" s="40" customFormat="1" x14ac:dyDescent="0.25">
      <c r="A427" s="1"/>
      <c r="B427" s="13"/>
      <c r="C427" s="1"/>
      <c r="D427" s="1"/>
      <c r="E427" s="1"/>
      <c r="F427" s="1"/>
      <c r="G427" s="1"/>
      <c r="H427" s="1"/>
      <c r="I427" s="1"/>
      <c r="J427" s="1"/>
      <c r="K427" s="1"/>
      <c r="L427" s="1"/>
      <c r="M427" s="1"/>
      <c r="N427" s="1"/>
      <c r="O427" s="1"/>
      <c r="P427" s="1"/>
      <c r="Q427" s="1"/>
      <c r="R427" s="1"/>
      <c r="S427" s="1"/>
      <c r="T427" s="1"/>
      <c r="U427" s="1"/>
      <c r="V427" s="1"/>
      <c r="W427" s="1"/>
      <c r="X427" s="1"/>
      <c r="Y427" s="1"/>
      <c r="Z427" s="1"/>
      <c r="AA427" s="13"/>
      <c r="AB427" s="1"/>
      <c r="AC427" s="57"/>
      <c r="AD427" s="1"/>
      <c r="AE427" s="57"/>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row>
    <row r="428" spans="1:142" s="45" customFormat="1" x14ac:dyDescent="0.25">
      <c r="A428" s="1"/>
      <c r="B428" s="13"/>
      <c r="C428" s="1"/>
      <c r="D428" s="1"/>
      <c r="E428" s="1"/>
      <c r="F428" s="1"/>
      <c r="G428" s="1"/>
      <c r="H428" s="1"/>
      <c r="I428" s="1"/>
      <c r="J428" s="1"/>
      <c r="K428" s="1"/>
      <c r="L428" s="1"/>
      <c r="M428" s="1"/>
      <c r="N428" s="1"/>
      <c r="O428" s="1"/>
      <c r="P428" s="1"/>
      <c r="Q428" s="1"/>
      <c r="R428" s="1"/>
      <c r="S428" s="1"/>
      <c r="T428" s="1"/>
      <c r="U428" s="1"/>
      <c r="V428" s="1"/>
      <c r="W428" s="1"/>
      <c r="X428" s="1"/>
      <c r="Y428" s="1"/>
      <c r="Z428" s="1"/>
      <c r="AA428" s="13"/>
      <c r="AB428" s="1"/>
      <c r="AC428" s="57" t="s">
        <v>1636</v>
      </c>
      <c r="AD428" s="1"/>
      <c r="AE428" s="57"/>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row>
    <row r="429" spans="1:142" x14ac:dyDescent="0.25">
      <c r="C429" s="1"/>
      <c r="E429" s="13"/>
    </row>
    <row r="430" spans="1:142" s="40" customFormat="1" x14ac:dyDescent="0.25">
      <c r="A430" s="1"/>
      <c r="B430" s="13"/>
      <c r="C430" s="1"/>
      <c r="D430" s="1"/>
      <c r="E430" s="1"/>
      <c r="F430" s="1"/>
      <c r="G430" s="1"/>
      <c r="H430" s="1"/>
      <c r="I430" s="1"/>
      <c r="J430" s="1"/>
      <c r="K430" s="1"/>
      <c r="L430" s="1"/>
      <c r="M430" s="1"/>
      <c r="N430" s="1"/>
      <c r="O430" s="1"/>
      <c r="P430" s="1"/>
      <c r="Q430" s="1"/>
      <c r="R430" s="1"/>
      <c r="S430" s="1"/>
      <c r="T430" s="1"/>
      <c r="U430" s="1"/>
      <c r="V430" s="1"/>
      <c r="W430" s="1"/>
      <c r="X430" s="1"/>
      <c r="Y430" s="1"/>
      <c r="Z430" s="1"/>
      <c r="AA430" s="13"/>
      <c r="AB430" s="1"/>
      <c r="AC430" s="57"/>
      <c r="AD430" s="1"/>
      <c r="AE430" s="57"/>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row>
    <row r="431" spans="1:142" s="40" customFormat="1" x14ac:dyDescent="0.25">
      <c r="A431" s="1"/>
      <c r="B431" s="13"/>
      <c r="C431" s="1"/>
      <c r="D431" s="1"/>
      <c r="E431" s="1"/>
      <c r="F431" s="1"/>
      <c r="G431" s="1"/>
      <c r="H431" s="1"/>
      <c r="I431" s="1"/>
      <c r="J431" s="1"/>
      <c r="K431" s="1"/>
      <c r="L431" s="1"/>
      <c r="M431" s="1"/>
      <c r="N431" s="1"/>
      <c r="O431" s="1"/>
      <c r="P431" s="1"/>
      <c r="Q431" s="1"/>
      <c r="R431" s="1"/>
      <c r="S431" s="1"/>
      <c r="T431" s="1"/>
      <c r="U431" s="1"/>
      <c r="V431" s="1"/>
      <c r="W431" s="1"/>
      <c r="X431" s="1"/>
      <c r="Y431" s="1"/>
      <c r="Z431" s="1"/>
      <c r="AA431" s="13"/>
      <c r="AB431" s="1"/>
      <c r="AC431" s="57"/>
      <c r="AD431" s="1"/>
      <c r="AE431" s="57"/>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row>
    <row r="432" spans="1:142" s="40" customFormat="1" x14ac:dyDescent="0.25">
      <c r="A432" s="1"/>
      <c r="B432" s="13"/>
      <c r="C432" s="1"/>
      <c r="D432" s="1"/>
      <c r="E432" s="1"/>
      <c r="F432" s="1"/>
      <c r="G432" s="1"/>
      <c r="H432" s="1"/>
      <c r="I432" s="1"/>
      <c r="J432" s="1"/>
      <c r="K432" s="1"/>
      <c r="L432" s="1"/>
      <c r="M432" s="1"/>
      <c r="N432" s="1"/>
      <c r="O432" s="1"/>
      <c r="P432" s="1"/>
      <c r="Q432" s="1"/>
      <c r="R432" s="1"/>
      <c r="S432" s="1"/>
      <c r="T432" s="1"/>
      <c r="U432" s="1"/>
      <c r="V432" s="1"/>
      <c r="W432" s="1"/>
      <c r="X432" s="1"/>
      <c r="Y432" s="1"/>
      <c r="Z432" s="1"/>
      <c r="AA432" s="13"/>
      <c r="AB432" s="1"/>
      <c r="AC432" s="57"/>
      <c r="AD432" s="1"/>
      <c r="AE432" s="57"/>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row>
  </sheetData>
  <phoneticPr fontId="7"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630F-1776-42BA-9160-E8F9B63541F9}">
  <dimension ref="B1:S21"/>
  <sheetViews>
    <sheetView workbookViewId="0">
      <selection activeCell="Q19" sqref="Q19"/>
    </sheetView>
  </sheetViews>
  <sheetFormatPr defaultRowHeight="15" x14ac:dyDescent="0.25"/>
  <sheetData>
    <row r="1" spans="2:19" x14ac:dyDescent="0.25">
      <c r="B1" s="1"/>
    </row>
    <row r="2" spans="2:19" x14ac:dyDescent="0.25">
      <c r="B2" s="45">
        <v>-1</v>
      </c>
      <c r="C2" s="46"/>
      <c r="D2" s="46" t="s">
        <v>1274</v>
      </c>
      <c r="E2" s="46"/>
      <c r="F2" s="46"/>
      <c r="G2" s="46"/>
      <c r="H2" s="46"/>
      <c r="I2" s="46"/>
      <c r="J2" s="45">
        <f>COUNTIF(data!Z2:Z315,-1)</f>
        <v>17</v>
      </c>
      <c r="R2" t="s">
        <v>1891</v>
      </c>
    </row>
    <row r="3" spans="2:19" ht="15.75" x14ac:dyDescent="0.25">
      <c r="B3" s="3">
        <v>1</v>
      </c>
      <c r="C3" s="8"/>
      <c r="D3" s="9" t="s">
        <v>1788</v>
      </c>
      <c r="E3" s="10"/>
      <c r="F3" s="3"/>
      <c r="G3" s="3"/>
      <c r="H3" s="3"/>
      <c r="I3" s="3"/>
      <c r="J3" s="3">
        <f>COUNTIF(data!Z2:Z315,1)</f>
        <v>27</v>
      </c>
      <c r="R3" t="s">
        <v>1895</v>
      </c>
      <c r="S3" t="s">
        <v>1892</v>
      </c>
    </row>
    <row r="4" spans="2:19" ht="15.75" x14ac:dyDescent="0.25">
      <c r="B4" s="2">
        <v>2</v>
      </c>
      <c r="C4" s="14"/>
      <c r="D4" s="15" t="s">
        <v>1789</v>
      </c>
      <c r="E4" s="16"/>
      <c r="F4" s="2"/>
      <c r="G4" s="2"/>
      <c r="H4" s="2"/>
      <c r="I4" s="2"/>
      <c r="J4" s="2">
        <f>COUNTIF(data!Z2:Z315,2)</f>
        <v>5</v>
      </c>
      <c r="R4" t="s">
        <v>1898</v>
      </c>
      <c r="S4" t="s">
        <v>1306</v>
      </c>
    </row>
    <row r="5" spans="2:19" ht="15.75" x14ac:dyDescent="0.25">
      <c r="B5" s="17">
        <v>3</v>
      </c>
      <c r="C5" s="18"/>
      <c r="D5" s="19" t="s">
        <v>1234</v>
      </c>
      <c r="E5" s="20"/>
      <c r="F5" s="17"/>
      <c r="G5" s="17"/>
      <c r="H5" s="17"/>
      <c r="I5" s="17"/>
      <c r="J5" s="17">
        <f>COUNTIF(data!Z2:Z315,3)</f>
        <v>6</v>
      </c>
      <c r="R5" t="s">
        <v>1899</v>
      </c>
      <c r="S5" t="s">
        <v>1900</v>
      </c>
    </row>
    <row r="6" spans="2:19" ht="15.75" x14ac:dyDescent="0.25">
      <c r="B6" s="4">
        <v>4</v>
      </c>
      <c r="C6" s="22"/>
      <c r="D6" s="23" t="s">
        <v>1787</v>
      </c>
      <c r="E6" s="24"/>
      <c r="F6" s="4"/>
      <c r="G6" s="4"/>
      <c r="H6" s="4"/>
      <c r="I6" s="4"/>
      <c r="J6" s="4">
        <f>COUNTIF(data!Z2:Z315,4)</f>
        <v>6</v>
      </c>
      <c r="R6" t="s">
        <v>1890</v>
      </c>
      <c r="S6" t="s">
        <v>1896</v>
      </c>
    </row>
    <row r="7" spans="2:19" ht="15.75" x14ac:dyDescent="0.25">
      <c r="B7" s="25">
        <v>5</v>
      </c>
      <c r="C7" s="26"/>
      <c r="D7" s="27" t="s">
        <v>1726</v>
      </c>
      <c r="E7" s="28"/>
      <c r="F7" s="25"/>
      <c r="G7" s="25"/>
      <c r="H7" s="25"/>
      <c r="I7" s="25"/>
      <c r="J7" s="25">
        <f>COUNTIF(data!Z2:Z315,5)</f>
        <v>74</v>
      </c>
      <c r="R7" t="s">
        <v>1893</v>
      </c>
      <c r="S7" t="s">
        <v>1897</v>
      </c>
    </row>
    <row r="8" spans="2:19" ht="15.75" x14ac:dyDescent="0.25">
      <c r="B8" s="30">
        <v>6</v>
      </c>
      <c r="C8" s="31"/>
      <c r="D8" s="32" t="s">
        <v>1257</v>
      </c>
      <c r="E8" s="33"/>
      <c r="F8" s="30"/>
      <c r="G8" s="30"/>
      <c r="H8" s="30"/>
      <c r="I8" s="30"/>
      <c r="J8" s="30">
        <f>COUNTIF(data!Z2:Z315,6)</f>
        <v>26</v>
      </c>
      <c r="R8" t="s">
        <v>1894</v>
      </c>
      <c r="S8" t="s">
        <v>1905</v>
      </c>
    </row>
    <row r="9" spans="2:19" ht="15.75" x14ac:dyDescent="0.25">
      <c r="B9" s="35">
        <v>7</v>
      </c>
      <c r="C9" s="36"/>
      <c r="D9" s="37" t="s">
        <v>1455</v>
      </c>
      <c r="E9" s="38"/>
      <c r="F9" s="35"/>
      <c r="G9" s="35"/>
      <c r="H9" s="35"/>
      <c r="I9" s="35"/>
      <c r="J9" s="35">
        <f>COUNTIF(data!Z2:Z315,7)</f>
        <v>33</v>
      </c>
    </row>
    <row r="10" spans="2:19" ht="15.75" x14ac:dyDescent="0.25">
      <c r="B10" s="40">
        <v>8</v>
      </c>
      <c r="C10" s="41"/>
      <c r="D10" s="42" t="s">
        <v>1460</v>
      </c>
      <c r="E10" s="43"/>
      <c r="F10" s="40"/>
      <c r="G10" s="40"/>
      <c r="H10" s="40"/>
      <c r="I10" s="40"/>
      <c r="J10" s="40">
        <f>COUNTIF(data!Z2:Z315,8)</f>
        <v>59</v>
      </c>
    </row>
    <row r="11" spans="2:19" x14ac:dyDescent="0.25">
      <c r="B11" s="49">
        <v>9</v>
      </c>
      <c r="C11" s="49"/>
      <c r="D11" s="50" t="s">
        <v>1458</v>
      </c>
      <c r="E11" s="50"/>
      <c r="F11" s="49"/>
      <c r="G11" s="49"/>
      <c r="H11" s="49"/>
      <c r="I11" s="49"/>
      <c r="J11" s="49">
        <f>COUNTIF(data!Z2:Z315,9)</f>
        <v>17</v>
      </c>
    </row>
    <row r="12" spans="2:19" ht="15.75" x14ac:dyDescent="0.25">
      <c r="B12" s="52">
        <v>10</v>
      </c>
      <c r="C12" s="53"/>
      <c r="D12" s="55" t="s">
        <v>1451</v>
      </c>
      <c r="E12" s="54"/>
      <c r="F12" s="52"/>
      <c r="G12" s="52"/>
      <c r="H12" s="52"/>
      <c r="I12" s="52"/>
      <c r="J12" s="52">
        <f>COUNTIF(data!Z2:Z315,10)</f>
        <v>3</v>
      </c>
    </row>
    <row r="13" spans="2:19" s="1" customFormat="1" ht="15.75" x14ac:dyDescent="0.25">
      <c r="B13" s="59">
        <v>11</v>
      </c>
      <c r="C13" s="59"/>
      <c r="D13" s="60" t="s">
        <v>1454</v>
      </c>
      <c r="E13" s="59"/>
      <c r="F13" s="59"/>
      <c r="G13" s="59"/>
      <c r="H13" s="59"/>
      <c r="I13" s="59"/>
      <c r="J13" s="59">
        <f>COUNTIF(data!Z2:Z315,11)</f>
        <v>7</v>
      </c>
    </row>
    <row r="14" spans="2:19" x14ac:dyDescent="0.25">
      <c r="B14" s="64">
        <v>12</v>
      </c>
      <c r="C14" s="65"/>
      <c r="D14" s="65" t="s">
        <v>1456</v>
      </c>
      <c r="E14" s="65"/>
      <c r="F14" s="65"/>
      <c r="G14" s="65"/>
      <c r="H14" s="65"/>
      <c r="I14" s="65"/>
      <c r="J14" s="64">
        <f>COUNTIF(data!Z2:Z315,12)</f>
        <v>5</v>
      </c>
    </row>
    <row r="15" spans="2:19" x14ac:dyDescent="0.25">
      <c r="B15" s="68">
        <v>13</v>
      </c>
      <c r="C15" s="69"/>
      <c r="D15" s="69" t="s">
        <v>1457</v>
      </c>
      <c r="E15" s="69"/>
      <c r="F15" s="69"/>
      <c r="G15" s="69"/>
      <c r="H15" s="69"/>
      <c r="I15" s="69"/>
      <c r="J15" s="68">
        <f>COUNTIF(data!Z2:Z315,13)</f>
        <v>7</v>
      </c>
    </row>
    <row r="16" spans="2:19" ht="15.75" x14ac:dyDescent="0.25">
      <c r="B16" s="72">
        <v>14</v>
      </c>
      <c r="C16" s="73"/>
      <c r="D16" s="74" t="s">
        <v>1459</v>
      </c>
      <c r="E16" s="73"/>
      <c r="F16" s="73"/>
      <c r="G16" s="73"/>
      <c r="H16" s="73"/>
      <c r="I16" s="73"/>
      <c r="J16" s="72">
        <f>COUNTIF(data!Z2:Z315,14)</f>
        <v>14</v>
      </c>
    </row>
    <row r="17" spans="2:17" x14ac:dyDescent="0.25">
      <c r="B17" s="1"/>
    </row>
    <row r="18" spans="2:17" x14ac:dyDescent="0.25">
      <c r="Q18">
        <f>COUNTIFS(data!AA2:AA335,"&lt;&gt;TRUE",data!AA2:AA335,"&lt;&gt;FALSE")</f>
        <v>1</v>
      </c>
    </row>
    <row r="19" spans="2:17" x14ac:dyDescent="0.25">
      <c r="P19" t="b">
        <v>1</v>
      </c>
      <c r="Q19">
        <f xml:space="preserve"> COUNTIF(data!AA2:AA335,TRUE)</f>
        <v>295</v>
      </c>
    </row>
    <row r="20" spans="2:17" x14ac:dyDescent="0.25">
      <c r="J20">
        <f xml:space="preserve"> SUM(J2:J16)</f>
        <v>306</v>
      </c>
      <c r="K20" s="58" t="s">
        <v>1453</v>
      </c>
      <c r="L20" s="63">
        <f>J20-J2</f>
        <v>289</v>
      </c>
      <c r="P20" t="b">
        <v>0</v>
      </c>
      <c r="Q20">
        <f xml:space="preserve"> COUNTIF(data!AA2:AA335,FALSE)</f>
        <v>38</v>
      </c>
    </row>
    <row r="21" spans="2:17" x14ac:dyDescent="0.25">
      <c r="Q21">
        <f xml:space="preserve"> SUM(Q19:Q20)</f>
        <v>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PINILLA GARCIA</cp:lastModifiedBy>
  <dcterms:created xsi:type="dcterms:W3CDTF">2025-08-04T07:34:02Z</dcterms:created>
  <dcterms:modified xsi:type="dcterms:W3CDTF">2026-01-29T12:57:53Z</dcterms:modified>
</cp:coreProperties>
</file>