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PROJECTS\ENDOCARDITIS\emboendo_stats\data\monitorizacion\"/>
    </mc:Choice>
  </mc:AlternateContent>
  <xr:revisionPtr revIDLastSave="0" documentId="13_ncr:1_{F31BFC3E-1761-48D3-8752-38BC90E2689C}" xr6:coauthVersionLast="47" xr6:coauthVersionMax="47" xr10:uidLastSave="{00000000-0000-0000-0000-000000000000}"/>
  <bookViews>
    <workbookView xWindow="-28920" yWindow="-120" windowWidth="29040" windowHeight="15720" xr2:uid="{00000000-000D-0000-FFFF-FFFF00000000}"/>
  </bookViews>
  <sheets>
    <sheet name="data" sheetId="1" r:id="rId1"/>
    <sheet name="results"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18" i="2" l="1"/>
  <c r="Q19" i="2"/>
  <c r="Q20" i="2"/>
  <c r="J16" i="2"/>
  <c r="J15" i="2"/>
  <c r="J14" i="2"/>
  <c r="J13" i="2"/>
  <c r="J12" i="2"/>
  <c r="J11" i="2"/>
  <c r="J2" i="2"/>
  <c r="J10" i="2"/>
  <c r="J9" i="2"/>
  <c r="J8" i="2"/>
  <c r="J7" i="2"/>
  <c r="J6" i="2"/>
  <c r="J5" i="2"/>
  <c r="J4" i="2"/>
  <c r="J3" i="2"/>
  <c r="Q21" i="2" l="1"/>
  <c r="J20" i="2"/>
  <c r="L20" i="2" s="1"/>
</calcChain>
</file>

<file path=xl/sharedStrings.xml><?xml version="1.0" encoding="utf-8"?>
<sst xmlns="http://schemas.openxmlformats.org/spreadsheetml/2006/main" count="3453" uniqueCount="2017">
  <si>
    <t>record_id</t>
  </si>
  <si>
    <t>PatientID</t>
  </si>
  <si>
    <t>diam_ao</t>
  </si>
  <si>
    <t>diam_mitral</t>
  </si>
  <si>
    <t>embolias_prev</t>
  </si>
  <si>
    <t>fecha_prev1</t>
  </si>
  <si>
    <t>fecha_prev2</t>
  </si>
  <si>
    <t>fecha_prev3</t>
  </si>
  <si>
    <t>fecha_diagnostico</t>
  </si>
  <si>
    <t>fecha_ingreso</t>
  </si>
  <si>
    <t>fecha_eco</t>
  </si>
  <si>
    <t>embolias_trat</t>
  </si>
  <si>
    <t>fecha_trat1</t>
  </si>
  <si>
    <t>fecha_trat2</t>
  </si>
  <si>
    <t>indicacion_cirugia</t>
  </si>
  <si>
    <t>fecha_cirugia</t>
  </si>
  <si>
    <t>fecha_muerte</t>
  </si>
  <si>
    <t>result</t>
  </si>
  <si>
    <t>HCSCM-1</t>
  </si>
  <si>
    <t>1226645</t>
  </si>
  <si>
    <t>2023-08-07</t>
  </si>
  <si>
    <t>2023-08-03</t>
  </si>
  <si>
    <t>2023-09-12</t>
  </si>
  <si>
    <t>HCSCM-2</t>
  </si>
  <si>
    <t>2571256</t>
  </si>
  <si>
    <t>2022-12-12</t>
  </si>
  <si>
    <t>2022-12-14</t>
  </si>
  <si>
    <t>2022-12-15</t>
  </si>
  <si>
    <t>HCSCM-3</t>
  </si>
  <si>
    <t>2510107</t>
  </si>
  <si>
    <t>2022-12-13</t>
  </si>
  <si>
    <t>2022-12-16</t>
  </si>
  <si>
    <t>2022-12-17</t>
  </si>
  <si>
    <t>HCSCM-4</t>
  </si>
  <si>
    <t>2574432</t>
  </si>
  <si>
    <t>2023-03-14</t>
  </si>
  <si>
    <t>2023-03-15</t>
  </si>
  <si>
    <t>HCSCM-5</t>
  </si>
  <si>
    <t>2638996</t>
  </si>
  <si>
    <t>2023-12-07</t>
  </si>
  <si>
    <t>2023-12-08</t>
  </si>
  <si>
    <t>2023-12-06</t>
  </si>
  <si>
    <t>2023-12-12</t>
  </si>
  <si>
    <t>2023-12-14</t>
  </si>
  <si>
    <t>HCSCM-6</t>
  </si>
  <si>
    <t>2718947</t>
  </si>
  <si>
    <t>2025-03-31</t>
  </si>
  <si>
    <t>2025-04-04</t>
  </si>
  <si>
    <t>2025-04-03</t>
  </si>
  <si>
    <t>2025-04-07</t>
  </si>
  <si>
    <t>HCSCM-7</t>
  </si>
  <si>
    <t>1734885</t>
  </si>
  <si>
    <t>2020-12-09</t>
  </si>
  <si>
    <t>2020-12-22</t>
  </si>
  <si>
    <t>HCSCM-8</t>
  </si>
  <si>
    <t>131977</t>
  </si>
  <si>
    <t>2021-02-21</t>
  </si>
  <si>
    <t>2021-02-22</t>
  </si>
  <si>
    <t>2021-02-24</t>
  </si>
  <si>
    <t>HCSCM-9</t>
  </si>
  <si>
    <t>1758093</t>
  </si>
  <si>
    <t>2021-02-10</t>
  </si>
  <si>
    <t>2021-02-08</t>
  </si>
  <si>
    <t>HCSCM-10</t>
  </si>
  <si>
    <t>2419082</t>
  </si>
  <si>
    <t>2020-07-01</t>
  </si>
  <si>
    <t>2020-07-03</t>
  </si>
  <si>
    <t>2020-06-29</t>
  </si>
  <si>
    <t>2020-07-04</t>
  </si>
  <si>
    <t>HCSCM-11</t>
  </si>
  <si>
    <t>2307720</t>
  </si>
  <si>
    <t>2021-06-19</t>
  </si>
  <si>
    <t>2021-06-20</t>
  </si>
  <si>
    <t>2021-06-18</t>
  </si>
  <si>
    <t>2021-06-21</t>
  </si>
  <si>
    <t>2021-06-23</t>
  </si>
  <si>
    <t>2021-08-23</t>
  </si>
  <si>
    <t>HCSCM-12</t>
  </si>
  <si>
    <t>1855739</t>
  </si>
  <si>
    <t>2020-09-29</t>
  </si>
  <si>
    <t>2020-08-21</t>
  </si>
  <si>
    <t>2020-09-24</t>
  </si>
  <si>
    <t>HCSCM-13</t>
  </si>
  <si>
    <t>2454406</t>
  </si>
  <si>
    <t>2021-04-13</t>
  </si>
  <si>
    <t>2024-04-14</t>
  </si>
  <si>
    <t>2024-04-13</t>
  </si>
  <si>
    <t>2021-04-19</t>
  </si>
  <si>
    <t>HCSCM-14</t>
  </si>
  <si>
    <t>1572014</t>
  </si>
  <si>
    <t>2021-04-01</t>
  </si>
  <si>
    <t>2021-04-05</t>
  </si>
  <si>
    <t>2021-03-22</t>
  </si>
  <si>
    <t>2021-04-08</t>
  </si>
  <si>
    <t>2021-04-09</t>
  </si>
  <si>
    <t>HCSCM-15</t>
  </si>
  <si>
    <t>2400470</t>
  </si>
  <si>
    <t>2021-02-11</t>
  </si>
  <si>
    <t>2021-02-05</t>
  </si>
  <si>
    <t>2021-02-18</t>
  </si>
  <si>
    <t>2021-02-19</t>
  </si>
  <si>
    <t>HCSCM-16</t>
  </si>
  <si>
    <t>819229</t>
  </si>
  <si>
    <t>2022-06-15</t>
  </si>
  <si>
    <t>2022-06-20</t>
  </si>
  <si>
    <t>2022-06-29</t>
  </si>
  <si>
    <t>HCSCM-17</t>
  </si>
  <si>
    <t>2534956</t>
  </si>
  <si>
    <t>2022-05-28</t>
  </si>
  <si>
    <t>2022-05-17</t>
  </si>
  <si>
    <t>2022-05-31</t>
  </si>
  <si>
    <t>2022-05-26</t>
  </si>
  <si>
    <t>HCSCM-18</t>
  </si>
  <si>
    <t>2022-04-24</t>
  </si>
  <si>
    <t>2022-04-17</t>
  </si>
  <si>
    <t>2022-04-30</t>
  </si>
  <si>
    <t>HCSCM-19</t>
  </si>
  <si>
    <t>562464</t>
  </si>
  <si>
    <t>2021-12-14</t>
  </si>
  <si>
    <t>2021-12-27</t>
  </si>
  <si>
    <t>HCSCM-20</t>
  </si>
  <si>
    <t>2739127</t>
  </si>
  <si>
    <t>2025-04-09</t>
  </si>
  <si>
    <t>2025-04-22</t>
  </si>
  <si>
    <t>2025-05-05</t>
  </si>
  <si>
    <t>2025-04-25</t>
  </si>
  <si>
    <t>HCSCM-21</t>
  </si>
  <si>
    <t>1370986</t>
  </si>
  <si>
    <t>2024-01-01</t>
  </si>
  <si>
    <t>2023-12-30</t>
  </si>
  <si>
    <t>2024-01-02</t>
  </si>
  <si>
    <t>2024-01-03</t>
  </si>
  <si>
    <t>2024-01-23</t>
  </si>
  <si>
    <t>HCSCM-22</t>
  </si>
  <si>
    <t>1740014</t>
  </si>
  <si>
    <t>2025-04-27</t>
  </si>
  <si>
    <t>2025-04-30</t>
  </si>
  <si>
    <t>2025-05-06</t>
  </si>
  <si>
    <t>HCSCM-23</t>
  </si>
  <si>
    <t>219913</t>
  </si>
  <si>
    <t>2025-04-14</t>
  </si>
  <si>
    <t>2025-04-15</t>
  </si>
  <si>
    <t>2025-05-14</t>
  </si>
  <si>
    <t>HCSCM-24</t>
  </si>
  <si>
    <t>2021-07-26</t>
  </si>
  <si>
    <t>2021-08-06</t>
  </si>
  <si>
    <t>HCSCM-25</t>
  </si>
  <si>
    <t>2021-04-14</t>
  </si>
  <si>
    <t>2021-04-16</t>
  </si>
  <si>
    <t>HCSCM-26</t>
  </si>
  <si>
    <t>2624238</t>
  </si>
  <si>
    <t>2023-09-22</t>
  </si>
  <si>
    <t>2023-09-19</t>
  </si>
  <si>
    <t>2023-09-25</t>
  </si>
  <si>
    <t>2023-09-26</t>
  </si>
  <si>
    <t>HCSCM-27</t>
  </si>
  <si>
    <t>2059319</t>
  </si>
  <si>
    <t>2023-08-30</t>
  </si>
  <si>
    <t>2023-08-29</t>
  </si>
  <si>
    <t>HCSCM-28</t>
  </si>
  <si>
    <t>560742</t>
  </si>
  <si>
    <t>2023-06-10</t>
  </si>
  <si>
    <t>2023-06-09</t>
  </si>
  <si>
    <t>2023-06-14</t>
  </si>
  <si>
    <t>HCSCM-29</t>
  </si>
  <si>
    <t>2599036</t>
  </si>
  <si>
    <t>2023-05-06</t>
  </si>
  <si>
    <t>2023-05-05</t>
  </si>
  <si>
    <t>2023-05-07</t>
  </si>
  <si>
    <t>2023-05-12</t>
  </si>
  <si>
    <t>2023-05-25</t>
  </si>
  <si>
    <t>HCSCM-30</t>
  </si>
  <si>
    <t>2575725</t>
  </si>
  <si>
    <t>2023-05-10</t>
  </si>
  <si>
    <t>2023-05-09</t>
  </si>
  <si>
    <t>2023-05-11</t>
  </si>
  <si>
    <t>HCSCM-31</t>
  </si>
  <si>
    <t>2435411</t>
  </si>
  <si>
    <t>2023-02-20</t>
  </si>
  <si>
    <t>2023-02-16</t>
  </si>
  <si>
    <t>2023-02-21</t>
  </si>
  <si>
    <t>HCSCM-32</t>
  </si>
  <si>
    <t>2511968</t>
  </si>
  <si>
    <t>2022-11-07</t>
  </si>
  <si>
    <t>2022-11-02</t>
  </si>
  <si>
    <t>2022-11-18</t>
  </si>
  <si>
    <t>2022-11-21</t>
  </si>
  <si>
    <t>HCSCM-33</t>
  </si>
  <si>
    <t>2075675</t>
  </si>
  <si>
    <t>2023-02-13</t>
  </si>
  <si>
    <t>2023-03-06</t>
  </si>
  <si>
    <t>HCSCM-34</t>
  </si>
  <si>
    <t>2572887</t>
  </si>
  <si>
    <t>2023-01-10</t>
  </si>
  <si>
    <t>2023-01-11</t>
  </si>
  <si>
    <t>HCSCM-35</t>
  </si>
  <si>
    <t>2564063</t>
  </si>
  <si>
    <t>2022-11-04</t>
  </si>
  <si>
    <t>2022-11-05</t>
  </si>
  <si>
    <t>HCSCM-36</t>
  </si>
  <si>
    <t>83631</t>
  </si>
  <si>
    <t>2022-08-09</t>
  </si>
  <si>
    <t>2022-08-10</t>
  </si>
  <si>
    <t>HCSCM-37</t>
  </si>
  <si>
    <t>1467340</t>
  </si>
  <si>
    <t>2021-10-10</t>
  </si>
  <si>
    <t>2021-10-13</t>
  </si>
  <si>
    <t>2021-10-18</t>
  </si>
  <si>
    <t>HCSCM-38</t>
  </si>
  <si>
    <t>704042</t>
  </si>
  <si>
    <t>2021-12-22</t>
  </si>
  <si>
    <t>2021-12-19</t>
  </si>
  <si>
    <t>HCSCM-39</t>
  </si>
  <si>
    <t>489385</t>
  </si>
  <si>
    <t>2021-09-22</t>
  </si>
  <si>
    <t>HCSCM-40</t>
  </si>
  <si>
    <t>717292</t>
  </si>
  <si>
    <t>2022-03-29</t>
  </si>
  <si>
    <t>2022-03-25</t>
  </si>
  <si>
    <t>HCSCM-41</t>
  </si>
  <si>
    <t>2024-12-19</t>
  </si>
  <si>
    <t>2024-12-17</t>
  </si>
  <si>
    <t>2024-12-27</t>
  </si>
  <si>
    <t>2025-01-02</t>
  </si>
  <si>
    <t>HCSCM-42</t>
  </si>
  <si>
    <t>481131</t>
  </si>
  <si>
    <t>2024-12-20</t>
  </si>
  <si>
    <t>2024-12-10</t>
  </si>
  <si>
    <t>HCSCM-43</t>
  </si>
  <si>
    <t>762372</t>
  </si>
  <si>
    <t>2022-02-07</t>
  </si>
  <si>
    <t>2022-02-04</t>
  </si>
  <si>
    <t>2022-02-10</t>
  </si>
  <si>
    <t>HCSCM-44</t>
  </si>
  <si>
    <t>1279866</t>
  </si>
  <si>
    <t>2022-01-24</t>
  </si>
  <si>
    <t>2022-01-18</t>
  </si>
  <si>
    <t>HCSCM-45</t>
  </si>
  <si>
    <t>1288296</t>
  </si>
  <si>
    <t>2021-12-28</t>
  </si>
  <si>
    <t>2021-12-29</t>
  </si>
  <si>
    <t>2022-01-03</t>
  </si>
  <si>
    <t>2022-02-16</t>
  </si>
  <si>
    <t>HCSCM-46</t>
  </si>
  <si>
    <t>2498702</t>
  </si>
  <si>
    <t>2021-12-12</t>
  </si>
  <si>
    <t>2021-12-11</t>
  </si>
  <si>
    <t>2021-12-16</t>
  </si>
  <si>
    <t>HCSCM-47</t>
  </si>
  <si>
    <t>261969</t>
  </si>
  <si>
    <t>HCSCM-48</t>
  </si>
  <si>
    <t>2021-10-02</t>
  </si>
  <si>
    <t>2021-10-04</t>
  </si>
  <si>
    <t>HCSCM-49</t>
  </si>
  <si>
    <t>1983667</t>
  </si>
  <si>
    <t>2021-12-15</t>
  </si>
  <si>
    <t>HCSCM-50</t>
  </si>
  <si>
    <t>165368</t>
  </si>
  <si>
    <t>2021-11-07</t>
  </si>
  <si>
    <t>2021-11-10</t>
  </si>
  <si>
    <t>2021-11-23</t>
  </si>
  <si>
    <t>HCUVA-1</t>
  </si>
  <si>
    <t>HGTPB-1</t>
  </si>
  <si>
    <t>1000</t>
  </si>
  <si>
    <t>2024-02-16</t>
  </si>
  <si>
    <t>2024-02-14</t>
  </si>
  <si>
    <t>2024-02-23</t>
  </si>
  <si>
    <t>2024-03-05</t>
  </si>
  <si>
    <t>HGTPB-2</t>
  </si>
  <si>
    <t>1001</t>
  </si>
  <si>
    <t>2023-12-21</t>
  </si>
  <si>
    <t>2023-12-22</t>
  </si>
  <si>
    <t>HGTPB-3</t>
  </si>
  <si>
    <t>1003</t>
  </si>
  <si>
    <t>2023-10-27</t>
  </si>
  <si>
    <t>2023-10-31</t>
  </si>
  <si>
    <t>HGTPB-4</t>
  </si>
  <si>
    <t>15521132</t>
  </si>
  <si>
    <t>2023-05-03</t>
  </si>
  <si>
    <t>2024-08-03</t>
  </si>
  <si>
    <t>HGTPB-5</t>
  </si>
  <si>
    <t>19801477</t>
  </si>
  <si>
    <t>2023-08-31</t>
  </si>
  <si>
    <t>2023-08-10</t>
  </si>
  <si>
    <t>2023-09-06</t>
  </si>
  <si>
    <t>HGTPB-6</t>
  </si>
  <si>
    <t>21246909</t>
  </si>
  <si>
    <t>2023-07-27</t>
  </si>
  <si>
    <t>2023-07-09</t>
  </si>
  <si>
    <t>2023-08-04</t>
  </si>
  <si>
    <t>HGTPB-7</t>
  </si>
  <si>
    <t>20600121</t>
  </si>
  <si>
    <t>2023-05-08</t>
  </si>
  <si>
    <t>HGTPB-8</t>
  </si>
  <si>
    <t>14869633</t>
  </si>
  <si>
    <t>2024-03-23</t>
  </si>
  <si>
    <t>2023-03-21</t>
  </si>
  <si>
    <t>2023-03-23</t>
  </si>
  <si>
    <t>2023-04-03</t>
  </si>
  <si>
    <t>HGTPB-9</t>
  </si>
  <si>
    <t>11411429</t>
  </si>
  <si>
    <t>2023-03-07</t>
  </si>
  <si>
    <t>2023-03-29</t>
  </si>
  <si>
    <t>HGTPB-10</t>
  </si>
  <si>
    <t>13100376</t>
  </si>
  <si>
    <t>2023-03-09</t>
  </si>
  <si>
    <t>2023-03-13</t>
  </si>
  <si>
    <t>2023-03-22</t>
  </si>
  <si>
    <t>HGTPB-11</t>
  </si>
  <si>
    <t>591857</t>
  </si>
  <si>
    <t>2022-12-29</t>
  </si>
  <si>
    <t>2023-01-12</t>
  </si>
  <si>
    <t>HGTPB-12</t>
  </si>
  <si>
    <t>18883658</t>
  </si>
  <si>
    <t>2022-12-25</t>
  </si>
  <si>
    <t>2023-01-02</t>
  </si>
  <si>
    <t>2023-01-04</t>
  </si>
  <si>
    <t>HGTPB-13</t>
  </si>
  <si>
    <t>10248043</t>
  </si>
  <si>
    <t>2024-03-28</t>
  </si>
  <si>
    <t>2024-03-12</t>
  </si>
  <si>
    <t>2024-03-18</t>
  </si>
  <si>
    <t>HGTPB-14</t>
  </si>
  <si>
    <t>141907</t>
  </si>
  <si>
    <t>2022-03-09</t>
  </si>
  <si>
    <t>2022-02-24</t>
  </si>
  <si>
    <t>HGTPB-15</t>
  </si>
  <si>
    <t>14883570</t>
  </si>
  <si>
    <t>2022-10-28</t>
  </si>
  <si>
    <t>2022-10-26</t>
  </si>
  <si>
    <t>2022-11-09</t>
  </si>
  <si>
    <t>2022-11-10</t>
  </si>
  <si>
    <t>2022-11-22</t>
  </si>
  <si>
    <t>HGTPB-16</t>
  </si>
  <si>
    <t>10659957</t>
  </si>
  <si>
    <t>2022-02-18</t>
  </si>
  <si>
    <t>2022-02-14</t>
  </si>
  <si>
    <t>HGTPB-17</t>
  </si>
  <si>
    <t>568081</t>
  </si>
  <si>
    <t>2022-02-22</t>
  </si>
  <si>
    <t>2022-01-23</t>
  </si>
  <si>
    <t>2022-03-16</t>
  </si>
  <si>
    <t>HGTPB-18</t>
  </si>
  <si>
    <t>19972629</t>
  </si>
  <si>
    <t>2021-12-03</t>
  </si>
  <si>
    <t>2021-11-29</t>
  </si>
  <si>
    <t>2021-12-09</t>
  </si>
  <si>
    <t>2021-12-13</t>
  </si>
  <si>
    <t>HGTPB-19</t>
  </si>
  <si>
    <t>2021-08-03</t>
  </si>
  <si>
    <t>2021-07-30</t>
  </si>
  <si>
    <t>2021-08-11</t>
  </si>
  <si>
    <t>HGTPB-20</t>
  </si>
  <si>
    <t>15953358</t>
  </si>
  <si>
    <t>2021-10-01</t>
  </si>
  <si>
    <t>2021-09-28</t>
  </si>
  <si>
    <t>2021-09-29</t>
  </si>
  <si>
    <t>HGTPB-21</t>
  </si>
  <si>
    <t>607886</t>
  </si>
  <si>
    <t>2021-08-26</t>
  </si>
  <si>
    <t>2021-08-24</t>
  </si>
  <si>
    <t>HGTPB-22</t>
  </si>
  <si>
    <t>567218</t>
  </si>
  <si>
    <t>2024-04-30</t>
  </si>
  <si>
    <t>2024-05-02</t>
  </si>
  <si>
    <t>2024-05-03</t>
  </si>
  <si>
    <t>HGTPB-23</t>
  </si>
  <si>
    <t>15188846</t>
  </si>
  <si>
    <t>2022-10-20</t>
  </si>
  <si>
    <t>2022-10-18</t>
  </si>
  <si>
    <t>HGTPB-24</t>
  </si>
  <si>
    <t>2022-11-12</t>
  </si>
  <si>
    <t>2022-11-15</t>
  </si>
  <si>
    <t>2022-11-13</t>
  </si>
  <si>
    <t>2022-11-23</t>
  </si>
  <si>
    <t>2022-11-28</t>
  </si>
  <si>
    <t>HGTPB-25</t>
  </si>
  <si>
    <t>330039</t>
  </si>
  <si>
    <t>2022-11-25</t>
  </si>
  <si>
    <t>HGTPB-26</t>
  </si>
  <si>
    <t>2022-12-05</t>
  </si>
  <si>
    <t>2022-12-19</t>
  </si>
  <si>
    <t>HGTPB-27</t>
  </si>
  <si>
    <t>2022-12-21</t>
  </si>
  <si>
    <t>2022-12-30</t>
  </si>
  <si>
    <t>HGTPB-28</t>
  </si>
  <si>
    <t>2023-02-11</t>
  </si>
  <si>
    <t>HGTPB-29</t>
  </si>
  <si>
    <t>2023-05-19</t>
  </si>
  <si>
    <t>2023-05-16</t>
  </si>
  <si>
    <t>HGTPB-30</t>
  </si>
  <si>
    <t>2023-06-29</t>
  </si>
  <si>
    <t>2023-06-15</t>
  </si>
  <si>
    <t>HGTPB-31</t>
  </si>
  <si>
    <t>HGTPB-31_REVISADO</t>
  </si>
  <si>
    <t>2023-12-03</t>
  </si>
  <si>
    <t>HGTPB-32</t>
  </si>
  <si>
    <t>HGTPB-32_REVISADO</t>
  </si>
  <si>
    <t>2023-12-15</t>
  </si>
  <si>
    <t>2023-12-19</t>
  </si>
  <si>
    <t>2023-12-23</t>
  </si>
  <si>
    <t>2024-02-09</t>
  </si>
  <si>
    <t>HGTPB-33</t>
  </si>
  <si>
    <t>HGTPB-33_REVISADO</t>
  </si>
  <si>
    <t>2024-03-26</t>
  </si>
  <si>
    <t>2024-03-19</t>
  </si>
  <si>
    <t>HGTPB-34</t>
  </si>
  <si>
    <t>10852546</t>
  </si>
  <si>
    <t>2024-05-17</t>
  </si>
  <si>
    <t>2024-05-16</t>
  </si>
  <si>
    <t>HGTPB-35</t>
  </si>
  <si>
    <t>2024-05-23</t>
  </si>
  <si>
    <t>2024-05-20</t>
  </si>
  <si>
    <t>HGTPB-36</t>
  </si>
  <si>
    <t>2023-02-28</t>
  </si>
  <si>
    <t>2023-02-15</t>
  </si>
  <si>
    <t>2023-03-01</t>
  </si>
  <si>
    <t>HGTPB-37</t>
  </si>
  <si>
    <t>2022-11-14</t>
  </si>
  <si>
    <t>HGTPB-38</t>
  </si>
  <si>
    <t>2024-06-18</t>
  </si>
  <si>
    <t>2024-06-17</t>
  </si>
  <si>
    <t>2024-06-20</t>
  </si>
  <si>
    <t>2024-07-15</t>
  </si>
  <si>
    <t>HGTPB-39</t>
  </si>
  <si>
    <t>2024-07-09</t>
  </si>
  <si>
    <t>2024-07-08</t>
  </si>
  <si>
    <t>2024-07-10</t>
  </si>
  <si>
    <t>2024-07-12</t>
  </si>
  <si>
    <t>HGTPB-40</t>
  </si>
  <si>
    <t>2024-07-29</t>
  </si>
  <si>
    <t>2024-07-23</t>
  </si>
  <si>
    <t>HGTPB-41</t>
  </si>
  <si>
    <t>2024-08-05</t>
  </si>
  <si>
    <t>2024-09-17</t>
  </si>
  <si>
    <t>HGTPB-42</t>
  </si>
  <si>
    <t>2024-08-26</t>
  </si>
  <si>
    <t>2024-08-20</t>
  </si>
  <si>
    <t>2024-08-23</t>
  </si>
  <si>
    <t>HGTPB-43</t>
  </si>
  <si>
    <t>2024-08-08</t>
  </si>
  <si>
    <t>2024-08-14</t>
  </si>
  <si>
    <t>HGTPB-44</t>
  </si>
  <si>
    <t>2024-09-25</t>
  </si>
  <si>
    <t>2024-09-08</t>
  </si>
  <si>
    <t>HGTPB-45</t>
  </si>
  <si>
    <t>2024-12-05</t>
  </si>
  <si>
    <t>2024-11-20</t>
  </si>
  <si>
    <t>2024-12-09</t>
  </si>
  <si>
    <t>HGTPB-46</t>
  </si>
  <si>
    <t>570696</t>
  </si>
  <si>
    <t>2024-12-29</t>
  </si>
  <si>
    <t>HGTPB-47</t>
  </si>
  <si>
    <t>2025-03-14</t>
  </si>
  <si>
    <t>2025-03-10</t>
  </si>
  <si>
    <t>2025-03-17</t>
  </si>
  <si>
    <t>HGTPB-48</t>
  </si>
  <si>
    <t>2025-02-17</t>
  </si>
  <si>
    <t>2025-02-25</t>
  </si>
  <si>
    <t>HGTPB-49</t>
  </si>
  <si>
    <t>2025-02-21</t>
  </si>
  <si>
    <t>2025-02-28</t>
  </si>
  <si>
    <t>HGTPB-50</t>
  </si>
  <si>
    <t>2025-01-29</t>
  </si>
  <si>
    <t>2025-01-17</t>
  </si>
  <si>
    <t>2025-02-07</t>
  </si>
  <si>
    <t>HULAL-1</t>
  </si>
  <si>
    <t>2458671</t>
  </si>
  <si>
    <t>2020-12-02</t>
  </si>
  <si>
    <t>2020-12-03</t>
  </si>
  <si>
    <t>HULAL-2</t>
  </si>
  <si>
    <t>2159300</t>
  </si>
  <si>
    <t>2021-01-22</t>
  </si>
  <si>
    <t>2021-01-28</t>
  </si>
  <si>
    <t>HULAL-3</t>
  </si>
  <si>
    <t>2740919</t>
  </si>
  <si>
    <t>2024-05-28</t>
  </si>
  <si>
    <t>2024-05-29</t>
  </si>
  <si>
    <t>2024-05-27</t>
  </si>
  <si>
    <t>2024-06-07</t>
  </si>
  <si>
    <t>HULAL-4</t>
  </si>
  <si>
    <t>2702175</t>
  </si>
  <si>
    <t>2024-06-19</t>
  </si>
  <si>
    <t>2024-06-28</t>
  </si>
  <si>
    <t>HULAL-5</t>
  </si>
  <si>
    <t>2228902</t>
  </si>
  <si>
    <t>2024-06-03</t>
  </si>
  <si>
    <t>HULAL-6</t>
  </si>
  <si>
    <t>2488582</t>
  </si>
  <si>
    <t>2024-05-24</t>
  </si>
  <si>
    <t>HULAL-7</t>
  </si>
  <si>
    <t>2096816</t>
  </si>
  <si>
    <t>2024-04-03</t>
  </si>
  <si>
    <t>2024-04-10</t>
  </si>
  <si>
    <t>HULAL-8</t>
  </si>
  <si>
    <t>2427767</t>
  </si>
  <si>
    <t>2024-03-11</t>
  </si>
  <si>
    <t>2024-03-09</t>
  </si>
  <si>
    <t>2024-03-13</t>
  </si>
  <si>
    <t>2024-04-15</t>
  </si>
  <si>
    <t>HULAL-9</t>
  </si>
  <si>
    <t>2107639</t>
  </si>
  <si>
    <t>2023-11-07</t>
  </si>
  <si>
    <t>2023-10-30</t>
  </si>
  <si>
    <t>2023-12-26</t>
  </si>
  <si>
    <t>HULAL-10</t>
  </si>
  <si>
    <t>2243457</t>
  </si>
  <si>
    <t>2023-07-11</t>
  </si>
  <si>
    <t>2023-07-10</t>
  </si>
  <si>
    <t>2023-07-12</t>
  </si>
  <si>
    <t>HULAL-11</t>
  </si>
  <si>
    <t>2183094</t>
  </si>
  <si>
    <t>2023-07-06</t>
  </si>
  <si>
    <t>2023-06-24</t>
  </si>
  <si>
    <t>HULAL-12</t>
  </si>
  <si>
    <t>2288670</t>
  </si>
  <si>
    <t>2022-05-06</t>
  </si>
  <si>
    <t>2022-05-04</t>
  </si>
  <si>
    <t>2022-05-12</t>
  </si>
  <si>
    <t>HULAL-13</t>
  </si>
  <si>
    <t>2357806</t>
  </si>
  <si>
    <t>2022-02-27</t>
  </si>
  <si>
    <t>2022-03-15</t>
  </si>
  <si>
    <t>2022-03-20</t>
  </si>
  <si>
    <t>HULAL-14</t>
  </si>
  <si>
    <t>2216498</t>
  </si>
  <si>
    <t>2021-12-01</t>
  </si>
  <si>
    <t>2021-12-07</t>
  </si>
  <si>
    <t>HULAL-15</t>
  </si>
  <si>
    <t>2290594</t>
  </si>
  <si>
    <t>2021-11-30</t>
  </si>
  <si>
    <t>HULAL-16</t>
  </si>
  <si>
    <t>2233210</t>
  </si>
  <si>
    <t>2021-11-22</t>
  </si>
  <si>
    <t>HULAL-17</t>
  </si>
  <si>
    <t>2246482</t>
  </si>
  <si>
    <t>2021-10-06</t>
  </si>
  <si>
    <t>2021-09-15</t>
  </si>
  <si>
    <t>HULAL-18</t>
  </si>
  <si>
    <t>2064940</t>
  </si>
  <si>
    <t>2021-07-07</t>
  </si>
  <si>
    <t>2021-07-10</t>
  </si>
  <si>
    <t>2021-07-08</t>
  </si>
  <si>
    <t>2021-07-13</t>
  </si>
  <si>
    <t>HULAL-19</t>
  </si>
  <si>
    <t>2029578</t>
  </si>
  <si>
    <t>2021-05-03</t>
  </si>
  <si>
    <t>2021-04-17</t>
  </si>
  <si>
    <t>2021-05-18</t>
  </si>
  <si>
    <t>HULAL-20</t>
  </si>
  <si>
    <t>2049922</t>
  </si>
  <si>
    <t>2021-03-31</t>
  </si>
  <si>
    <t>2021-03-23</t>
  </si>
  <si>
    <t>2021-04-03</t>
  </si>
  <si>
    <t>HULAL-21</t>
  </si>
  <si>
    <t>2289489</t>
  </si>
  <si>
    <t>2021-02-23</t>
  </si>
  <si>
    <t>2021-03-02</t>
  </si>
  <si>
    <t>HULAL-22</t>
  </si>
  <si>
    <t>2359559</t>
  </si>
  <si>
    <t>2024-07-11</t>
  </si>
  <si>
    <t>2024-07-02</t>
  </si>
  <si>
    <t>HULAL-23</t>
  </si>
  <si>
    <t>2486399</t>
  </si>
  <si>
    <t>2020-11-15</t>
  </si>
  <si>
    <t>2020-11-27</t>
  </si>
  <si>
    <t>2020-11-16</t>
  </si>
  <si>
    <t>2020-12-14</t>
  </si>
  <si>
    <t>HULAL-24</t>
  </si>
  <si>
    <t>2174585</t>
  </si>
  <si>
    <t>2021-07-23</t>
  </si>
  <si>
    <t>HULAL-25</t>
  </si>
  <si>
    <t>2625910</t>
  </si>
  <si>
    <t>2021-07-22</t>
  </si>
  <si>
    <t>2021-08-01</t>
  </si>
  <si>
    <t>HULAL-26</t>
  </si>
  <si>
    <t>2262005</t>
  </si>
  <si>
    <t>HULAL-27</t>
  </si>
  <si>
    <t>2008977</t>
  </si>
  <si>
    <t>2022-05-20</t>
  </si>
  <si>
    <t>2020-05-22</t>
  </si>
  <si>
    <t>2020-05-20</t>
  </si>
  <si>
    <t>2020-06-04</t>
  </si>
  <si>
    <t>HULAL-28</t>
  </si>
  <si>
    <t>2396753</t>
  </si>
  <si>
    <t>2018-01-13</t>
  </si>
  <si>
    <t>2018-01-09</t>
  </si>
  <si>
    <t>2018-01-16</t>
  </si>
  <si>
    <t>2018-01-18</t>
  </si>
  <si>
    <t>HULAL-29</t>
  </si>
  <si>
    <t>2314368</t>
  </si>
  <si>
    <t>2020-03-25</t>
  </si>
  <si>
    <t>2020-03-23</t>
  </si>
  <si>
    <t>2020-03-26</t>
  </si>
  <si>
    <t>2020-04-04</t>
  </si>
  <si>
    <t>HULAL-30</t>
  </si>
  <si>
    <t>HULAL30IDModify</t>
  </si>
  <si>
    <t>2020-06-30</t>
  </si>
  <si>
    <t>2020-06-19</t>
  </si>
  <si>
    <t>2020-07-09</t>
  </si>
  <si>
    <t>2020-07-10</t>
  </si>
  <si>
    <t>HULAL-31</t>
  </si>
  <si>
    <t>2279866</t>
  </si>
  <si>
    <t>2023-06-30</t>
  </si>
  <si>
    <t>2023-06-26</t>
  </si>
  <si>
    <t>2023-07-03</t>
  </si>
  <si>
    <t>2023-07-04</t>
  </si>
  <si>
    <t>HULAL-32</t>
  </si>
  <si>
    <t>2410587</t>
  </si>
  <si>
    <t>2022-06-08</t>
  </si>
  <si>
    <t>2023-02-09</t>
  </si>
  <si>
    <t>HULAL-33</t>
  </si>
  <si>
    <t>2607295</t>
  </si>
  <si>
    <t>2022-11-17</t>
  </si>
  <si>
    <t>2022-11-29</t>
  </si>
  <si>
    <t>HULAL-34</t>
  </si>
  <si>
    <t>2344333</t>
  </si>
  <si>
    <t>2016-06-13</t>
  </si>
  <si>
    <t>2016-06-09</t>
  </si>
  <si>
    <t>HULAL-35</t>
  </si>
  <si>
    <t>HULAL-36</t>
  </si>
  <si>
    <t>2114679</t>
  </si>
  <si>
    <t>2017-11-27</t>
  </si>
  <si>
    <t>2017-12-07</t>
  </si>
  <si>
    <t>2017-11-29</t>
  </si>
  <si>
    <t>2017-12-11</t>
  </si>
  <si>
    <t>HULAL-37</t>
  </si>
  <si>
    <t>2102218</t>
  </si>
  <si>
    <t>2020-06-08</t>
  </si>
  <si>
    <t>2020-06-07</t>
  </si>
  <si>
    <t>2020-06-09</t>
  </si>
  <si>
    <t>HULAL-38</t>
  </si>
  <si>
    <t>2123606</t>
  </si>
  <si>
    <t>2020-06-03</t>
  </si>
  <si>
    <t>2020-05-30</t>
  </si>
  <si>
    <t>2020-06-05</t>
  </si>
  <si>
    <t>2020-06-20</t>
  </si>
  <si>
    <t>HULAL-39</t>
  </si>
  <si>
    <t>2528912</t>
  </si>
  <si>
    <t>2020-04-14</t>
  </si>
  <si>
    <t>2020-04-02</t>
  </si>
  <si>
    <t>HULAL-40</t>
  </si>
  <si>
    <t>2088688</t>
  </si>
  <si>
    <t>2024-06-12</t>
  </si>
  <si>
    <t>2024-07-18</t>
  </si>
  <si>
    <t>2024-07-26</t>
  </si>
  <si>
    <t>2024-08-25</t>
  </si>
  <si>
    <t>HULAL-41</t>
  </si>
  <si>
    <t>2731223</t>
  </si>
  <si>
    <t>2024-08-01</t>
  </si>
  <si>
    <t>2024-07-30</t>
  </si>
  <si>
    <t>2024-08-12</t>
  </si>
  <si>
    <t>2024-10-08</t>
  </si>
  <si>
    <t>HULAL-42</t>
  </si>
  <si>
    <t>2673186</t>
  </si>
  <si>
    <t>HULAL-43</t>
  </si>
  <si>
    <t>2273853</t>
  </si>
  <si>
    <t>HULAL-44</t>
  </si>
  <si>
    <t>2182871</t>
  </si>
  <si>
    <t>2024-10-21</t>
  </si>
  <si>
    <t>2024-10-11</t>
  </si>
  <si>
    <t>2024-11-18</t>
  </si>
  <si>
    <t>2024-11-28</t>
  </si>
  <si>
    <t>HULAL-45</t>
  </si>
  <si>
    <t>2119377</t>
  </si>
  <si>
    <t>2024-12-13</t>
  </si>
  <si>
    <t>HULAL-46</t>
  </si>
  <si>
    <t>2230647</t>
  </si>
  <si>
    <t>2024-12-14</t>
  </si>
  <si>
    <t>2024-12-16</t>
  </si>
  <si>
    <t>2025-01-19</t>
  </si>
  <si>
    <t>HULAL-47</t>
  </si>
  <si>
    <t>HULAL-48</t>
  </si>
  <si>
    <t>2321995</t>
  </si>
  <si>
    <t>2025-02-12</t>
  </si>
  <si>
    <t>2025-02-08</t>
  </si>
  <si>
    <t>2025-02-13</t>
  </si>
  <si>
    <t>HULAL-49</t>
  </si>
  <si>
    <t>2053180</t>
  </si>
  <si>
    <t>2025-02-06</t>
  </si>
  <si>
    <t>2025-01-11</t>
  </si>
  <si>
    <t>2025-03-07</t>
  </si>
  <si>
    <t>HULAL-50</t>
  </si>
  <si>
    <t>2168436</t>
  </si>
  <si>
    <t>2025-03-03</t>
  </si>
  <si>
    <t>2025-01-31</t>
  </si>
  <si>
    <t>HULAL-51</t>
  </si>
  <si>
    <t>2765503</t>
  </si>
  <si>
    <t>2024-04-11</t>
  </si>
  <si>
    <t>2025-04-08</t>
  </si>
  <si>
    <t>2025-04-11</t>
  </si>
  <si>
    <t>HULAL-52</t>
  </si>
  <si>
    <t>2025-04-23</t>
  </si>
  <si>
    <t>2025-02-11</t>
  </si>
  <si>
    <t>HULAL-53</t>
  </si>
  <si>
    <t>HULAL-54</t>
  </si>
  <si>
    <t>2025-07-03</t>
  </si>
  <si>
    <t>2025-06-26</t>
  </si>
  <si>
    <t>HULAL-55</t>
  </si>
  <si>
    <t>2025-07-02</t>
  </si>
  <si>
    <t>2025-06-25</t>
  </si>
  <si>
    <t>2025-07-09</t>
  </si>
  <si>
    <t>HULAL-56</t>
  </si>
  <si>
    <t>2025-07-01</t>
  </si>
  <si>
    <t>2025-06-17</t>
  </si>
  <si>
    <t>HULAL-57</t>
  </si>
  <si>
    <t>HULAL-58</t>
  </si>
  <si>
    <t>2025-06-19</t>
  </si>
  <si>
    <t>HULAL-59</t>
  </si>
  <si>
    <t>2025-06-09</t>
  </si>
  <si>
    <t>HULAL-60</t>
  </si>
  <si>
    <t>2025-06-18</t>
  </si>
  <si>
    <t>2025-06-07</t>
  </si>
  <si>
    <t>HULAL-61</t>
  </si>
  <si>
    <t>2025-06-06</t>
  </si>
  <si>
    <t>HULAL-62</t>
  </si>
  <si>
    <t>2025-05-28</t>
  </si>
  <si>
    <t>2025-05-27</t>
  </si>
  <si>
    <t>2025-06-02</t>
  </si>
  <si>
    <t>HULAL-63</t>
  </si>
  <si>
    <t>2025-07-07</t>
  </si>
  <si>
    <t>2025-07-11</t>
  </si>
  <si>
    <t>2025-07-08</t>
  </si>
  <si>
    <t>HULAL-64</t>
  </si>
  <si>
    <t>2025-07-17</t>
  </si>
  <si>
    <t>HULAL-65</t>
  </si>
  <si>
    <t>2025-06-24</t>
  </si>
  <si>
    <t>2025-05-20</t>
  </si>
  <si>
    <t>HULFV-1</t>
  </si>
  <si>
    <t>HULFV-2</t>
  </si>
  <si>
    <t>2024-02-03</t>
  </si>
  <si>
    <t>HULFV-3</t>
  </si>
  <si>
    <t>1994059</t>
  </si>
  <si>
    <t>2023-07-24</t>
  </si>
  <si>
    <t>2023-07-25</t>
  </si>
  <si>
    <t>HULFV-4</t>
  </si>
  <si>
    <t>2298922</t>
  </si>
  <si>
    <t>2023-04-11</t>
  </si>
  <si>
    <t>2023-03-28</t>
  </si>
  <si>
    <t>HULFV-5</t>
  </si>
  <si>
    <t>2288822</t>
  </si>
  <si>
    <t>2022-03-31</t>
  </si>
  <si>
    <t>HULFV-6</t>
  </si>
  <si>
    <t>2023-09-15</t>
  </si>
  <si>
    <t>HULFV-7</t>
  </si>
  <si>
    <t>2184812</t>
  </si>
  <si>
    <t>2023-04-04</t>
  </si>
  <si>
    <t>2023-04-05</t>
  </si>
  <si>
    <t>2024-04-04</t>
  </si>
  <si>
    <t>2023-05-24</t>
  </si>
  <si>
    <t>HULFV-8</t>
  </si>
  <si>
    <t>27187817</t>
  </si>
  <si>
    <t>2022-07-10</t>
  </si>
  <si>
    <t>2022-07-07</t>
  </si>
  <si>
    <t>2022-07-25</t>
  </si>
  <si>
    <t>2022-07-27</t>
  </si>
  <si>
    <t>2022-07-28</t>
  </si>
  <si>
    <t>HULFV-9</t>
  </si>
  <si>
    <t>3101013</t>
  </si>
  <si>
    <t>2022-07-20</t>
  </si>
  <si>
    <t>2022-07-14</t>
  </si>
  <si>
    <t>2022-08-03</t>
  </si>
  <si>
    <t>2022-08-17</t>
  </si>
  <si>
    <t>HULFV-10</t>
  </si>
  <si>
    <t>3299923</t>
  </si>
  <si>
    <t>2021-03-03</t>
  </si>
  <si>
    <t>2021-02-17</t>
  </si>
  <si>
    <t>2021-03-08</t>
  </si>
  <si>
    <t>HULFV-11</t>
  </si>
  <si>
    <t>3100013</t>
  </si>
  <si>
    <t>2021-11-12</t>
  </si>
  <si>
    <t>2021-11-15</t>
  </si>
  <si>
    <t>2021-11-17</t>
  </si>
  <si>
    <t>HULFV-12</t>
  </si>
  <si>
    <t>19480722647</t>
  </si>
  <si>
    <t>2021-12-21</t>
  </si>
  <si>
    <t>2021-12-20</t>
  </si>
  <si>
    <t>2021-12-23</t>
  </si>
  <si>
    <t>HULFV-13</t>
  </si>
  <si>
    <t>19710823660</t>
  </si>
  <si>
    <t>2021-11-27</t>
  </si>
  <si>
    <t>HULFV-14</t>
  </si>
  <si>
    <t>19531219115</t>
  </si>
  <si>
    <t>2021-09-20</t>
  </si>
  <si>
    <t>2021-08-28</t>
  </si>
  <si>
    <t>HULFV-15</t>
  </si>
  <si>
    <t>19550823854</t>
  </si>
  <si>
    <t>2021-05-20</t>
  </si>
  <si>
    <t>2021-05-17</t>
  </si>
  <si>
    <t>2022-05-22</t>
  </si>
  <si>
    <t>HULFV-16</t>
  </si>
  <si>
    <t>19670725985</t>
  </si>
  <si>
    <t>2021-11-18</t>
  </si>
  <si>
    <t>2021-11-11</t>
  </si>
  <si>
    <t>2021-11-19</t>
  </si>
  <si>
    <t>HULFV-17</t>
  </si>
  <si>
    <t>19460827885</t>
  </si>
  <si>
    <t>2021-03-28</t>
  </si>
  <si>
    <t>2021-04-04</t>
  </si>
  <si>
    <t>2021-04-02</t>
  </si>
  <si>
    <t>HUPHM-1</t>
  </si>
  <si>
    <t>1354354214</t>
  </si>
  <si>
    <t>2019-07-16</t>
  </si>
  <si>
    <t>2019-07-17</t>
  </si>
  <si>
    <t>2019-07-18</t>
  </si>
  <si>
    <t>HUPHM-2</t>
  </si>
  <si>
    <t>1096714736</t>
  </si>
  <si>
    <t>2019-08-08</t>
  </si>
  <si>
    <t>HUPHM-3</t>
  </si>
  <si>
    <t>1531305452</t>
  </si>
  <si>
    <t>2019-09-09</t>
  </si>
  <si>
    <t>2019-09-08</t>
  </si>
  <si>
    <t>2019-09-12</t>
  </si>
  <si>
    <t>2019-09-15</t>
  </si>
  <si>
    <t>HUPHM-4</t>
  </si>
  <si>
    <t>1317770056</t>
  </si>
  <si>
    <t>2019-09-03</t>
  </si>
  <si>
    <t>2019-10-08</t>
  </si>
  <si>
    <t>2019-10-03</t>
  </si>
  <si>
    <t>2019-10-21</t>
  </si>
  <si>
    <t>HUPHM-5</t>
  </si>
  <si>
    <t>1612054518</t>
  </si>
  <si>
    <t>2019-12-14</t>
  </si>
  <si>
    <t>2019-12-16</t>
  </si>
  <si>
    <t>2019-12-18</t>
  </si>
  <si>
    <t>2019-12-20</t>
  </si>
  <si>
    <t>HUPHM-6</t>
  </si>
  <si>
    <t>1110296554</t>
  </si>
  <si>
    <t>2020-01-07</t>
  </si>
  <si>
    <t>2020-01-09</t>
  </si>
  <si>
    <t>2020-01-24</t>
  </si>
  <si>
    <t>HUPHM-7</t>
  </si>
  <si>
    <t>3389194</t>
  </si>
  <si>
    <t>2020-01-29</t>
  </si>
  <si>
    <t>2020-01-28</t>
  </si>
  <si>
    <t>2020-02-11</t>
  </si>
  <si>
    <t>2020-03-03</t>
  </si>
  <si>
    <t>HUPHM-8</t>
  </si>
  <si>
    <t>1553799146</t>
  </si>
  <si>
    <t>2020-03-02</t>
  </si>
  <si>
    <t>2020-02-25</t>
  </si>
  <si>
    <t>HUPHM-9</t>
  </si>
  <si>
    <t>1531867547</t>
  </si>
  <si>
    <t>2020-04-29</t>
  </si>
  <si>
    <t>2020-04-30</t>
  </si>
  <si>
    <t>HUPHM-10</t>
  </si>
  <si>
    <t>1316287269</t>
  </si>
  <si>
    <t>2020-06-24</t>
  </si>
  <si>
    <t>2020-06-21</t>
  </si>
  <si>
    <t>2020-06-26</t>
  </si>
  <si>
    <t>HUPHM-11</t>
  </si>
  <si>
    <t>1553400941</t>
  </si>
  <si>
    <t>2020-07-16</t>
  </si>
  <si>
    <t>2020-07-14</t>
  </si>
  <si>
    <t>HUPHM-12</t>
  </si>
  <si>
    <t>1597028107</t>
  </si>
  <si>
    <t>2020-08-25</t>
  </si>
  <si>
    <t>HUPHM-13</t>
  </si>
  <si>
    <t>1447021445</t>
  </si>
  <si>
    <t>2020-08-28</t>
  </si>
  <si>
    <t>HUPHM-14</t>
  </si>
  <si>
    <t>1167554139</t>
  </si>
  <si>
    <t>2020-09-28</t>
  </si>
  <si>
    <t>HUPHM-15</t>
  </si>
  <si>
    <t>5067841</t>
  </si>
  <si>
    <t>2020-02-22</t>
  </si>
  <si>
    <t>2021-03-17</t>
  </si>
  <si>
    <t>HUPHM-16</t>
  </si>
  <si>
    <t>1374092603</t>
  </si>
  <si>
    <t>2021-02-09</t>
  </si>
  <si>
    <t>2021-02-12</t>
  </si>
  <si>
    <t>2021-02-15</t>
  </si>
  <si>
    <t>HUPHM-17</t>
  </si>
  <si>
    <t>878538</t>
  </si>
  <si>
    <t>2021-06-10</t>
  </si>
  <si>
    <t>HUPHM-18</t>
  </si>
  <si>
    <t>5436085</t>
  </si>
  <si>
    <t>HUPHM-19</t>
  </si>
  <si>
    <t>1145968508</t>
  </si>
  <si>
    <t>HUPHM-20</t>
  </si>
  <si>
    <t>1553251195</t>
  </si>
  <si>
    <t>2021-05-19</t>
  </si>
  <si>
    <t>2021-05-27</t>
  </si>
  <si>
    <t>HUPHM-21</t>
  </si>
  <si>
    <t>1244701976</t>
  </si>
  <si>
    <t>2021-05-07</t>
  </si>
  <si>
    <t>2021-05-06</t>
  </si>
  <si>
    <t>HUPHM-22</t>
  </si>
  <si>
    <t>1491110369</t>
  </si>
  <si>
    <t>2021-06-08</t>
  </si>
  <si>
    <t>2021-06-16</t>
  </si>
  <si>
    <t>2021-06-17</t>
  </si>
  <si>
    <t>HUPHM-23</t>
  </si>
  <si>
    <t>1849532241</t>
  </si>
  <si>
    <t>2021-06-09</t>
  </si>
  <si>
    <t>HUPHM-24</t>
  </si>
  <si>
    <t>1144938688</t>
  </si>
  <si>
    <t>2021-07-05</t>
  </si>
  <si>
    <t>2021-07-04</t>
  </si>
  <si>
    <t>2021-07-20</t>
  </si>
  <si>
    <t>HUPHM-25</t>
  </si>
  <si>
    <t>1513141493</t>
  </si>
  <si>
    <t>2021-10-11</t>
  </si>
  <si>
    <t>2021-10-21</t>
  </si>
  <si>
    <t>HUPHM-26</t>
  </si>
  <si>
    <t>1470913252</t>
  </si>
  <si>
    <t>2021-10-14</t>
  </si>
  <si>
    <t>HUPHM-27</t>
  </si>
  <si>
    <t>1389102240</t>
  </si>
  <si>
    <t>HUPHM-28</t>
  </si>
  <si>
    <t>1576287079</t>
  </si>
  <si>
    <t>2021-10-29</t>
  </si>
  <si>
    <t>2021-11-03</t>
  </si>
  <si>
    <t>HUPHM-29</t>
  </si>
  <si>
    <t>1437929717</t>
  </si>
  <si>
    <t>2021-11-25</t>
  </si>
  <si>
    <t>HUPHM-30</t>
  </si>
  <si>
    <t>1266670759</t>
  </si>
  <si>
    <t>2021-12-17</t>
  </si>
  <si>
    <t>HUPHM-31</t>
  </si>
  <si>
    <t>1784132114</t>
  </si>
  <si>
    <t>HUPHM-32</t>
  </si>
  <si>
    <t>1025819254</t>
  </si>
  <si>
    <t>2022-01-12</t>
  </si>
  <si>
    <t>2022-01-11</t>
  </si>
  <si>
    <t>HUPHM-33</t>
  </si>
  <si>
    <t>2039537457</t>
  </si>
  <si>
    <t>2022-01-31</t>
  </si>
  <si>
    <t>2022-01-30</t>
  </si>
  <si>
    <t>HUPHM-34</t>
  </si>
  <si>
    <t>1553813900</t>
  </si>
  <si>
    <t>2022-02-09</t>
  </si>
  <si>
    <t>2022-02-02</t>
  </si>
  <si>
    <t>HUPHM-35</t>
  </si>
  <si>
    <t>HUPHM_35422</t>
  </si>
  <si>
    <t>2022-05-19</t>
  </si>
  <si>
    <t>2022-05-11</t>
  </si>
  <si>
    <t>HUPHM-36</t>
  </si>
  <si>
    <t>2022-06-01</t>
  </si>
  <si>
    <t>2022-06-02</t>
  </si>
  <si>
    <t>2022-06-11</t>
  </si>
  <si>
    <t>HUPHM-37</t>
  </si>
  <si>
    <t>HUPHM_37333</t>
  </si>
  <si>
    <t>2022-06-13</t>
  </si>
  <si>
    <t>HUPHM-38</t>
  </si>
  <si>
    <t>HUPHM_38434</t>
  </si>
  <si>
    <t>2022-07-01</t>
  </si>
  <si>
    <t>HUPHM-39</t>
  </si>
  <si>
    <t>HUPHM_39493</t>
  </si>
  <si>
    <t>2022-08-22</t>
  </si>
  <si>
    <t>2022-08-26</t>
  </si>
  <si>
    <t>HUPHM-40</t>
  </si>
  <si>
    <t>HUPHM_40404</t>
  </si>
  <si>
    <t>2022-11-11</t>
  </si>
  <si>
    <t>HUPHM-41</t>
  </si>
  <si>
    <t>HUPHM_41421</t>
  </si>
  <si>
    <t>2022-12-01</t>
  </si>
  <si>
    <t>HUPHM-42</t>
  </si>
  <si>
    <t>HUPHM_42221</t>
  </si>
  <si>
    <t>2022-10-14</t>
  </si>
  <si>
    <t>2022-10-03</t>
  </si>
  <si>
    <t>2022-10-19</t>
  </si>
  <si>
    <t>HUPHM-43</t>
  </si>
  <si>
    <t>HUPHM_43321</t>
  </si>
  <si>
    <t>2023-01-20</t>
  </si>
  <si>
    <t>2023-01-18</t>
  </si>
  <si>
    <t>2023-01-27</t>
  </si>
  <si>
    <t>2023-01-31</t>
  </si>
  <si>
    <t>HUPHM-44</t>
  </si>
  <si>
    <t>HUPHM_44121</t>
  </si>
  <si>
    <t>2023-03-17</t>
  </si>
  <si>
    <t>2023-03-24</t>
  </si>
  <si>
    <t>HUPHM-45</t>
  </si>
  <si>
    <t>HUPHM_45525</t>
  </si>
  <si>
    <t>2023-03-30</t>
  </si>
  <si>
    <t>2023-04-20</t>
  </si>
  <si>
    <t>HUPHM-46</t>
  </si>
  <si>
    <t>HUPHM_46265</t>
  </si>
  <si>
    <t>2021-08-02</t>
  </si>
  <si>
    <t>2021-08-10</t>
  </si>
  <si>
    <t>2021-08-04</t>
  </si>
  <si>
    <t>HUPHM-47</t>
  </si>
  <si>
    <t>HUPHM_47167</t>
  </si>
  <si>
    <t>HUPHM-48</t>
  </si>
  <si>
    <t>HUPHM_48228</t>
  </si>
  <si>
    <t>2023-05-18</t>
  </si>
  <si>
    <t>HUPHM-49</t>
  </si>
  <si>
    <t>HUPHM_49119</t>
  </si>
  <si>
    <t>2023-06-20</t>
  </si>
  <si>
    <t>2023-06-18</t>
  </si>
  <si>
    <t>2023-06-19</t>
  </si>
  <si>
    <t>2023-06-23</t>
  </si>
  <si>
    <t>2023-07-07</t>
  </si>
  <si>
    <t>HUPHM-50</t>
  </si>
  <si>
    <t>HUPHM_50055</t>
  </si>
  <si>
    <t>2023-06-08</t>
  </si>
  <si>
    <t>2023-06-22</t>
  </si>
  <si>
    <t>HURSC-1</t>
  </si>
  <si>
    <t>PH 591-45</t>
  </si>
  <si>
    <t>2017-08-15</t>
  </si>
  <si>
    <t>2017-09-20</t>
  </si>
  <si>
    <t>2017-09-19</t>
  </si>
  <si>
    <t>2017-09-27</t>
  </si>
  <si>
    <t>2017-09-28</t>
  </si>
  <si>
    <t>HURSC-2</t>
  </si>
  <si>
    <t>SC 241-8</t>
  </si>
  <si>
    <t>2017-07-22</t>
  </si>
  <si>
    <t>2017-07-06</t>
  </si>
  <si>
    <t>2017-07-31</t>
  </si>
  <si>
    <t>HURSC-3</t>
  </si>
  <si>
    <t>SC 235-8</t>
  </si>
  <si>
    <t>2017-06-19</t>
  </si>
  <si>
    <t>2017-06-15</t>
  </si>
  <si>
    <t>HURSC-4</t>
  </si>
  <si>
    <t>PH 536-1</t>
  </si>
  <si>
    <t>2016-08-30</t>
  </si>
  <si>
    <t>2016-08-29</t>
  </si>
  <si>
    <t>2016-09-05</t>
  </si>
  <si>
    <t>HURSC-5</t>
  </si>
  <si>
    <t>PH 511-8</t>
  </si>
  <si>
    <t>2016-04-25</t>
  </si>
  <si>
    <t>2016-04-28</t>
  </si>
  <si>
    <t>2016-05-03</t>
  </si>
  <si>
    <t>2016-05-05</t>
  </si>
  <si>
    <t>HURSC-6</t>
  </si>
  <si>
    <t>PH 662-64</t>
  </si>
  <si>
    <t>2018-12-13</t>
  </si>
  <si>
    <t>2018-12-10</t>
  </si>
  <si>
    <t>2018-12-20</t>
  </si>
  <si>
    <t>2019-01-10</t>
  </si>
  <si>
    <t>HURSC-7</t>
  </si>
  <si>
    <t>PH 658-56</t>
  </si>
  <si>
    <t>2018-11-20</t>
  </si>
  <si>
    <t>2018-11-21</t>
  </si>
  <si>
    <t>2018-11-30</t>
  </si>
  <si>
    <t>2018-12-09</t>
  </si>
  <si>
    <t>HURSC-8</t>
  </si>
  <si>
    <t>PH 368-49</t>
  </si>
  <si>
    <t>2014-10-09</t>
  </si>
  <si>
    <t>2014-10-10</t>
  </si>
  <si>
    <t>HURSC-9</t>
  </si>
  <si>
    <t>PH 473-17</t>
  </si>
  <si>
    <t>2015-08-03</t>
  </si>
  <si>
    <t>2015-07-26</t>
  </si>
  <si>
    <t>2015-08-11</t>
  </si>
  <si>
    <t>HURSC-10</t>
  </si>
  <si>
    <t>PH 483-2</t>
  </si>
  <si>
    <t>2015-10-11</t>
  </si>
  <si>
    <t>2015-10-19</t>
  </si>
  <si>
    <t>2015-10-06</t>
  </si>
  <si>
    <t>HURSC-11</t>
  </si>
  <si>
    <t>PH 668-30</t>
  </si>
  <si>
    <t>2018-05-24</t>
  </si>
  <si>
    <t>2018-05-29</t>
  </si>
  <si>
    <t>2018-05-25</t>
  </si>
  <si>
    <t>2018-05-31</t>
  </si>
  <si>
    <t>2018-06-04</t>
  </si>
  <si>
    <t>HURSC-12</t>
  </si>
  <si>
    <t>AN0197572833</t>
  </si>
  <si>
    <t>2018-11-16</t>
  </si>
  <si>
    <t>2018-11-18</t>
  </si>
  <si>
    <t>HURSC-13</t>
  </si>
  <si>
    <t>PH 600-65</t>
  </si>
  <si>
    <t>2017-11-10</t>
  </si>
  <si>
    <t>2017-11-08</t>
  </si>
  <si>
    <t>2024-11-15</t>
  </si>
  <si>
    <t>2017-11-22</t>
  </si>
  <si>
    <t>2017-12-12</t>
  </si>
  <si>
    <t>HURSC-14</t>
  </si>
  <si>
    <t>PH 482-53</t>
  </si>
  <si>
    <t>2015-10-16</t>
  </si>
  <si>
    <t>HURSC-15</t>
  </si>
  <si>
    <t>PH 484-45</t>
  </si>
  <si>
    <t>2015-10-21</t>
  </si>
  <si>
    <t>2015-10-29</t>
  </si>
  <si>
    <t>HURSC-16</t>
  </si>
  <si>
    <t>2015-09-16</t>
  </si>
  <si>
    <t>2015-09-17</t>
  </si>
  <si>
    <t>2015-09-23</t>
  </si>
  <si>
    <t>HURSC-17</t>
  </si>
  <si>
    <t>PH 395-62</t>
  </si>
  <si>
    <t>2015-04-10</t>
  </si>
  <si>
    <t>2015-04-04</t>
  </si>
  <si>
    <t>HURSC-18</t>
  </si>
  <si>
    <t>PH 394-23</t>
  </si>
  <si>
    <t>2015-04-01</t>
  </si>
  <si>
    <t>2015-03-25</t>
  </si>
  <si>
    <t>HURSC-19</t>
  </si>
  <si>
    <t>PH 387-60</t>
  </si>
  <si>
    <t>2015-01-16</t>
  </si>
  <si>
    <t>2015-01-13</t>
  </si>
  <si>
    <t>2015-02-13</t>
  </si>
  <si>
    <t>2015-03-03</t>
  </si>
  <si>
    <t>HURSC-20</t>
  </si>
  <si>
    <t>PH 796-17</t>
  </si>
  <si>
    <t>2021-03-18</t>
  </si>
  <si>
    <t>2021-04-06</t>
  </si>
  <si>
    <t>HURSC-21</t>
  </si>
  <si>
    <t>EPIQ4315</t>
  </si>
  <si>
    <t>2020-07-11</t>
  </si>
  <si>
    <t>2020-07-12</t>
  </si>
  <si>
    <t>HURSC-22</t>
  </si>
  <si>
    <t>EPIQ3537</t>
  </si>
  <si>
    <t>2020-05-15</t>
  </si>
  <si>
    <t>2020-05-14</t>
  </si>
  <si>
    <t>2020-05-18</t>
  </si>
  <si>
    <t>HURSC-23</t>
  </si>
  <si>
    <t>EPIZ3512</t>
  </si>
  <si>
    <t>2020-05-11</t>
  </si>
  <si>
    <t>2020-05-08</t>
  </si>
  <si>
    <t>2020-05-12</t>
  </si>
  <si>
    <t>HURSC-24</t>
  </si>
  <si>
    <t>EPIQ 32-16</t>
  </si>
  <si>
    <t>2020-04-21</t>
  </si>
  <si>
    <t>HURSC-25</t>
  </si>
  <si>
    <t>SC 372-36</t>
  </si>
  <si>
    <t>2020-01-15</t>
  </si>
  <si>
    <t>2020-02-06</t>
  </si>
  <si>
    <t>HURSC-26</t>
  </si>
  <si>
    <t>SC 394-28</t>
  </si>
  <si>
    <t>2020-07-30</t>
  </si>
  <si>
    <t>2020-08-22</t>
  </si>
  <si>
    <t>2020-09-08</t>
  </si>
  <si>
    <t>HURSC-27</t>
  </si>
  <si>
    <t>AN0188357732</t>
  </si>
  <si>
    <t>2020-02-27</t>
  </si>
  <si>
    <t>2020-03-05</t>
  </si>
  <si>
    <t>HURSC-28</t>
  </si>
  <si>
    <t>EPIQ 16-11</t>
  </si>
  <si>
    <t>2020-01-10</t>
  </si>
  <si>
    <t>2020-01-20</t>
  </si>
  <si>
    <t>2020-01-21</t>
  </si>
  <si>
    <t>HURSC-29</t>
  </si>
  <si>
    <t>AN0201948341</t>
  </si>
  <si>
    <t>2020-08-30</t>
  </si>
  <si>
    <t>2020-08-24</t>
  </si>
  <si>
    <t>2020-09-01</t>
  </si>
  <si>
    <t>2020-09-18</t>
  </si>
  <si>
    <t>HURSC-30</t>
  </si>
  <si>
    <t>EPIQ 17-4</t>
  </si>
  <si>
    <t>2019-12-22</t>
  </si>
  <si>
    <t>2019-12-10</t>
  </si>
  <si>
    <t>2024-01-27</t>
  </si>
  <si>
    <t>2020-04-18</t>
  </si>
  <si>
    <t>HURSC-31</t>
  </si>
  <si>
    <t>EPIQ62</t>
  </si>
  <si>
    <t>2019-11-03</t>
  </si>
  <si>
    <t>HURSC-32</t>
  </si>
  <si>
    <t>SC 352-3</t>
  </si>
  <si>
    <t>2019-08-26</t>
  </si>
  <si>
    <t>2019-08-17</t>
  </si>
  <si>
    <t>HURSC-33</t>
  </si>
  <si>
    <t>PH 697-15</t>
  </si>
  <si>
    <t>2019-06-28</t>
  </si>
  <si>
    <t>2019-06-26</t>
  </si>
  <si>
    <t>2019-07-23</t>
  </si>
  <si>
    <t>2019-07-24</t>
  </si>
  <si>
    <t>2019-07-26</t>
  </si>
  <si>
    <t>HURSC-34</t>
  </si>
  <si>
    <t>PH 684-6</t>
  </si>
  <si>
    <t>2019-04-29</t>
  </si>
  <si>
    <t>2019-04-25</t>
  </si>
  <si>
    <t>2019-05-07</t>
  </si>
  <si>
    <t>HURSC-35</t>
  </si>
  <si>
    <t>PH 683-20</t>
  </si>
  <si>
    <t>2019-04-23</t>
  </si>
  <si>
    <t>2019-04-06</t>
  </si>
  <si>
    <t>HURSC-36</t>
  </si>
  <si>
    <t>PH 676-20</t>
  </si>
  <si>
    <t>2019-03-12</t>
  </si>
  <si>
    <t>2019-03-11</t>
  </si>
  <si>
    <t>2019-04-20</t>
  </si>
  <si>
    <t>HURSC-37</t>
  </si>
  <si>
    <t>PH 671-16</t>
  </si>
  <si>
    <t>2019-02-15</t>
  </si>
  <si>
    <t>2019-02-12</t>
  </si>
  <si>
    <t>HURSC-38</t>
  </si>
  <si>
    <t>SC 283-38</t>
  </si>
  <si>
    <t>2019-01-29</t>
  </si>
  <si>
    <t>2019-01-28</t>
  </si>
  <si>
    <t>2019-02-03</t>
  </si>
  <si>
    <t>2019-02-19</t>
  </si>
  <si>
    <t>HURSC-39</t>
  </si>
  <si>
    <t>PH 667-19</t>
  </si>
  <si>
    <t>2019-01-22</t>
  </si>
  <si>
    <t>2019-01-17</t>
  </si>
  <si>
    <t>2019-01-25</t>
  </si>
  <si>
    <t>2019-01-27</t>
  </si>
  <si>
    <t>HURSC-40</t>
  </si>
  <si>
    <t>EPIQ 301-21</t>
  </si>
  <si>
    <t>2025-02-16</t>
  </si>
  <si>
    <t>2025-02-20</t>
  </si>
  <si>
    <t>2025-02-24</t>
  </si>
  <si>
    <t>2025-03-06</t>
  </si>
  <si>
    <t>HURSC-41</t>
  </si>
  <si>
    <t>EPIQ 246-22</t>
  </si>
  <si>
    <t>2024-01-29</t>
  </si>
  <si>
    <t>2024-01-31</t>
  </si>
  <si>
    <t>2024-02-05</t>
  </si>
  <si>
    <t>2024-02-06</t>
  </si>
  <si>
    <t>HURSC-42</t>
  </si>
  <si>
    <t>EPIQ 243-15</t>
  </si>
  <si>
    <t>2023-12-24</t>
  </si>
  <si>
    <t>2024-01-09</t>
  </si>
  <si>
    <t>2024-01-15</t>
  </si>
  <si>
    <t>2025-01-16</t>
  </si>
  <si>
    <t>2024-01-17</t>
  </si>
  <si>
    <t>HURSC-43</t>
  </si>
  <si>
    <t>EPIQ 139-23</t>
  </si>
  <si>
    <t>2022-03-18</t>
  </si>
  <si>
    <t>2022-03-22</t>
  </si>
  <si>
    <t>HURSC-44</t>
  </si>
  <si>
    <t>EPIQ 45-5</t>
  </si>
  <si>
    <t>2020-06-15</t>
  </si>
  <si>
    <t>2020-07-06</t>
  </si>
  <si>
    <t>2020-07-13</t>
  </si>
  <si>
    <t>HURSC-45</t>
  </si>
  <si>
    <t>EPIQ 27-1</t>
  </si>
  <si>
    <t>2020-03-11</t>
  </si>
  <si>
    <t>2020-03-16</t>
  </si>
  <si>
    <t>HURSC-46</t>
  </si>
  <si>
    <t>2020-01-14</t>
  </si>
  <si>
    <t>2020-01-27</t>
  </si>
  <si>
    <t>2020-02-03</t>
  </si>
  <si>
    <t>2025-02-03</t>
  </si>
  <si>
    <t>HURSC-47</t>
  </si>
  <si>
    <t>PH 380-4</t>
  </si>
  <si>
    <t>2014-12-26</t>
  </si>
  <si>
    <t>2014-12-29</t>
  </si>
  <si>
    <t>2014-12-31</t>
  </si>
  <si>
    <t>2015-01-12</t>
  </si>
  <si>
    <t>mismo 51 tras la cirugia</t>
  </si>
  <si>
    <t>Duplicado con 13, ya no hay imágenes en REDCAP (revisar las descargadas)</t>
  </si>
  <si>
    <t>Duplicado con el 22</t>
  </si>
  <si>
    <t>Embolia post-eco con embolia previa</t>
  </si>
  <si>
    <t>Es claramente mayor de 8</t>
  </si>
  <si>
    <t>fechas antes que el eco</t>
  </si>
  <si>
    <t>claramente mayor que 8</t>
  </si>
  <si>
    <t>esta en cavidades derechas</t>
  </si>
  <si>
    <t>HGTPB-51</t>
  </si>
  <si>
    <t>HGTPB-52</t>
  </si>
  <si>
    <t>HGTPB-53</t>
  </si>
  <si>
    <t>HGTPB-54</t>
  </si>
  <si>
    <t>2025-01-24</t>
  </si>
  <si>
    <t>2025-01-22</t>
  </si>
  <si>
    <t>2025-02-26</t>
  </si>
  <si>
    <t>2025-04-20</t>
  </si>
  <si>
    <t>2025-06-21</t>
  </si>
  <si>
    <t>2024-12-23</t>
  </si>
  <si>
    <t>2025-03-05</t>
  </si>
  <si>
    <t>2025-03-29</t>
  </si>
  <si>
    <t>No hay imágenes subidas</t>
  </si>
  <si>
    <t>diam_ao_2</t>
  </si>
  <si>
    <t>diam_mitral_2</t>
  </si>
  <si>
    <t>mecánica dificil de medir, hay dos que se juntan</t>
  </si>
  <si>
    <t>bicuspide, dificil de medir</t>
  </si>
  <si>
    <t>Se encuentra entre la válvulas</t>
  </si>
  <si>
    <t>Solo embolias previas sin cirugía ni muerte</t>
  </si>
  <si>
    <t>Muy larga, muy móvil, operada mismo día que el eco con varias previas</t>
  </si>
  <si>
    <t>mala calidad en la imagen</t>
  </si>
  <si>
    <t>hay dos grandes</t>
  </si>
  <si>
    <t>revisar medida</t>
  </si>
  <si>
    <t>muere dos días después de la eco</t>
  </si>
  <si>
    <t>Se indica cirtugía pero no se realiza por la fragilidad del paciente</t>
  </si>
  <si>
    <t>Se opera el mismo día que se realiza la eco</t>
  </si>
  <si>
    <t>Cirugía realizada rápida</t>
  </si>
  <si>
    <t>mecánica, no veo la vegetación</t>
  </si>
  <si>
    <t>Medir la vegetación</t>
  </si>
  <si>
    <t>artefacto y dificil de medir</t>
  </si>
  <si>
    <t>Grande y con movilidad, me parece un pelin más grande</t>
  </si>
  <si>
    <t>Parece que se va a soltar, operan el mismo día</t>
  </si>
  <si>
    <t>Hay una masa rara muy móvil</t>
  </si>
  <si>
    <t>medido muy diferente</t>
  </si>
  <si>
    <t>Hay ecografías de dos días diferentes de este paciente</t>
  </si>
  <si>
    <t>No hay imágenes</t>
  </si>
  <si>
    <t>Hay dos la de la aórtica es la mas grande y cuenta un poco medirla</t>
  </si>
  <si>
    <t>No soy capaz de medirlo, aneurisma</t>
  </si>
  <si>
    <t>Es enorme, como no puede tener embolias previas? (Bacilos Gram Negativos)</t>
  </si>
  <si>
    <t>muy dificil de medir</t>
  </si>
  <si>
    <t>sin embolias previas, grande y móvil, Hemocultivos negativos!!!</t>
  </si>
  <si>
    <t>Muy dificil de medir</t>
  </si>
  <si>
    <t>Muere 20 días después</t>
  </si>
  <si>
    <t>La vegetación tiene dos partes, la móvil es pequeña pero en conjunto es grande</t>
  </si>
  <si>
    <t>No veo vegetación</t>
  </si>
  <si>
    <t>No se medirla, muy anclada</t>
  </si>
  <si>
    <t>No se medirla</t>
  </si>
  <si>
    <t>Dificil de medir, masa grande de forma inusual</t>
  </si>
  <si>
    <t>Dificil de medir, muy pequeña</t>
  </si>
  <si>
    <t>No se opera por no fragilidad y alto riesgo quirúrgico</t>
  </si>
  <si>
    <t>raro que no embolice en 15 días, dificil de medir</t>
  </si>
  <si>
    <t>Muy anclada, no se medirla, no creo que sea 20</t>
  </si>
  <si>
    <t>Muy anclada, no parece 25</t>
  </si>
  <si>
    <t>muy larga y móvil, un mes en operar</t>
  </si>
  <si>
    <t>No esta rellena</t>
  </si>
  <si>
    <t>muy pequeña y anclada</t>
  </si>
  <si>
    <t>Operado el mismo día, enorme y móvil</t>
  </si>
  <si>
    <t>grande y móvil y 14 días sin cirugía</t>
  </si>
  <si>
    <t>dificil de medir</t>
  </si>
  <si>
    <t>muy pequeña</t>
  </si>
  <si>
    <t>parece menos que 12</t>
  </si>
  <si>
    <t>Incluido por error</t>
  </si>
  <si>
    <t>es muy grande, mide más que 8</t>
  </si>
  <si>
    <t>mide  más de 10</t>
  </si>
  <si>
    <t>parece muy grande</t>
  </si>
  <si>
    <t>No se medirlo, no es 28</t>
  </si>
  <si>
    <t>Dificil de medir</t>
  </si>
  <si>
    <t>Medición muy diferente</t>
  </si>
  <si>
    <t>Muy anclada</t>
  </si>
  <si>
    <t>No se ve bien donde empieza</t>
  </si>
  <si>
    <t>No parece muy móvil en la unica vista que hay</t>
  </si>
  <si>
    <t>Muy anclada, poco móvil</t>
  </si>
  <si>
    <t>muy extraño no indicación de cirugía</t>
  </si>
  <si>
    <t>movimiento bote</t>
  </si>
  <si>
    <t>muy anclada</t>
  </si>
  <si>
    <t xml:space="preserve">también aparece aneurisma </t>
  </si>
  <si>
    <t>medida muy diferente</t>
  </si>
  <si>
    <t>HCSCM-51</t>
  </si>
  <si>
    <t>HCSCM-52</t>
  </si>
  <si>
    <t>Muy fina, movimiento bote</t>
  </si>
  <si>
    <t>es mayor que 8</t>
  </si>
  <si>
    <t>no se indica cirugía</t>
  </si>
  <si>
    <t>dos vegetaciones muy pegadas</t>
  </si>
  <si>
    <t>2025-07-23</t>
  </si>
  <si>
    <t>2025-08-04</t>
  </si>
  <si>
    <t>HCSC_52</t>
  </si>
  <si>
    <t>2025-07-10</t>
  </si>
  <si>
    <t>2025-07-21</t>
  </si>
  <si>
    <t>2025-07-14</t>
  </si>
  <si>
    <t>2025-07-12</t>
  </si>
  <si>
    <t>No se medirla, muy pequeña</t>
  </si>
  <si>
    <t>cuesta distinguirla de la válvula</t>
  </si>
  <si>
    <t>redondeada</t>
  </si>
  <si>
    <t>Tiene algo enorme moviendose que no se que es</t>
  </si>
  <si>
    <t>pequeña</t>
  </si>
  <si>
    <t>muy anclado</t>
  </si>
  <si>
    <t>varias semanas después de la eco</t>
  </si>
  <si>
    <t>No se realiza cirugía por fragilidad del paciente</t>
  </si>
  <si>
    <t>la vegetación tiene dos partes, la parte móvil es muy pequeña</t>
  </si>
  <si>
    <t>Muy dgrande y móvil, no se opera por alto riesgo quirúrgico</t>
  </si>
  <si>
    <t>puede que haya dos y una más grande</t>
  </si>
  <si>
    <t>es grande y móvil pero no tiene indicación de cirugía</t>
  </si>
  <si>
    <t>dos pequeñas</t>
  </si>
  <si>
    <t>pequeñísima</t>
  </si>
  <si>
    <t>base muy ancha</t>
  </si>
  <si>
    <t>dos partes, una anclada y una móvil, es más grande de lo que pone</t>
  </si>
  <si>
    <t>es menos de 14 si usas solo las vistas validas</t>
  </si>
  <si>
    <t>dificil distinguir donde empieza</t>
  </si>
  <si>
    <t>no es muy móvil</t>
  </si>
  <si>
    <t>son pequeñas</t>
  </si>
  <si>
    <t xml:space="preserve"> no la veo</t>
  </si>
  <si>
    <t>parece bastante anclada</t>
  </si>
  <si>
    <t>pequeña, muy anclada</t>
  </si>
  <si>
    <t>pequeña y anclada</t>
  </si>
  <si>
    <t>parece bastante móvil</t>
  </si>
  <si>
    <t>parece pequeña</t>
  </si>
  <si>
    <t>Alto riesgo quirúrgico</t>
  </si>
  <si>
    <t>hay algo bailando en otra cavidad</t>
  </si>
  <si>
    <t>en el borde</t>
  </si>
  <si>
    <t>Anclada mécanica, no grande, movimiento asincopado respecto  válvula, parece gran tensión</t>
  </si>
  <si>
    <t>muy redondeada</t>
  </si>
  <si>
    <t>2318112</t>
  </si>
  <si>
    <t>dice Alberto que hay que quitarlo, disección</t>
  </si>
  <si>
    <t xml:space="preserve">es la misma que la 48, hay dos fechas eco </t>
  </si>
  <si>
    <t>2642759</t>
  </si>
  <si>
    <t>muy poco móvil</t>
  </si>
  <si>
    <t>Hay dos, parecen muy rigidas, tiene forma muy irregular en la aórtica</t>
  </si>
  <si>
    <t>muy fina y móvil</t>
  </si>
  <si>
    <t>muy grande, pone que la de la eco es posterior a la embolia</t>
  </si>
  <si>
    <t>es más grande de 19</t>
  </si>
  <si>
    <t>una parte anclada y otra muy móvil</t>
  </si>
  <si>
    <t>Se ve en dos partes del ciclo con formas muy diferentes</t>
  </si>
  <si>
    <t>Muy grande y móvil</t>
  </si>
  <si>
    <t>grande y móvil</t>
  </si>
  <si>
    <t>no se medirla, muy dificil</t>
  </si>
  <si>
    <t>dificil saber donde empieza</t>
  </si>
  <si>
    <t>no se de donde sale el 22, formato transgánstricas</t>
  </si>
  <si>
    <t>es gigantesca, formato transgánstrica</t>
  </si>
  <si>
    <t>muy grande y móvil, no son ciertos los 10</t>
  </si>
  <si>
    <t>no estoy seguro de que sea la vegetación, pero es más de 7 seguro</t>
  </si>
  <si>
    <t>parece muy anclada</t>
  </si>
  <si>
    <t>Final</t>
  </si>
  <si>
    <t>Valido</t>
  </si>
  <si>
    <t>parece más grande de 12</t>
  </si>
  <si>
    <t>No viene en el redcap, ni sexo ni edad, ni fecha eco, pone que no hay indicación de cirugía, es un hombre</t>
  </si>
  <si>
    <t>Hay dos</t>
  </si>
  <si>
    <t>cuesta saber donde empieza</t>
  </si>
  <si>
    <t>No se medirlo</t>
  </si>
  <si>
    <t>cuesta medirla un poco</t>
  </si>
  <si>
    <t>hay dos</t>
  </si>
  <si>
    <t>cuesta medirla</t>
  </si>
  <si>
    <t>algo móvil pero parece bastante rigida</t>
  </si>
  <si>
    <t>parecen dos</t>
  </si>
  <si>
    <t>filiforme muy móvil</t>
  </si>
  <si>
    <t>muy grande, no se medirla</t>
  </si>
  <si>
    <t>muy grande y muy móvil</t>
  </si>
  <si>
    <t>muy móvil</t>
  </si>
  <si>
    <t>tiene varias partes la vegetación, dificil de medir</t>
  </si>
  <si>
    <t>muy grande</t>
  </si>
  <si>
    <t>dificil de medir en la aórtica</t>
  </si>
  <si>
    <t>parece bastante grande</t>
  </si>
  <si>
    <t>Es grande y mucho tiempo entre eco y cirugía</t>
  </si>
  <si>
    <t>la vegetación consta de varias partes, un anclada y otra móvil</t>
  </si>
  <si>
    <t>hemocultivos negativos</t>
  </si>
  <si>
    <t>forma muy inusual, no se medirlo, muy anclada</t>
  </si>
  <si>
    <t>muy difusa, hay varias, cuesta medirlas</t>
  </si>
  <si>
    <t>un poco dificil definirla, solo hay una imagen y es con zoom</t>
  </si>
  <si>
    <t>muy embolizable y pasa mucho tiempo entre eco y cirugía</t>
  </si>
  <si>
    <t>pequeña y poco móvil</t>
  </si>
  <si>
    <t>es grande pero la parte móvil es muy pequeña</t>
  </si>
  <si>
    <t>un mes entre eco y cirugía</t>
  </si>
  <si>
    <t>es dificil saber cuando empieza la vegetación</t>
  </si>
  <si>
    <t>estafilococus aureus sensible a la meticilina</t>
  </si>
  <si>
    <t>hay dos, la de la mitral muy anclada y la aótica móvil</t>
  </si>
  <si>
    <t>muy anclada a la válvula</t>
  </si>
  <si>
    <t>No se medirla, forma inusual</t>
  </si>
  <si>
    <t>Formato transgánstrica muy difusa, dificil de medir</t>
  </si>
  <si>
    <t>parece más pequeña de 16</t>
  </si>
  <si>
    <t>en la mitral también parece haber algo</t>
  </si>
  <si>
    <t>no se medirlo</t>
  </si>
  <si>
    <t>aureus sensible a la meticilina</t>
  </si>
  <si>
    <t>la parte móvil solo mide 10</t>
  </si>
  <si>
    <t>muy grande y homogenea</t>
  </si>
  <si>
    <t>muy extendida, no se medirla</t>
  </si>
  <si>
    <t>gigante</t>
  </si>
  <si>
    <t>no hay imágenes transexofágicas</t>
  </si>
  <si>
    <t>grande anclada y poco móvil</t>
  </si>
  <si>
    <t>no parece muy embolizable pero muere dos meses después</t>
  </si>
  <si>
    <t>muy grande y muy móvil 5 días hasta cirugía y sin embolias previas</t>
  </si>
  <si>
    <t>enorme, 10 días sin embolia</t>
  </si>
  <si>
    <t>muy grande, con parte central poco móvil</t>
  </si>
  <si>
    <t>9 días sin embolizar</t>
  </si>
  <si>
    <t>muy en el borde</t>
  </si>
  <si>
    <t>se ve un absceso, o algo, al otro lado de la válvula</t>
  </si>
  <si>
    <t>hay ecos en dos fechas diferentes, estas son de 2022</t>
  </si>
  <si>
    <t>la de la aórtica es dificil de medir</t>
  </si>
  <si>
    <t>creo que hay dos en la protesis</t>
  </si>
  <si>
    <t>muy anclada pero parece más de 12</t>
  </si>
  <si>
    <t>parece haber más de una</t>
  </si>
  <si>
    <t>me parece que está en la mitral</t>
  </si>
  <si>
    <t>se ve algo en la mitral muy móvil pero creo que velo</t>
  </si>
  <si>
    <t>dificil ver donde empieza y donde acaba</t>
  </si>
  <si>
    <t>muchos días hasta la cirugía pero no es excesivamente grande, ni excesivamente móvil</t>
  </si>
  <si>
    <t>muy anclada a la vegetación, se distingue mal el borde</t>
  </si>
  <si>
    <t>me parece un poco raro que no indiquen cirugía</t>
  </si>
  <si>
    <t>Destrozo, No indican operación, sigue vivo, no emboliza???</t>
  </si>
  <si>
    <t>Muy grande, muy móvil, ni si quiera indican operación?</t>
  </si>
  <si>
    <t>Me parece que han medido de menos</t>
  </si>
  <si>
    <t>parece muy anclada y poco móvil</t>
  </si>
  <si>
    <t>larguísima, no se opera por alto riesgo quirúrgico y muerte por fracaso multiorgánico</t>
  </si>
  <si>
    <t>muy difusa, no soy capaz de medirla</t>
  </si>
  <si>
    <t>10 diás sin operar y no le da una embolia y embolia 20 días más tarde tras haberse operado</t>
  </si>
  <si>
    <t>embolia previa durante el tratamiento (e ingreso)</t>
  </si>
  <si>
    <t>no la veo, no se medirla, pone que es enorme, se le ha operado, luego le ha dado la embolia, luego eco</t>
  </si>
  <si>
    <t>validos:</t>
  </si>
  <si>
    <t>Embolia despues que el eco con muerte</t>
  </si>
  <si>
    <t>Solo previas con cirugía sin muerte</t>
  </si>
  <si>
    <t>muerte sin cirugía con solo previas</t>
  </si>
  <si>
    <t xml:space="preserve">cirugia y muerte con  solo previas </t>
  </si>
  <si>
    <t xml:space="preserve">muerte sin cirugía sin embolias </t>
  </si>
  <si>
    <t xml:space="preserve">cirugía y muerte sin embolias </t>
  </si>
  <si>
    <t xml:space="preserve">cirugía sin muerte sin embolias </t>
  </si>
  <si>
    <t>Difuso, dificil de medir, medido Alberto</t>
  </si>
  <si>
    <t>cuesta medirla, medida Alberto</t>
  </si>
  <si>
    <t>dificil de medir, le da la embolia 2 días después de operarse en el día que se muere, medida Alberto</t>
  </si>
  <si>
    <t>dificil de medir, medida Alberto</t>
  </si>
  <si>
    <t>medida Alberto</t>
  </si>
  <si>
    <t>muy pequeña, medida Alberto</t>
  </si>
  <si>
    <t>HGTPB-55</t>
  </si>
  <si>
    <t>2025-09-18</t>
  </si>
  <si>
    <t>2025-09-27</t>
  </si>
  <si>
    <t>HCSCM-53</t>
  </si>
  <si>
    <t>2025-05-21</t>
  </si>
  <si>
    <t>2025-05-07</t>
  </si>
  <si>
    <t>2025-05-22</t>
  </si>
  <si>
    <t>2025-05-23</t>
  </si>
  <si>
    <t>HCSCM-54</t>
  </si>
  <si>
    <t>2025-05-24</t>
  </si>
  <si>
    <t>fecha_alta</t>
  </si>
  <si>
    <t>2023-11-28</t>
  </si>
  <si>
    <t>2023-01-03</t>
  </si>
  <si>
    <t>2023-01-30</t>
  </si>
  <si>
    <t>2023-04-25</t>
  </si>
  <si>
    <t>2021-03-30</t>
  </si>
  <si>
    <t>2020-07-24</t>
  </si>
  <si>
    <t>2020-10-26</t>
  </si>
  <si>
    <t>2021-05-14</t>
  </si>
  <si>
    <t>2021-05-22</t>
  </si>
  <si>
    <t>2021-03-21</t>
  </si>
  <si>
    <t>2022-07-26</t>
  </si>
  <si>
    <t>2022-06-30</t>
  </si>
  <si>
    <t>2022-07-16</t>
  </si>
  <si>
    <t>2022-01-26</t>
  </si>
  <si>
    <t>2025-05-19</t>
  </si>
  <si>
    <t>2021-05-15</t>
  </si>
  <si>
    <t>2023-11-02</t>
  </si>
  <si>
    <t>2023-10-16</t>
  </si>
  <si>
    <t>2022-12-27</t>
  </si>
  <si>
    <t>2022-11-16</t>
  </si>
  <si>
    <t>2022-08-29</t>
  </si>
  <si>
    <t>2021-11-05</t>
  </si>
  <si>
    <t>2022-02-01</t>
  </si>
  <si>
    <t>2021-10-07</t>
  </si>
  <si>
    <t>2022-04-08</t>
  </si>
  <si>
    <t>2025-01-30</t>
  </si>
  <si>
    <t>2025-01-13</t>
  </si>
  <si>
    <t>2022-03-23</t>
  </si>
  <si>
    <t>2022-01-14</t>
  </si>
  <si>
    <t>2021-11-26</t>
  </si>
  <si>
    <t>2025-08-19</t>
  </si>
  <si>
    <t>2025-08-14</t>
  </si>
  <si>
    <t>2023-11-27</t>
  </si>
  <si>
    <t>2023-10-05</t>
  </si>
  <si>
    <t>2023-08-26</t>
  </si>
  <si>
    <t>2023-06-27</t>
  </si>
  <si>
    <t>2023-06-07</t>
  </si>
  <si>
    <t>2023-02-07</t>
  </si>
  <si>
    <t>2024-04-02</t>
  </si>
  <si>
    <t>2022-02-23</t>
  </si>
  <si>
    <t>2022-04-14</t>
  </si>
  <si>
    <t>2021-10-19</t>
  </si>
  <si>
    <t>2024-08-22</t>
  </si>
  <si>
    <t>2022-10-25</t>
  </si>
  <si>
    <t>2022-12-09</t>
  </si>
  <si>
    <t>2023-07-17</t>
  </si>
  <si>
    <t>2024-01-08</t>
  </si>
  <si>
    <t>2024-03-01</t>
  </si>
  <si>
    <t>2024-04-26</t>
  </si>
  <si>
    <t>2024-06-21</t>
  </si>
  <si>
    <t>2024-10-07</t>
  </si>
  <si>
    <t>2024-10-02</t>
  </si>
  <si>
    <t>2024-09-10</t>
  </si>
  <si>
    <t>2025-01-14</t>
  </si>
  <si>
    <t>2025-03-30</t>
  </si>
  <si>
    <t>2025-03-26</t>
  </si>
  <si>
    <t>2025-01-21</t>
  </si>
  <si>
    <t>2025-04-17</t>
  </si>
  <si>
    <t>2025-10-06</t>
  </si>
  <si>
    <t>2023-10-17</t>
  </si>
  <si>
    <t>2021-06-01</t>
  </si>
  <si>
    <t>2021-03-15</t>
  </si>
  <si>
    <t>2020-12-30</t>
  </si>
  <si>
    <t>2021-08-27</t>
  </si>
  <si>
    <t>2020-07-02</t>
  </si>
  <si>
    <t>2018-02-15</t>
  </si>
  <si>
    <t>2020-07-23</t>
  </si>
  <si>
    <t>2023-07-18</t>
  </si>
  <si>
    <t>2023-02-14</t>
  </si>
  <si>
    <t>2023-01-23</t>
  </si>
  <si>
    <t>2016-07-22</t>
  </si>
  <si>
    <t>2018-01-19</t>
  </si>
  <si>
    <t>2020-07-15</t>
  </si>
  <si>
    <t>2020-05-06</t>
  </si>
  <si>
    <t>2024-09-13</t>
  </si>
  <si>
    <t>2025-03-24</t>
  </si>
  <si>
    <t>2025-03-11</t>
  </si>
  <si>
    <t>2025-05-02</t>
  </si>
  <si>
    <t>2025-06-05</t>
  </si>
  <si>
    <t>2025-07-18</t>
  </si>
  <si>
    <t>2025-08-03</t>
  </si>
  <si>
    <t>2025-07-16</t>
  </si>
  <si>
    <t>2025-07-15</t>
  </si>
  <si>
    <t>2025-07-04</t>
  </si>
  <si>
    <t>2025-06-27</t>
  </si>
  <si>
    <t>2025-07-29</t>
  </si>
  <si>
    <t>2025-06-30</t>
  </si>
  <si>
    <t>2024-02-28</t>
  </si>
  <si>
    <t>2023-08-17</t>
  </si>
  <si>
    <t>2022-04-01</t>
  </si>
  <si>
    <t>2023-10-04</t>
  </si>
  <si>
    <t>2022-08-14</t>
  </si>
  <si>
    <t>2022-08-24</t>
  </si>
  <si>
    <t>2022-01-04</t>
  </si>
  <si>
    <t>2019-08-20</t>
  </si>
  <si>
    <t>2020-02-10</t>
  </si>
  <si>
    <t>2020-04-06</t>
  </si>
  <si>
    <t>2020-03-13</t>
  </si>
  <si>
    <t>2020-03-10</t>
  </si>
  <si>
    <t>2020-06-17</t>
  </si>
  <si>
    <t>2020-09-23</t>
  </si>
  <si>
    <t>2020-10-23</t>
  </si>
  <si>
    <t>2020-04-27</t>
  </si>
  <si>
    <t>2021-04-29</t>
  </si>
  <si>
    <t>2021-07-06</t>
  </si>
  <si>
    <t>2021-11-16</t>
  </si>
  <si>
    <t>2022-01-07</t>
  </si>
  <si>
    <t>2022-03-08</t>
  </si>
  <si>
    <t>2022-06-07</t>
  </si>
  <si>
    <t>2022-06-23</t>
  </si>
  <si>
    <t>2022-07-08</t>
  </si>
  <si>
    <t>2022-10-10</t>
  </si>
  <si>
    <t>2022-12-02</t>
  </si>
  <si>
    <t>2022-11-03</t>
  </si>
  <si>
    <t>2023-02-27</t>
  </si>
  <si>
    <t>2023-04-28</t>
  </si>
  <si>
    <t>2023-06-02</t>
  </si>
  <si>
    <t>2023-06-01</t>
  </si>
  <si>
    <t>2017-08-16</t>
  </si>
  <si>
    <t>2017-07-27</t>
  </si>
  <si>
    <t>2016-09-15</t>
  </si>
  <si>
    <t>2016-05-13</t>
  </si>
  <si>
    <t>2014-11-03</t>
  </si>
  <si>
    <t>2015-08-30</t>
  </si>
  <si>
    <t>2015-11-04</t>
  </si>
  <si>
    <t>2018-06-14</t>
  </si>
  <si>
    <t>2015-10-14</t>
  </si>
  <si>
    <t>2015-05-08</t>
  </si>
  <si>
    <t>2015-04-30</t>
  </si>
  <si>
    <t>2015-03-07</t>
  </si>
  <si>
    <t>2021-05-12</t>
  </si>
  <si>
    <t>2020-05-19</t>
  </si>
  <si>
    <t>2020-03-30</t>
  </si>
  <si>
    <t>2020-10-19</t>
  </si>
  <si>
    <t>2020-04-03</t>
  </si>
  <si>
    <t>2020-02-07</t>
  </si>
  <si>
    <t>2019-11-21</t>
  </si>
  <si>
    <t>2019-09-16</t>
  </si>
  <si>
    <t>2019-05-30</t>
  </si>
  <si>
    <t>2019-05-26</t>
  </si>
  <si>
    <t>2019-03-29</t>
  </si>
  <si>
    <t>2025-03-28</t>
  </si>
  <si>
    <t>2024-02-20</t>
  </si>
  <si>
    <t>2022-04-25</t>
  </si>
  <si>
    <t>2020-07-22</t>
  </si>
  <si>
    <t>2020-04-24</t>
  </si>
  <si>
    <t>2015-01-26</t>
  </si>
  <si>
    <t>se ven dos vegetaciones en la protesis, estan mal puesta las fechas de evolución en el redcap</t>
  </si>
  <si>
    <t>me parece bastante más grande y la fecha del eco creo que está mal o no encaja de año</t>
  </si>
  <si>
    <t>muy anclada y poco móvil, fechas mal redcap</t>
  </si>
  <si>
    <t>HGTPB-56</t>
  </si>
  <si>
    <t>2025-05-26</t>
  </si>
  <si>
    <t>HGTPB-57</t>
  </si>
  <si>
    <t>HGTPB-58</t>
  </si>
  <si>
    <t>Ha dicho Alberto que quitar del estudio ya que la endocarditis, según las iágenes que nos han proporcionado, no está en cavidades izquierdas</t>
  </si>
  <si>
    <t>revisar</t>
  </si>
  <si>
    <t>no está medida, no se medirla</t>
  </si>
  <si>
    <t>dos protocolos, revisar</t>
  </si>
  <si>
    <t>la fecha de la eco no coincide con niguna de los días de medición</t>
  </si>
  <si>
    <t>no queda registrada en el dicom la fecha de la eco, no puedo relacionarla</t>
  </si>
  <si>
    <t>muy grande, año fecha muerte está mal puesta en el redcap</t>
  </si>
  <si>
    <t>dificil de medir en la mitral, fecha cirugia mal puesto el año en el redcap</t>
  </si>
  <si>
    <t>muy pequeña, fecha embolia previa mal puesta el año</t>
  </si>
  <si>
    <t>fecha eco dicom rara, eco tambien rara, y es más grande que 11 y muy móvil</t>
  </si>
  <si>
    <t>cuesta saber donde empieza, pasan 97 días hasta el alta, tiene indicación de cirugía pero no se realiza por fragilidad</t>
  </si>
  <si>
    <t>2021-07-27</t>
  </si>
  <si>
    <t>2020-06-23</t>
  </si>
  <si>
    <t>hospital</t>
  </si>
  <si>
    <t>HCSCM</t>
  </si>
  <si>
    <t>HGTPB</t>
  </si>
  <si>
    <t>HULAL</t>
  </si>
  <si>
    <t>HULFV</t>
  </si>
  <si>
    <t>HUPHM</t>
  </si>
  <si>
    <t>HURSC</t>
  </si>
  <si>
    <t>fecha_inicio_trat</t>
  </si>
  <si>
    <t>2020-08-19</t>
  </si>
  <si>
    <t>2021-08-05</t>
  </si>
  <si>
    <t>2023-06-13</t>
  </si>
  <si>
    <t>2024-12-18</t>
  </si>
  <si>
    <t>2021-12-18</t>
  </si>
  <si>
    <t>2025-05-16</t>
  </si>
  <si>
    <t>2024-02-11</t>
  </si>
  <si>
    <t>2023-10-07</t>
  </si>
  <si>
    <t>2023-07-23</t>
  </si>
  <si>
    <t>2023-03-20</t>
  </si>
  <si>
    <t>2023-03-10</t>
  </si>
  <si>
    <t>2022-02-26</t>
  </si>
  <si>
    <t>2022-01-25</t>
  </si>
  <si>
    <t>2024-05-01</t>
  </si>
  <si>
    <t>2023-05-17</t>
  </si>
  <si>
    <t>2023-06-16</t>
  </si>
  <si>
    <t>2024-08-02</t>
  </si>
  <si>
    <t>2024-11-26</t>
  </si>
  <si>
    <t>2025-03-13</t>
  </si>
  <si>
    <t>2025-02-23</t>
  </si>
  <si>
    <t>2025-04-21</t>
  </si>
  <si>
    <t>2025-09-24</t>
  </si>
  <si>
    <t>2021-01-23</t>
  </si>
  <si>
    <t>2024-04-08</t>
  </si>
  <si>
    <t>2021-09-16</t>
  </si>
  <si>
    <t>2021-02-13</t>
  </si>
  <si>
    <t>2020-11-17</t>
  </si>
  <si>
    <t>2018-01-11</t>
  </si>
  <si>
    <t>2023-06-28</t>
  </si>
  <si>
    <t>2017-12-05</t>
  </si>
  <si>
    <t>2020-05-31</t>
  </si>
  <si>
    <t>2020-04-13</t>
  </si>
  <si>
    <t>2024-07-31</t>
  </si>
  <si>
    <t>2024-10-10</t>
  </si>
  <si>
    <t>2024-12-06</t>
  </si>
  <si>
    <t>2024-02-08</t>
  </si>
  <si>
    <t>2025-02-02</t>
  </si>
  <si>
    <t>2025-03-23</t>
  </si>
  <si>
    <t>2025-06-20</t>
  </si>
  <si>
    <t>2025-05-29</t>
  </si>
  <si>
    <t>2023-04-14</t>
  </si>
  <si>
    <t>2022-03-17</t>
  </si>
  <si>
    <t>2022-06-19</t>
  </si>
  <si>
    <t>2021-11-13</t>
  </si>
  <si>
    <t>2021-09-21</t>
  </si>
  <si>
    <t>2022-05-18</t>
  </si>
  <si>
    <t>2019-08-07</t>
  </si>
  <si>
    <t>2019-09-04</t>
  </si>
  <si>
    <t>2020-04-25</t>
  </si>
  <si>
    <t>2020-09-25</t>
  </si>
  <si>
    <t>2021-04-15</t>
  </si>
  <si>
    <t>2022-06-12</t>
  </si>
  <si>
    <t>2022-06-06</t>
  </si>
  <si>
    <t>2017-07-25</t>
  </si>
  <si>
    <t>2016-06-19</t>
  </si>
  <si>
    <t>2016-04-26</t>
  </si>
  <si>
    <t>2018-12-11</t>
  </si>
  <si>
    <t>2017-11-15</t>
  </si>
  <si>
    <t>2015-10-25</t>
  </si>
  <si>
    <t>2020-08-27</t>
  </si>
  <si>
    <t>2019-12-24</t>
  </si>
  <si>
    <t>2019-08-18</t>
  </si>
  <si>
    <t>2019-01-18</t>
  </si>
  <si>
    <t>2020-01-16</t>
  </si>
  <si>
    <t>dificil medir, hay dos grandes en la aórtica, es caso porque la previa es posterior a la eco</t>
  </si>
  <si>
    <t>muy grande pero no veo el 30, las embolias previas son el mismo día que la eco</t>
  </si>
  <si>
    <t>muy larga y móvil, embolia previa mismo día que el eco</t>
  </si>
  <si>
    <t>dificil de medir, muy anclada, caso curioso</t>
  </si>
  <si>
    <t>preguntar Adrian Fechas</t>
  </si>
  <si>
    <t xml:space="preserve"> no se medirla, comprobar adrián, iptus posterior, fallos de memoria </t>
  </si>
  <si>
    <t>preguntar adrian, pone embolia y informe tac 27 en palencia descarta embolismo pulmonar</t>
  </si>
  <si>
    <t>fecha cirugía cambiada tras mirar el historial</t>
  </si>
  <si>
    <t>IA</t>
  </si>
  <si>
    <t>Sin embolias previas o post ni muerte ni cirugía</t>
  </si>
  <si>
    <t>IA_RECORD</t>
  </si>
  <si>
    <t>HULFV-18</t>
  </si>
  <si>
    <t>HULFV-24</t>
  </si>
  <si>
    <t>HULFV-23</t>
  </si>
  <si>
    <t>HULFV-22</t>
  </si>
  <si>
    <t>HULFV-21</t>
  </si>
  <si>
    <t>HULFV-20</t>
  </si>
  <si>
    <t>HULFV-19</t>
  </si>
  <si>
    <t>2025-09-29</t>
  </si>
  <si>
    <t>2025-10-20</t>
  </si>
  <si>
    <t>2025-05-09</t>
  </si>
  <si>
    <t>2024-12-12</t>
  </si>
  <si>
    <t>2025-12-18</t>
  </si>
  <si>
    <t>2025-12-16</t>
  </si>
  <si>
    <t>2025-02-15</t>
  </si>
  <si>
    <t>2025-04-16</t>
  </si>
  <si>
    <t>2025-05-12</t>
  </si>
  <si>
    <t>2024-11-19</t>
  </si>
  <si>
    <t>2024-11-11</t>
  </si>
  <si>
    <t>2024-11-16</t>
  </si>
  <si>
    <t>2025-11-21</t>
  </si>
  <si>
    <t>2024-11-27</t>
  </si>
  <si>
    <t>HCUVA-2</t>
  </si>
  <si>
    <t>HCUVA-3</t>
  </si>
  <si>
    <t>HCUVA-4</t>
  </si>
  <si>
    <t>2025-08-21</t>
  </si>
  <si>
    <t>HCUVA-5</t>
  </si>
  <si>
    <t>2025-08-01</t>
  </si>
  <si>
    <t>2025-08-13</t>
  </si>
  <si>
    <t>2025-08-05</t>
  </si>
  <si>
    <t>2025-08-27</t>
  </si>
  <si>
    <t>HCUVA-6</t>
  </si>
  <si>
    <t>2025-07-31</t>
  </si>
  <si>
    <t>2025-09-03</t>
  </si>
  <si>
    <t>2025-09-22</t>
  </si>
  <si>
    <t>HCUVA-7</t>
  </si>
  <si>
    <t>2025-08-26</t>
  </si>
  <si>
    <t>2025-08-29</t>
  </si>
  <si>
    <t>2025-10-03</t>
  </si>
  <si>
    <t>HCUVA-8</t>
  </si>
  <si>
    <t>2025-08-25</t>
  </si>
  <si>
    <t>2025-08-24</t>
  </si>
  <si>
    <t>2025-08-28</t>
  </si>
  <si>
    <t>HCUVA-9</t>
  </si>
  <si>
    <t>2025-04-28</t>
  </si>
  <si>
    <t>HCUVA-10</t>
  </si>
  <si>
    <t>2025-09-05</t>
  </si>
  <si>
    <t>2025-09-09</t>
  </si>
  <si>
    <t>2025-09-10</t>
  </si>
  <si>
    <t>HCUVA-11</t>
  </si>
  <si>
    <t>2025-09-06</t>
  </si>
  <si>
    <t>2025-09-15</t>
  </si>
  <si>
    <t>2025-10-07</t>
  </si>
  <si>
    <t>HCUVA-12</t>
  </si>
  <si>
    <t>2025-08-31</t>
  </si>
  <si>
    <t>2025-09-19</t>
  </si>
  <si>
    <t>HCUVA</t>
  </si>
  <si>
    <t>Era la prueba</t>
  </si>
  <si>
    <t>HCSC_53</t>
  </si>
  <si>
    <t>HCSC_54</t>
  </si>
  <si>
    <t>Cirugía entre o previa a eco y embolia</t>
  </si>
  <si>
    <t>Embolia post-eco sin previas</t>
  </si>
  <si>
    <t>Embolia día  eco sin previas</t>
  </si>
  <si>
    <t>2023-02-01</t>
  </si>
  <si>
    <t>2021-08-12</t>
  </si>
  <si>
    <t>2023-01-13</t>
  </si>
  <si>
    <t>2023-03-04</t>
  </si>
  <si>
    <t>2024-10-06</t>
  </si>
  <si>
    <t>2025-02-10</t>
  </si>
  <si>
    <t>2015-10-30</t>
  </si>
  <si>
    <t>ecos en dos días diferentes, uno con prótesis y otro sin prótesis</t>
  </si>
  <si>
    <t>no la veo, mismo paciente que HULAL 48 en otra fecha, tiene ecos dos días diferentes</t>
  </si>
  <si>
    <t>2020-09-10</t>
  </si>
  <si>
    <t>fecha antes que el eco, la de la muerte estaba mal, no están la imágenes redcap, creo que es la que nos paso, comrpobar</t>
  </si>
  <si>
    <t>HCUVA-13</t>
  </si>
  <si>
    <t>2025-09-07</t>
  </si>
  <si>
    <t>2025-09-08</t>
  </si>
  <si>
    <t>2025-10-17</t>
  </si>
  <si>
    <t>HCUVA-14</t>
  </si>
  <si>
    <t>2025-10-18</t>
  </si>
  <si>
    <t>2025-09-13</t>
  </si>
  <si>
    <t>2025-10-14</t>
  </si>
  <si>
    <t>HCUVA-15</t>
  </si>
  <si>
    <t>2025-10-04</t>
  </si>
  <si>
    <t>2025-10-08</t>
  </si>
  <si>
    <t>2025-10-09</t>
  </si>
  <si>
    <t>2025-10-31</t>
  </si>
  <si>
    <t>HCUVA-16</t>
  </si>
  <si>
    <t>2025-10-11</t>
  </si>
  <si>
    <t>2025-11-05</t>
  </si>
  <si>
    <t>2025-11-22</t>
  </si>
  <si>
    <t>HCUVA-17</t>
  </si>
  <si>
    <t>2025-10-28</t>
  </si>
  <si>
    <t>2025-11-11</t>
  </si>
  <si>
    <t>HCUVA-18</t>
  </si>
  <si>
    <t>2025-10-25</t>
  </si>
  <si>
    <t>2025-10-15</t>
  </si>
  <si>
    <t>2025-10-27</t>
  </si>
  <si>
    <t>2025-11-02</t>
  </si>
  <si>
    <t>HCUVA-19</t>
  </si>
  <si>
    <t>2025-10-21</t>
  </si>
  <si>
    <t>2025-10-22</t>
  </si>
  <si>
    <t>2025-11-07</t>
  </si>
  <si>
    <t>2025-11-19</t>
  </si>
  <si>
    <t>2025-12-26</t>
  </si>
  <si>
    <t>HCUVA-20</t>
  </si>
  <si>
    <t>2025-11-10</t>
  </si>
  <si>
    <t>2025-11-27</t>
  </si>
  <si>
    <t>⁠28561</t>
  </si>
  <si>
    <t>Comentarios REDCAP</t>
  </si>
  <si>
    <t xml:space="preserve">Se realizo ecocardiograma transesofágico en el hospital Rio hortega con hallazgo de una vegetación mitral (ya con embolismo en bazo). Se realizó cirugía por vegetación de gran tamaño. 24hrs después de la cirugía, multiples embolismos cerebrales (no tenía TAC cerebral previo). </t>
  </si>
  <si>
    <t>No hay Fecha ECO, No hay ETE</t>
  </si>
  <si>
    <t>Se realizo ETT sin poder visualizar datos de endocarditis. Diagnostico con PET TAC</t>
  </si>
  <si>
    <t>El paciente ingresa con diagnostico en TAC de infarto esplénico. Se realiza ETT y ETE posteriores sin visualizar vegetaciones. Diagnostico por PET TC.</t>
  </si>
  <si>
    <t>AIT durante su estancia en urgencias. ETT y ETE posterior (realizado en UCOR). Diagnostico de embolismo esplénico en PET TAC del día 14-08-2025.</t>
  </si>
  <si>
    <t xml:space="preserve">El paciente ingresa el 29/7, diagnostico de embolismos 5/8, ETE 4/8 sin signos de endocarditis. ETE del dia 19/8 con absceso. </t>
  </si>
  <si>
    <t xml:space="preserve">Ingreso 19/8 con embolia en brazo. ETT 21/8 y ETE 26/8 ambos compatibles con enedocarditis con complicación perianular (sin vegetación). Embolismo cerebral 29/8. </t>
  </si>
  <si>
    <t xml:space="preserve">Presenta un ETT de Palencia 25-08 y un TAC cerebral 26-08 con ictus embólico agudo/subagudo. Luego presenta otro ETT en el HCUV del día 27/8. </t>
  </si>
  <si>
    <t>Tiene un ecocardiograma del día 08-09 por la mañana en hospital de Medina. Ese mismo día traslado al HCUV con empeoramiento marcado hasta TAC por la tarde con nuevo embolismo esplénico y rotura del mismo.</t>
  </si>
  <si>
    <t>No ha presentado eventos embólicos</t>
  </si>
  <si>
    <t>NO ha presentado eventos embólicos</t>
  </si>
  <si>
    <t>Ingreso con ecocardiograma trasntorácico y trasesfoágico el día 14-10. Presenta el día 19-10 evento embólico con hallzgo de lesiones cutáneas. Se realiza nuevo ETE el día 28-10.</t>
  </si>
  <si>
    <t xml:space="preserve">- Ecocardiograma del diagnostico el 21-10, ese mismo día realización de TAC abdominal con embolismos hepáticos y esplénicos (ETT después de TAC). </t>
  </si>
  <si>
    <t xml:space="preserve">ETT y ETE previo a intervencion quir´rugica. NO se detectaron embolismos pulmonares.  La endocarditis es sobre valvula tricuspide por cable de DAI </t>
  </si>
  <si>
    <t>No encuentro imágenes</t>
  </si>
  <si>
    <t>No está medida,No encuentro imágenes</t>
  </si>
  <si>
    <t>en el informe dice que en la ETE ya no se ven pero sí en la ETT</t>
  </si>
  <si>
    <t>No hay ETES</t>
  </si>
  <si>
    <t>Hay solo un loop valido</t>
  </si>
  <si>
    <t>2025-11-13</t>
  </si>
  <si>
    <t>No está medida y no se medirla, fecha eco cambiada a la que hay disponible, era 2025-11-19, en el informe pone que las únicas masas ancladas son al electrodo. Parece haber algo en la mitral</t>
  </si>
  <si>
    <t>masa gigante, muy poco móvil, muy anclada (comentario medico: : todo es una vegetación, pero al medirla se tiene que ver la parte anclada)</t>
  </si>
  <si>
    <t>no veo nada, redcap en la aórtica y yo la veo en la mitral</t>
  </si>
  <si>
    <t>No se medila, parece muy anclada. pone que solo tiene en aórtica pero parece que hay algo en la válvula mitral</t>
  </si>
  <si>
    <t>Bicúspide, no se medirla, me cuesta identificar la vegetación</t>
  </si>
  <si>
    <t>no se medirla. pone en la mitral, velo anterior pero no estoy seguro quen sea vegetación</t>
  </si>
  <si>
    <t>En el mismo estudio se fusionaron dos estudios, realizados el día 30/4/2025 y 5/5/2025. Analicen únicamente los archivos del día 30/4/2025</t>
  </si>
  <si>
    <t>Endocarditis protesica aortica (paciente portador de homoinjerto valvulado)</t>
  </si>
  <si>
    <t>Verificar ¿solo una imagen?</t>
  </si>
  <si>
    <t>No puedo subir ambas dejo la primera parte del ETT del 25/07/2022</t>
  </si>
  <si>
    <t xml:space="preserve">Es previo a la embolia abdominal, pero no a la cerebral. </t>
  </si>
  <si>
    <t>MCH con EI sobre válvula aórtica tras miectomía 22.01.24. Verruga de 17 mm. ETE de control sin verruga con sospecha de embolia. Dx de embolia bazo por TC.</t>
  </si>
  <si>
    <t>EI sobre Enf Barlow con IM severa que se diagnostica precirugía por fiebre. La indicación quirúrgica estaba asentada.     Es un ETT + ETE</t>
  </si>
  <si>
    <t xml:space="preserve">EI sobre prótesis aórtica con gradiente moderadamente aumentado de forma crónica y leak paravalvular con IAo severa conocida previamente. </t>
  </si>
  <si>
    <t>ETT y ETE. Tiene imágenes 3D</t>
  </si>
  <si>
    <t>Contiene imágenes 3D</t>
  </si>
  <si>
    <t>Tiene imágenes 3D</t>
  </si>
  <si>
    <t xml:space="preserve">Tiene imágenes 3D.   Embolia periférica MMII. </t>
  </si>
  <si>
    <t xml:space="preserve">Mismo día que TC abdomen que evidenció embolismo esplénico. Antes de embolismo arterial periférico (dx 12.02 clínica + TC).     Tiene imágenes 3D.    EI sobre TAVI. </t>
  </si>
  <si>
    <t>EI sobre estenosis aórtica severa conocida.     Tiene imágenes 3D</t>
  </si>
  <si>
    <t xml:space="preserve">Incluye imágenes 3D.     Embolia renal dx tras ETE inicial. ETE control 16.06 con crecimiento de vegetación. Indicación qx. </t>
  </si>
  <si>
    <t>Sólo imágenes 2D</t>
  </si>
  <si>
    <t>Incluye imágenes 3D</t>
  </si>
  <si>
    <t xml:space="preserve">Contiene imágenes 3D.     Realizado antes del diagnóstico de embolia cerebral por RM cerebral (asintomática). </t>
  </si>
  <si>
    <t xml:space="preserve">Sólo ETT (diagnóstico por esta técnica)  </t>
  </si>
  <si>
    <t xml:space="preserve">Contiene imágenes 3D.     La paciente ingresó por IC grave. Requirió HD. Se diagnosticó durante ingreso de EI. </t>
  </si>
  <si>
    <t xml:space="preserve">Contiene imágenes 3D.   </t>
  </si>
  <si>
    <t>Dx en otro centro por ETE 23.11.21. Verruga de 14 mm.     Traslado a nuestro centro por IC e IAo severa. ETE en nuestro centro con Verruga 22 mm.     Incluye imágenes 3D</t>
  </si>
  <si>
    <t xml:space="preserve">ETE en FA con RVR (FA dx al ingreso).    Contiene imágenes 3D. </t>
  </si>
  <si>
    <t xml:space="preserve">Contiene imágenes 3D    </t>
  </si>
  <si>
    <t xml:space="preserve">ETE previa a embolia.     Paciente con cirrosis hepática ingresado por TIPs con trombosis. Se inició Adiro. Se dx posteriormente EI por E faecalis. TC con embolia preETE en bazo. </t>
  </si>
  <si>
    <t>Diagnóstico inicial por ETT el 20.9.2017</t>
  </si>
  <si>
    <t>Perdón. Este paciente no tiene ETE, , se ha incluido por error. Ruego eliminen la ficha</t>
  </si>
  <si>
    <t>A</t>
  </si>
  <si>
    <t>REVISIÓN:</t>
  </si>
  <si>
    <t>Sin medir</t>
  </si>
  <si>
    <t>B</t>
  </si>
  <si>
    <t>C</t>
  </si>
  <si>
    <t>SM</t>
  </si>
  <si>
    <t>Importante Revisar</t>
  </si>
  <si>
    <t>Hay que revisarlo</t>
  </si>
  <si>
    <t>MMD</t>
  </si>
  <si>
    <t>MD</t>
  </si>
  <si>
    <t>Medición diferente</t>
  </si>
  <si>
    <t>A MMD</t>
  </si>
  <si>
    <t>Mide menos que 14, no veo la de la aórtica</t>
  </si>
  <si>
    <t>parece más pequeña, muy móvil y alargada, no indicación de cirugía ?( No es una vegetación lo de la mitral? El experto en Imagen también duda)</t>
  </si>
  <si>
    <t>muy anclada, dificil de medir, sin indicación?</t>
  </si>
  <si>
    <t>Estaría Bien comentarlo</t>
  </si>
  <si>
    <t>No se realiza la cirugía porque se muere y complicación neurológica, medida Tere</t>
  </si>
  <si>
    <t>No se medirla, no está medida, medida por Tere</t>
  </si>
  <si>
    <t>No parece embolizable, está sin medir, medida Tere</t>
  </si>
  <si>
    <t>pone que la fecha es anterior a la eco, no está medida, dificil de medir, medida Tere</t>
  </si>
  <si>
    <t>No medida, parece pequeña, medida Tere</t>
  </si>
  <si>
    <t>cuesta medirla, muy anclada, medida Tere</t>
  </si>
  <si>
    <t>no esta medida, no se medirla, medida Tere</t>
  </si>
  <si>
    <t>no esta medida,muy pequeña,  no se medirla, medida Tere</t>
  </si>
  <si>
    <t>es grande, medida Tere</t>
  </si>
  <si>
    <t>No se medirla, pequeña, medidaTere</t>
  </si>
  <si>
    <t>No está medida, medida Tere</t>
  </si>
  <si>
    <t>comentarios</t>
  </si>
  <si>
    <t>La única ete que encuentro es del 17 y se mide otra cosa que no es una vegetación</t>
  </si>
  <si>
    <t>HCSC51</t>
  </si>
  <si>
    <t>Parece mitral, no lo veo en ningún split</t>
  </si>
  <si>
    <t>dificil de ver, No la encuentro en los splits</t>
  </si>
  <si>
    <t>gigante, No la encuentro en los splits</t>
  </si>
  <si>
    <t>Ha subido tres imagénes y no son validas, Carlos dice descartar</t>
  </si>
  <si>
    <t>No se medirla, pone que le ha dado una embolia previa pero no pone fecha, Carlos suponer que esta fecha</t>
  </si>
  <si>
    <t>No la veo, visto Tere yo tampoco la veo, Carlos dice descartar</t>
  </si>
  <si>
    <t>bastante grande, más de 6</t>
  </si>
  <si>
    <t>No la veo, He preguntado a Tere y ella tampoco</t>
  </si>
  <si>
    <t xml:space="preserve">no se mide bien en las vistas que usamos, </t>
  </si>
  <si>
    <t>HCSCM-55</t>
  </si>
  <si>
    <t>HCSCM-56</t>
  </si>
  <si>
    <t>2025-10-29</t>
  </si>
  <si>
    <t>2025-11-03</t>
  </si>
  <si>
    <t>2025-12-19</t>
  </si>
  <si>
    <t>2025-09-25</t>
  </si>
  <si>
    <t>2025-09-23</t>
  </si>
  <si>
    <t>2025-10-01</t>
  </si>
  <si>
    <t>Muy grande y fecha cirugía y alta 246 días despues, medido Tere, escribirles correo</t>
  </si>
  <si>
    <t>No hay ecos buenas, solo transgánstricas donde se ve muy mal</t>
  </si>
  <si>
    <t>es el 46 y lo ha rellenado diferente y con fechas mal</t>
  </si>
  <si>
    <t>solo hay transtorácicas, no indican cirugía?</t>
  </si>
  <si>
    <t>creo que la fecha alta está mal se ha cambiado el año</t>
  </si>
  <si>
    <t>2021-10-20</t>
  </si>
  <si>
    <t>la embolia es un mes después</t>
  </si>
  <si>
    <t>cirugía a los 4 días</t>
  </si>
  <si>
    <t xml:space="preserve"> fecha ponía 02 en vez de 01, no correspondía con el dicom. Medida Tere</t>
  </si>
  <si>
    <t>Pone solo aórtica pero parece que en la mitral también hay. Son las dos dificiles de medir. Además de tener post, tiene previa mismo día que la eco. Medidas Tere</t>
  </si>
  <si>
    <t>Medida Tere</t>
  </si>
  <si>
    <t>No esta medida, no la veo, solo se ve en vistas de la aórtica de eje corto.Medida Tere</t>
  </si>
  <si>
    <t>M</t>
  </si>
  <si>
    <t>muy grande, embolia post cirugía, Medida Tere</t>
  </si>
  <si>
    <t>Tiene dos ETES Las fechas de las dos ETES encontradas se aleja mucho de la puesta,se cambia la fecha de la ETE y se mide en dichas imágenes . Le da una embolia después del alta en medina del campo, Que se hace? Medido Tere la del  2025 09 29</t>
  </si>
  <si>
    <t>2025-08-06</t>
  </si>
  <si>
    <t>no hay imágenes</t>
  </si>
  <si>
    <t>Eco mucho después que embolias tratamiento e ingreso y en las imágenes otra fecha todavía posterior donde no se ve nada. Comentario Andrea correo: Procede del río hortega donde se realizó el ETE</t>
  </si>
  <si>
    <t>No está medida, yo si que veo vegetaciónes largas, en las imágenes sin filtrar se ven varias en vistas dobles, andrea al verlo tambien duda. Medida Tere. Andre confirma que es aórtica y se mide en el Redcap depués de Tere</t>
  </si>
  <si>
    <t>alta antes que cirugía. La ETE se hizo en quirofano y Andrea duda que este disponible</t>
  </si>
  <si>
    <t xml:space="preserve"> no hay imágenes, viene del Río Hortega</t>
  </si>
  <si>
    <t>2025-10-23</t>
  </si>
  <si>
    <t>en la eco es más pequeña y es antes de la que pone el redcap, medida por Andrea en la Eco Válida que no es la puesta en el REDCAP pero ha sido corregida</t>
  </si>
  <si>
    <t>2021-10-30</t>
  </si>
  <si>
    <t>Hay dos en la mitral,pasa bastante hasta la muerte sin embolia con vegetación grande. Fecha de Muerte corregida por el hospital tras correo. Viendo imagen Dificil entender que no embolice</t>
  </si>
  <si>
    <t>HULAL-66</t>
  </si>
  <si>
    <t>2025-08-15</t>
  </si>
  <si>
    <t>HULAL-67</t>
  </si>
  <si>
    <t>2025-09-30</t>
  </si>
  <si>
    <t>HULAL-68</t>
  </si>
  <si>
    <t>2025-09-11</t>
  </si>
  <si>
    <t>HULAL-69</t>
  </si>
  <si>
    <t>2025-09-12</t>
  </si>
  <si>
    <t>2025-09-16</t>
  </si>
  <si>
    <t>HULAL-70</t>
  </si>
  <si>
    <t>HULAL-71</t>
  </si>
  <si>
    <t>2025-09-26</t>
  </si>
  <si>
    <t>HULAL-72</t>
  </si>
  <si>
    <t>2025-09-20</t>
  </si>
  <si>
    <t>2026-01-06</t>
  </si>
  <si>
    <t>HULAL-73</t>
  </si>
  <si>
    <t>HULAL-74</t>
  </si>
  <si>
    <t>2025-10-30</t>
  </si>
  <si>
    <t>2025-11-26</t>
  </si>
  <si>
    <t>HULAL-75</t>
  </si>
  <si>
    <t>2025-10-24</t>
  </si>
  <si>
    <t>2025-11-12</t>
  </si>
  <si>
    <t>2025-12-01</t>
  </si>
  <si>
    <t>HULAL-76</t>
  </si>
  <si>
    <t>HULAL-77</t>
  </si>
  <si>
    <t>2025-11-20</t>
  </si>
  <si>
    <t>HULAL-78</t>
  </si>
  <si>
    <t>2025-12-08</t>
  </si>
  <si>
    <t>2026-01-15</t>
  </si>
  <si>
    <t>sm</t>
  </si>
  <si>
    <t>HULAL-79</t>
  </si>
  <si>
    <t>2025-11-28</t>
  </si>
  <si>
    <t>2026-01-09</t>
  </si>
  <si>
    <t>dificil saber donde empieza, fecha de ingreso es la misma que la del alta y la cirugía es después, enviar correo. Fechas corregidas por hospital tras correo</t>
  </si>
  <si>
    <t>2021-07-29</t>
  </si>
  <si>
    <t>en la mitral también hay algo con movimiento algo con movimiento errático. la fecha del alta es la misma que la de ingreso y anterior a la eco y a la cirugía. Revisadas las fechas por el hospital tras correo</t>
  </si>
  <si>
    <t>no son 20. fecha del alta misma que la de ingreso y anterior al eco. Revisadas fechas por el hospital tras correo</t>
  </si>
  <si>
    <t>en el 35 se ha rellenado diferente y no le da embolia…, pequeña. Tras correo nos dicen que este es el correcto</t>
  </si>
  <si>
    <t>Misma que la 30, nos dicen con correo que descartar</t>
  </si>
  <si>
    <t>Correo:El paciente fue dado de alta inicialmente el 10/06/2022, encontrándose estable. Posteriormente fue valorado en consulta de cirugía  ardíaca, donde se decide nuevo ingreso para intervención el 09/02/2023, con alta definitiva el 14/02/2023. Ya hemos modificado la fecha de alta inicial al 10/06/2022.</t>
  </si>
  <si>
    <t>2022-06-10</t>
  </si>
  <si>
    <t>Dificil de ver y medir</t>
  </si>
  <si>
    <t>Dificil identificar la vegetación</t>
  </si>
  <si>
    <t>No venía fecha eco, se ha puesto la del dicom. Parece pequeña pero muy filiforme</t>
  </si>
  <si>
    <t>Anclada al boton, no muy grande pero muy móvil</t>
  </si>
  <si>
    <t>2025-09-17</t>
  </si>
  <si>
    <t>No había fecha eco, se ha puesto la del dicom. Hay dos en la mitral bastante embolizables y parecen mayores de 10</t>
  </si>
  <si>
    <t>pequeña pero muy móvil</t>
  </si>
  <si>
    <t>las partes móviles son pequeñas</t>
  </si>
  <si>
    <t>Pone aórtica pero sin medir y tiene un destrozo importante. Localizada para ser etiquetada por Tere</t>
  </si>
  <si>
    <t>Parece que hay más de una en la mitral, pequeñas, no se ven muy bien</t>
  </si>
  <si>
    <t>No veo la de la aórtica y parece más grande</t>
  </si>
  <si>
    <t>Muy pequeña</t>
  </si>
  <si>
    <t xml:space="preserve">Muy pequeña y cuesta bastante identificarla </t>
  </si>
  <si>
    <t>dos muy pequeñas en el borde de los velos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</si>
</sst>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b/>
      <sz val="11"/>
      <name val="Calibri"/>
      <family val="2"/>
    </font>
    <font>
      <sz val="12"/>
      <color theme="1"/>
      <name val="Calibri"/>
      <family val="2"/>
      <scheme val="minor"/>
    </font>
    <font>
      <sz val="12"/>
      <color rgb="FF000000"/>
      <name val="Calibri"/>
      <family val="2"/>
      <scheme val="minor"/>
    </font>
    <font>
      <sz val="12"/>
      <color theme="0"/>
      <name val="Calibri"/>
      <family val="2"/>
      <scheme val="minor"/>
    </font>
    <font>
      <sz val="11"/>
      <color rgb="FF000000"/>
      <name val="Calibri"/>
      <family val="2"/>
      <scheme val="minor"/>
    </font>
    <font>
      <b/>
      <sz val="11"/>
      <name val="Calibri"/>
    </font>
    <font>
      <sz val="11"/>
      <color rgb="FFCCECFF"/>
      <name val="Calibri"/>
      <family val="2"/>
      <scheme val="minor"/>
    </font>
    <font>
      <sz val="8"/>
      <name val="Calibri"/>
      <family val="2"/>
      <scheme val="minor"/>
    </font>
  </fonts>
  <fills count="17">
    <fill>
      <patternFill patternType="none"/>
    </fill>
    <fill>
      <patternFill patternType="gray125"/>
    </fill>
    <fill>
      <patternFill patternType="solid">
        <fgColor rgb="FF00B0F0"/>
        <bgColor indexed="64"/>
      </patternFill>
    </fill>
    <fill>
      <patternFill patternType="solid">
        <fgColor rgb="FFFFFF00"/>
        <bgColor indexed="64"/>
      </patternFill>
    </fill>
    <fill>
      <patternFill patternType="solid">
        <fgColor rgb="FF92D050"/>
        <bgColor indexed="64"/>
      </patternFill>
    </fill>
    <fill>
      <patternFill patternType="solid">
        <fgColor rgb="FFFF0000"/>
        <bgColor indexed="64"/>
      </patternFill>
    </fill>
    <fill>
      <patternFill patternType="solid">
        <fgColor rgb="FFFFC000"/>
        <bgColor indexed="64"/>
      </patternFill>
    </fill>
    <fill>
      <patternFill patternType="solid">
        <fgColor theme="8" tint="0.79998168889431442"/>
        <bgColor indexed="64"/>
      </patternFill>
    </fill>
    <fill>
      <patternFill patternType="solid">
        <fgColor theme="5" tint="0.39997558519241921"/>
        <bgColor indexed="64"/>
      </patternFill>
    </fill>
    <fill>
      <patternFill patternType="solid">
        <fgColor theme="7"/>
        <bgColor indexed="64"/>
      </patternFill>
    </fill>
    <fill>
      <patternFill patternType="solid">
        <fgColor theme="0" tint="-0.499984740745262"/>
        <bgColor indexed="64"/>
      </patternFill>
    </fill>
    <fill>
      <patternFill patternType="solid">
        <fgColor theme="9" tint="0.39997558519241921"/>
        <bgColor indexed="64"/>
      </patternFill>
    </fill>
    <fill>
      <patternFill patternType="solid">
        <fgColor theme="6" tint="-0.499984740745262"/>
        <bgColor indexed="64"/>
      </patternFill>
    </fill>
    <fill>
      <patternFill patternType="solid">
        <fgColor rgb="FF0070C0"/>
        <bgColor indexed="64"/>
      </patternFill>
    </fill>
    <fill>
      <patternFill patternType="solid">
        <fgColor theme="6" tint="0.79998168889431442"/>
        <bgColor indexed="64"/>
      </patternFill>
    </fill>
    <fill>
      <patternFill patternType="solid">
        <fgColor rgb="FFFFFFCC"/>
        <bgColor indexed="64"/>
      </patternFill>
    </fill>
    <fill>
      <patternFill patternType="solid">
        <fgColor rgb="FF969696"/>
        <bgColor indexed="64"/>
      </patternFill>
    </fill>
  </fills>
  <borders count="3">
    <border>
      <left/>
      <right/>
      <top/>
      <bottom/>
      <diagonal/>
    </border>
    <border>
      <left style="thin">
        <color auto="1"/>
      </left>
      <right style="thin">
        <color auto="1"/>
      </right>
      <top style="thin">
        <color auto="1"/>
      </top>
      <bottom style="thin">
        <color auto="1"/>
      </bottom>
      <diagonal/>
    </border>
    <border>
      <left/>
      <right/>
      <top/>
      <bottom style="thin">
        <color indexed="64"/>
      </bottom>
      <diagonal/>
    </border>
  </borders>
  <cellStyleXfs count="1">
    <xf numFmtId="0" fontId="0" fillId="0" borderId="0"/>
  </cellStyleXfs>
  <cellXfs count="106">
    <xf numFmtId="0" fontId="0" fillId="0" borderId="0" xfId="0"/>
    <xf numFmtId="0" fontId="0" fillId="0" borderId="0" xfId="0" applyAlignment="1">
      <alignment horizontal="center"/>
    </xf>
    <xf numFmtId="0" fontId="0" fillId="4" borderId="0" xfId="0" applyFill="1" applyAlignment="1">
      <alignment horizontal="center"/>
    </xf>
    <xf numFmtId="0" fontId="0" fillId="2" borderId="0" xfId="0" applyFill="1" applyAlignment="1">
      <alignment horizontal="center"/>
    </xf>
    <xf numFmtId="0" fontId="0" fillId="5" borderId="0" xfId="0" applyFill="1" applyAlignment="1">
      <alignment horizontal="center"/>
    </xf>
    <xf numFmtId="49" fontId="0" fillId="2" borderId="0" xfId="0" applyNumberFormat="1" applyFill="1" applyAlignment="1">
      <alignment horizontal="center"/>
    </xf>
    <xf numFmtId="49" fontId="0" fillId="4" borderId="0" xfId="0" applyNumberFormat="1" applyFill="1" applyAlignment="1">
      <alignment horizontal="center"/>
    </xf>
    <xf numFmtId="49" fontId="0" fillId="5" borderId="0" xfId="0" applyNumberFormat="1" applyFill="1" applyAlignment="1">
      <alignment horizontal="center"/>
    </xf>
    <xf numFmtId="0" fontId="2" fillId="2" borderId="0" xfId="0" applyFont="1" applyFill="1" applyAlignment="1">
      <alignment horizontal="center"/>
    </xf>
    <xf numFmtId="0" fontId="2" fillId="2" borderId="0" xfId="0" applyFont="1" applyFill="1" applyAlignment="1">
      <alignment horizontal="left"/>
    </xf>
    <xf numFmtId="0" fontId="0" fillId="2" borderId="0" xfId="0" applyFill="1" applyAlignment="1">
      <alignment horizontal="left"/>
    </xf>
    <xf numFmtId="0" fontId="1" fillId="0" borderId="1" xfId="0" applyFont="1" applyBorder="1" applyAlignment="1">
      <alignment horizontal="center" vertical="top"/>
    </xf>
    <xf numFmtId="49" fontId="1" fillId="0" borderId="1" xfId="0" applyNumberFormat="1" applyFont="1" applyBorder="1" applyAlignment="1">
      <alignment horizontal="center" vertical="top"/>
    </xf>
    <xf numFmtId="49" fontId="0" fillId="0" borderId="0" xfId="0" applyNumberFormat="1" applyAlignment="1">
      <alignment horizontal="center"/>
    </xf>
    <xf numFmtId="0" fontId="3" fillId="4" borderId="0" xfId="0" applyFont="1" applyFill="1" applyAlignment="1">
      <alignment horizontal="center" vertical="center" readingOrder="1"/>
    </xf>
    <xf numFmtId="0" fontId="2" fillId="4" borderId="0" xfId="0" applyFont="1" applyFill="1" applyAlignment="1">
      <alignment horizontal="left"/>
    </xf>
    <xf numFmtId="0" fontId="0" fillId="4" borderId="0" xfId="0" applyFill="1" applyAlignment="1">
      <alignment horizontal="left"/>
    </xf>
    <xf numFmtId="0" fontId="0" fillId="6" borderId="0" xfId="0" applyFill="1" applyAlignment="1">
      <alignment horizontal="center"/>
    </xf>
    <xf numFmtId="0" fontId="2" fillId="6" borderId="0" xfId="0" applyFont="1" applyFill="1" applyAlignment="1">
      <alignment horizontal="center"/>
    </xf>
    <xf numFmtId="0" fontId="2" fillId="6" borderId="0" xfId="0" applyFont="1" applyFill="1" applyAlignment="1">
      <alignment horizontal="left"/>
    </xf>
    <xf numFmtId="0" fontId="0" fillId="6" borderId="0" xfId="0" applyFill="1" applyAlignment="1">
      <alignment horizontal="left"/>
    </xf>
    <xf numFmtId="49" fontId="0" fillId="6" borderId="0" xfId="0" applyNumberFormat="1" applyFill="1" applyAlignment="1">
      <alignment horizontal="center"/>
    </xf>
    <xf numFmtId="0" fontId="3" fillId="5" borderId="0" xfId="0" applyFont="1" applyFill="1" applyAlignment="1">
      <alignment horizontal="center" vertical="center" readingOrder="1"/>
    </xf>
    <xf numFmtId="0" fontId="2" fillId="5" borderId="0" xfId="0" applyFont="1" applyFill="1" applyAlignment="1">
      <alignment horizontal="left"/>
    </xf>
    <xf numFmtId="0" fontId="0" fillId="5" borderId="0" xfId="0" applyFill="1" applyAlignment="1">
      <alignment horizontal="left"/>
    </xf>
    <xf numFmtId="0" fontId="0" fillId="3" borderId="0" xfId="0" applyFill="1" applyAlignment="1">
      <alignment horizontal="center"/>
    </xf>
    <xf numFmtId="0" fontId="3" fillId="3" borderId="0" xfId="0" applyFont="1" applyFill="1" applyAlignment="1">
      <alignment horizontal="center" vertical="center" readingOrder="1"/>
    </xf>
    <xf numFmtId="0" fontId="2" fillId="3" borderId="0" xfId="0" applyFont="1" applyFill="1" applyAlignment="1">
      <alignment horizontal="left"/>
    </xf>
    <xf numFmtId="0" fontId="0" fillId="3" borderId="0" xfId="0" applyFill="1" applyAlignment="1">
      <alignment horizontal="left"/>
    </xf>
    <xf numFmtId="49" fontId="0" fillId="3" borderId="0" xfId="0" applyNumberFormat="1" applyFill="1" applyAlignment="1">
      <alignment horizontal="center"/>
    </xf>
    <xf numFmtId="0" fontId="0" fillId="7" borderId="0" xfId="0" applyFill="1" applyAlignment="1">
      <alignment horizontal="center"/>
    </xf>
    <xf numFmtId="0" fontId="3" fillId="7" borderId="0" xfId="0" applyFont="1" applyFill="1" applyAlignment="1">
      <alignment horizontal="center" vertical="center" readingOrder="1"/>
    </xf>
    <xf numFmtId="0" fontId="2" fillId="7" borderId="0" xfId="0" applyFont="1" applyFill="1" applyAlignment="1">
      <alignment horizontal="left"/>
    </xf>
    <xf numFmtId="0" fontId="0" fillId="7" borderId="0" xfId="0" applyFill="1" applyAlignment="1">
      <alignment horizontal="left"/>
    </xf>
    <xf numFmtId="49" fontId="0" fillId="7" borderId="0" xfId="0" applyNumberFormat="1" applyFill="1" applyAlignment="1">
      <alignment horizontal="center"/>
    </xf>
    <xf numFmtId="0" fontId="0" fillId="8" borderId="0" xfId="0" applyFill="1" applyAlignment="1">
      <alignment horizontal="center"/>
    </xf>
    <xf numFmtId="0" fontId="3" fillId="8" borderId="0" xfId="0" applyFont="1" applyFill="1" applyAlignment="1">
      <alignment horizontal="center" vertical="center" readingOrder="1"/>
    </xf>
    <xf numFmtId="0" fontId="2" fillId="8" borderId="0" xfId="0" applyFont="1" applyFill="1" applyAlignment="1">
      <alignment horizontal="left"/>
    </xf>
    <xf numFmtId="0" fontId="0" fillId="8" borderId="0" xfId="0" applyFill="1" applyAlignment="1">
      <alignment horizontal="left"/>
    </xf>
    <xf numFmtId="49" fontId="0" fillId="8" borderId="0" xfId="0" applyNumberFormat="1" applyFill="1" applyAlignment="1">
      <alignment horizontal="center"/>
    </xf>
    <xf numFmtId="0" fontId="0" fillId="9" borderId="0" xfId="0" applyFill="1" applyAlignment="1">
      <alignment horizontal="center"/>
    </xf>
    <xf numFmtId="0" fontId="3" fillId="9" borderId="0" xfId="0" applyFont="1" applyFill="1" applyAlignment="1">
      <alignment horizontal="center" vertical="center" readingOrder="1"/>
    </xf>
    <xf numFmtId="0" fontId="2" fillId="9" borderId="0" xfId="0" applyFont="1" applyFill="1" applyAlignment="1">
      <alignment horizontal="left"/>
    </xf>
    <xf numFmtId="0" fontId="0" fillId="9" borderId="0" xfId="0" applyFill="1" applyAlignment="1">
      <alignment horizontal="left"/>
    </xf>
    <xf numFmtId="49" fontId="0" fillId="9" borderId="0" xfId="0" applyNumberFormat="1" applyFill="1" applyAlignment="1">
      <alignment horizontal="center"/>
    </xf>
    <xf numFmtId="0" fontId="0" fillId="10" borderId="0" xfId="0" applyFill="1" applyAlignment="1">
      <alignment horizontal="center"/>
    </xf>
    <xf numFmtId="0" fontId="0" fillId="10" borderId="0" xfId="0" applyFill="1"/>
    <xf numFmtId="49" fontId="0" fillId="10" borderId="0" xfId="0" applyNumberFormat="1" applyFill="1" applyAlignment="1">
      <alignment horizontal="center"/>
    </xf>
    <xf numFmtId="14" fontId="0" fillId="3" borderId="0" xfId="0" applyNumberFormat="1" applyFill="1" applyAlignment="1">
      <alignment horizontal="center"/>
    </xf>
    <xf numFmtId="0" fontId="0" fillId="11" borderId="0" xfId="0" applyFill="1" applyAlignment="1">
      <alignment horizontal="center"/>
    </xf>
    <xf numFmtId="0" fontId="0" fillId="11" borderId="0" xfId="0" applyFill="1" applyAlignment="1">
      <alignment horizontal="left"/>
    </xf>
    <xf numFmtId="49" fontId="0" fillId="11" borderId="0" xfId="0" applyNumberFormat="1" applyFill="1" applyAlignment="1">
      <alignment horizontal="center"/>
    </xf>
    <xf numFmtId="0" fontId="0" fillId="12" borderId="0" xfId="0" applyFill="1" applyAlignment="1">
      <alignment horizontal="center"/>
    </xf>
    <xf numFmtId="0" fontId="3" fillId="12" borderId="0" xfId="0" applyFont="1" applyFill="1" applyAlignment="1">
      <alignment horizontal="center" vertical="center" readingOrder="1"/>
    </xf>
    <xf numFmtId="0" fontId="0" fillId="12" borderId="0" xfId="0" applyFill="1" applyAlignment="1">
      <alignment horizontal="left"/>
    </xf>
    <xf numFmtId="0" fontId="4" fillId="12" borderId="0" xfId="0" applyFont="1" applyFill="1" applyAlignment="1">
      <alignment horizontal="left"/>
    </xf>
    <xf numFmtId="49" fontId="0" fillId="12" borderId="0" xfId="0" applyNumberFormat="1" applyFill="1" applyAlignment="1">
      <alignment horizontal="center"/>
    </xf>
    <xf numFmtId="0" fontId="0" fillId="0" borderId="0" xfId="0" applyAlignment="1">
      <alignment horizontal="left"/>
    </xf>
    <xf numFmtId="0" fontId="0" fillId="0" borderId="0" xfId="0" applyAlignment="1">
      <alignment horizontal="right"/>
    </xf>
    <xf numFmtId="0" fontId="0" fillId="13" borderId="0" xfId="0" applyFill="1" applyAlignment="1">
      <alignment horizontal="center"/>
    </xf>
    <xf numFmtId="0" fontId="2" fillId="13" borderId="0" xfId="0" applyFont="1" applyFill="1" applyAlignment="1">
      <alignment horizontal="left"/>
    </xf>
    <xf numFmtId="49" fontId="0" fillId="13" borderId="0" xfId="0" applyNumberFormat="1" applyFill="1" applyAlignment="1">
      <alignment horizontal="center"/>
    </xf>
    <xf numFmtId="14" fontId="0" fillId="13" borderId="0" xfId="0" applyNumberFormat="1" applyFill="1" applyAlignment="1">
      <alignment horizontal="center"/>
    </xf>
    <xf numFmtId="0" fontId="5" fillId="0" borderId="0" xfId="0" applyFont="1" applyAlignment="1">
      <alignment horizontal="left" vertical="center" readingOrder="1"/>
    </xf>
    <xf numFmtId="0" fontId="0" fillId="14" borderId="0" xfId="0" applyFill="1" applyAlignment="1">
      <alignment horizontal="center"/>
    </xf>
    <xf numFmtId="0" fontId="0" fillId="14" borderId="0" xfId="0" applyFill="1"/>
    <xf numFmtId="49" fontId="0" fillId="14" borderId="0" xfId="0" applyNumberFormat="1" applyFill="1" applyAlignment="1">
      <alignment horizontal="center"/>
    </xf>
    <xf numFmtId="14" fontId="0" fillId="14" borderId="0" xfId="0" applyNumberFormat="1" applyFill="1" applyAlignment="1">
      <alignment horizontal="center"/>
    </xf>
    <xf numFmtId="0" fontId="0" fillId="15" borderId="0" xfId="0" applyFill="1" applyAlignment="1">
      <alignment horizontal="center"/>
    </xf>
    <xf numFmtId="0" fontId="0" fillId="15" borderId="0" xfId="0" applyFill="1"/>
    <xf numFmtId="49" fontId="0" fillId="15" borderId="0" xfId="0" applyNumberFormat="1" applyFill="1" applyAlignment="1">
      <alignment horizontal="center"/>
    </xf>
    <xf numFmtId="14" fontId="0" fillId="15" borderId="0" xfId="0" applyNumberFormat="1" applyFill="1" applyAlignment="1">
      <alignment horizontal="center"/>
    </xf>
    <xf numFmtId="0" fontId="0" fillId="16" borderId="0" xfId="0" applyFill="1" applyAlignment="1">
      <alignment horizontal="center"/>
    </xf>
    <xf numFmtId="0" fontId="0" fillId="16" borderId="0" xfId="0" applyFill="1"/>
    <xf numFmtId="0" fontId="2" fillId="16" borderId="0" xfId="0" applyFont="1" applyFill="1" applyAlignment="1">
      <alignment horizontal="left"/>
    </xf>
    <xf numFmtId="49" fontId="0" fillId="16" borderId="0" xfId="0" applyNumberFormat="1" applyFill="1" applyAlignment="1">
      <alignment horizontal="center"/>
    </xf>
    <xf numFmtId="14" fontId="0" fillId="16" borderId="0" xfId="0" applyNumberFormat="1" applyFill="1" applyAlignment="1">
      <alignment horizontal="center"/>
    </xf>
    <xf numFmtId="14" fontId="0" fillId="9" borderId="0" xfId="0" applyNumberFormat="1" applyFill="1" applyAlignment="1">
      <alignment horizontal="center"/>
    </xf>
    <xf numFmtId="14" fontId="0" fillId="2" borderId="0" xfId="0" applyNumberFormat="1" applyFill="1" applyAlignment="1">
      <alignment horizontal="center"/>
    </xf>
    <xf numFmtId="0" fontId="0" fillId="0" borderId="2" xfId="0" applyBorder="1" applyAlignment="1">
      <alignment horizontal="center"/>
    </xf>
    <xf numFmtId="14" fontId="0" fillId="7" borderId="0" xfId="0" applyNumberFormat="1" applyFill="1" applyAlignment="1">
      <alignment horizontal="center"/>
    </xf>
    <xf numFmtId="14" fontId="0" fillId="5" borderId="0" xfId="0" applyNumberFormat="1" applyFill="1" applyAlignment="1">
      <alignment horizontal="center"/>
    </xf>
    <xf numFmtId="49" fontId="2" fillId="6" borderId="0" xfId="0" applyNumberFormat="1" applyFont="1" applyFill="1" applyAlignment="1">
      <alignment horizontal="center"/>
    </xf>
    <xf numFmtId="0" fontId="3" fillId="0" borderId="0" xfId="0" applyFont="1" applyAlignment="1">
      <alignment horizontal="center" vertical="center" readingOrder="1"/>
    </xf>
    <xf numFmtId="0" fontId="2" fillId="0" borderId="0" xfId="0" applyFont="1" applyAlignment="1">
      <alignment horizontal="center"/>
    </xf>
    <xf numFmtId="0" fontId="3" fillId="0" borderId="0" xfId="0" applyFont="1" applyAlignment="1">
      <alignment horizontal="left" vertical="center" readingOrder="1"/>
    </xf>
    <xf numFmtId="0" fontId="2" fillId="0" borderId="0" xfId="0" applyFont="1" applyAlignment="1">
      <alignment horizontal="left"/>
    </xf>
    <xf numFmtId="0" fontId="0" fillId="0" borderId="2" xfId="0" applyBorder="1" applyAlignment="1">
      <alignment horizontal="left"/>
    </xf>
    <xf numFmtId="0" fontId="1" fillId="0" borderId="1" xfId="0" applyFont="1" applyBorder="1" applyAlignment="1">
      <alignment horizontal="left" vertical="top"/>
    </xf>
    <xf numFmtId="49" fontId="0" fillId="0" borderId="0" xfId="0" applyNumberFormat="1" applyAlignment="1">
      <alignment horizontal="left"/>
    </xf>
    <xf numFmtId="49" fontId="3" fillId="3" borderId="0" xfId="0" applyNumberFormat="1" applyFont="1" applyFill="1" applyAlignment="1">
      <alignment horizontal="center" vertical="center" readingOrder="1"/>
    </xf>
    <xf numFmtId="14" fontId="0" fillId="0" borderId="0" xfId="0" applyNumberFormat="1" applyAlignment="1">
      <alignment horizontal="center"/>
    </xf>
    <xf numFmtId="0" fontId="0" fillId="0" borderId="0" xfId="0" applyFill="1" applyBorder="1" applyAlignment="1">
      <alignment horizontal="center"/>
    </xf>
    <xf numFmtId="49" fontId="1" fillId="0" borderId="1" xfId="0" applyNumberFormat="1" applyFont="1" applyFill="1" applyBorder="1" applyAlignment="1">
      <alignment horizontal="center" vertical="top"/>
    </xf>
    <xf numFmtId="49" fontId="0" fillId="0" borderId="0" xfId="0" applyNumberFormat="1" applyFill="1" applyAlignment="1">
      <alignment horizontal="center"/>
    </xf>
    <xf numFmtId="49" fontId="3" fillId="0" borderId="0" xfId="0" applyNumberFormat="1" applyFont="1" applyFill="1" applyAlignment="1">
      <alignment horizontal="center" vertical="center" readingOrder="1"/>
    </xf>
    <xf numFmtId="0" fontId="0" fillId="0" borderId="0" xfId="0" applyFill="1" applyAlignment="1">
      <alignment horizontal="center"/>
    </xf>
    <xf numFmtId="49" fontId="0" fillId="0" borderId="0" xfId="0" applyNumberFormat="1" applyFill="1"/>
    <xf numFmtId="49" fontId="2" fillId="0" borderId="0" xfId="0" applyNumberFormat="1" applyFont="1" applyFill="1" applyAlignment="1">
      <alignment horizontal="center"/>
    </xf>
    <xf numFmtId="0" fontId="0" fillId="0" borderId="0" xfId="0" applyFill="1" applyAlignment="1">
      <alignment horizontal="left"/>
    </xf>
    <xf numFmtId="0" fontId="3" fillId="0" borderId="0" xfId="0" applyFont="1" applyFill="1" applyAlignment="1">
      <alignment horizontal="center" vertical="center" readingOrder="1"/>
    </xf>
    <xf numFmtId="0" fontId="2" fillId="0" borderId="0" xfId="0" applyFont="1" applyFill="1" applyAlignment="1">
      <alignment horizontal="center"/>
    </xf>
    <xf numFmtId="0" fontId="1" fillId="0" borderId="1" xfId="0" applyFont="1" applyFill="1" applyBorder="1" applyAlignment="1">
      <alignment horizontal="center" vertical="top"/>
    </xf>
    <xf numFmtId="0" fontId="0" fillId="0" borderId="0" xfId="0" applyFill="1"/>
    <xf numFmtId="0" fontId="6" fillId="0" borderId="1" xfId="0" applyFont="1" applyFill="1" applyBorder="1" applyAlignment="1">
      <alignment horizontal="center" vertical="top"/>
    </xf>
    <xf numFmtId="0" fontId="7" fillId="0" borderId="0" xfId="0" applyFont="1" applyFill="1" applyAlignment="1">
      <alignment horizontal="center"/>
    </xf>
  </cellXfs>
  <cellStyles count="1">
    <cellStyle name="Normal" xfId="0" builtinId="0"/>
  </cellStyles>
  <dxfs count="0"/>
  <tableStyles count="0" defaultTableStyle="TableStyleMedium9" defaultPivotStyle="PivotStyleLight16"/>
  <colors>
    <mruColors>
      <color rgb="FFCCECFF"/>
      <color rgb="FF969696"/>
      <color rgb="FFFF6699"/>
      <color rgb="FF99CCFF"/>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S432"/>
  <sheetViews>
    <sheetView tabSelected="1" workbookViewId="0">
      <pane xSplit="2" ySplit="1" topLeftCell="C251" activePane="bottomRight" state="frozen"/>
      <selection pane="topRight" activeCell="C1" sqref="C1"/>
      <selection pane="bottomLeft" activeCell="A2" sqref="A2"/>
      <selection pane="bottomRight" activeCell="AB212" sqref="AB212"/>
    </sheetView>
  </sheetViews>
  <sheetFormatPr defaultRowHeight="15" x14ac:dyDescent="0.25"/>
  <cols>
    <col min="1" max="1" width="12.7109375" style="1" customWidth="1"/>
    <col min="2" max="2" width="11" style="13" customWidth="1"/>
    <col min="3" max="3" width="11" style="94" customWidth="1"/>
    <col min="4" max="4" width="15.42578125" style="1" customWidth="1"/>
    <col min="5" max="5" width="14.28515625" style="1" customWidth="1"/>
    <col min="6" max="6" width="15.140625" style="1" customWidth="1"/>
    <col min="7" max="7" width="13.85546875" style="1" customWidth="1"/>
    <col min="8" max="8" width="13.5703125" style="1" customWidth="1"/>
    <col min="9" max="9" width="14.7109375" style="1" customWidth="1"/>
    <col min="10" max="11" width="15.85546875" style="1" customWidth="1"/>
    <col min="12" max="12" width="18.140625" style="1" customWidth="1"/>
    <col min="13" max="13" width="13.5703125" style="1" customWidth="1"/>
    <col min="14" max="14" width="14.7109375" style="1" customWidth="1"/>
    <col min="15" max="16" width="15.85546875" style="1" customWidth="1"/>
    <col min="17" max="17" width="16.7109375" style="96" customWidth="1"/>
    <col min="18" max="18" width="13.5703125" style="96" customWidth="1"/>
    <col min="19" max="19" width="9.140625" style="1"/>
    <col min="20" max="20" width="13.7109375" style="1" customWidth="1"/>
    <col min="21" max="21" width="9.140625" style="1" customWidth="1"/>
    <col min="22" max="22" width="14.42578125" style="1" customWidth="1"/>
    <col min="23" max="24" width="9.140625" style="96"/>
    <col min="25" max="25" width="14.5703125" style="96" customWidth="1"/>
    <col min="26" max="26" width="9.140625" style="1"/>
    <col min="27" max="27" width="9.140625" style="94"/>
    <col min="28" max="28" width="38" style="1" customWidth="1"/>
    <col min="29" max="29" width="85.42578125" style="57" customWidth="1"/>
    <col min="31" max="31" width="24.7109375" style="57" customWidth="1"/>
    <col min="32" max="16384" width="9.140625" style="1"/>
  </cols>
  <sheetData>
    <row r="1" spans="1:331" x14ac:dyDescent="0.25">
      <c r="A1" s="11" t="s">
        <v>0</v>
      </c>
      <c r="B1" s="12" t="s">
        <v>1</v>
      </c>
      <c r="C1" s="93" t="s">
        <v>1645</v>
      </c>
      <c r="D1" s="11" t="s">
        <v>4</v>
      </c>
      <c r="E1" s="11" t="s">
        <v>5</v>
      </c>
      <c r="F1" s="11" t="s">
        <v>6</v>
      </c>
      <c r="G1" s="11" t="s">
        <v>7</v>
      </c>
      <c r="H1" s="11" t="s">
        <v>8</v>
      </c>
      <c r="I1" s="11" t="s">
        <v>9</v>
      </c>
      <c r="J1" s="11" t="s">
        <v>10</v>
      </c>
      <c r="K1" s="11" t="s">
        <v>1652</v>
      </c>
      <c r="L1" s="11" t="s">
        <v>11</v>
      </c>
      <c r="M1" s="11" t="s">
        <v>12</v>
      </c>
      <c r="N1" s="11" t="s">
        <v>13</v>
      </c>
      <c r="O1" s="11" t="s">
        <v>14</v>
      </c>
      <c r="P1" s="11" t="s">
        <v>15</v>
      </c>
      <c r="Q1" s="102" t="s">
        <v>1477</v>
      </c>
      <c r="R1" s="102" t="s">
        <v>16</v>
      </c>
      <c r="S1" s="11" t="s">
        <v>2</v>
      </c>
      <c r="T1" s="11" t="s">
        <v>3</v>
      </c>
      <c r="U1" s="11" t="s">
        <v>1252</v>
      </c>
      <c r="V1" s="11" t="s">
        <v>1253</v>
      </c>
      <c r="W1" s="102" t="s">
        <v>1380</v>
      </c>
      <c r="X1" s="104" t="s">
        <v>1725</v>
      </c>
      <c r="Y1" s="104" t="s">
        <v>1727</v>
      </c>
      <c r="Z1" s="11" t="s">
        <v>17</v>
      </c>
      <c r="AA1" s="93" t="s">
        <v>1381</v>
      </c>
      <c r="AB1" s="1" t="s">
        <v>1261</v>
      </c>
      <c r="AC1" s="88" t="s">
        <v>1917</v>
      </c>
      <c r="AE1" s="57" t="s">
        <v>1836</v>
      </c>
    </row>
    <row r="2" spans="1:331" s="2" customFormat="1" x14ac:dyDescent="0.25">
      <c r="A2" s="2" t="s">
        <v>18</v>
      </c>
      <c r="B2" s="6" t="s">
        <v>19</v>
      </c>
      <c r="C2" s="94" t="s">
        <v>1646</v>
      </c>
      <c r="D2" s="2">
        <v>0</v>
      </c>
      <c r="H2" s="2" t="s">
        <v>20</v>
      </c>
      <c r="I2" s="2" t="s">
        <v>21</v>
      </c>
      <c r="J2" s="2" t="s">
        <v>20</v>
      </c>
      <c r="K2" s="2" t="s">
        <v>20</v>
      </c>
      <c r="L2" s="2">
        <v>1</v>
      </c>
      <c r="M2" s="2" t="s">
        <v>20</v>
      </c>
      <c r="O2" s="2">
        <v>1</v>
      </c>
      <c r="P2" s="2" t="s">
        <v>22</v>
      </c>
      <c r="Q2" s="96" t="s">
        <v>1478</v>
      </c>
      <c r="R2" s="96"/>
      <c r="T2" s="2">
        <v>19</v>
      </c>
      <c r="V2" s="2">
        <v>19</v>
      </c>
      <c r="W2" s="96">
        <v>19</v>
      </c>
      <c r="X2" s="96"/>
      <c r="Y2" s="96"/>
      <c r="Z2" s="2">
        <v>2</v>
      </c>
      <c r="AA2" s="94" t="b">
        <v>1</v>
      </c>
      <c r="AB2" s="1"/>
      <c r="AC2" s="57" t="s">
        <v>1254</v>
      </c>
      <c r="AD2" s="1"/>
      <c r="AE2" s="57"/>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row>
    <row r="3" spans="1:331" s="30" customFormat="1" x14ac:dyDescent="0.25">
      <c r="A3" s="30" t="s">
        <v>23</v>
      </c>
      <c r="B3" s="34" t="s">
        <v>24</v>
      </c>
      <c r="C3" s="94" t="s">
        <v>1646</v>
      </c>
      <c r="D3" s="30">
        <v>1</v>
      </c>
      <c r="E3" s="30" t="s">
        <v>25</v>
      </c>
      <c r="H3" s="30" t="s">
        <v>26</v>
      </c>
      <c r="I3" s="30" t="s">
        <v>25</v>
      </c>
      <c r="J3" s="30" t="s">
        <v>27</v>
      </c>
      <c r="K3" s="30" t="s">
        <v>25</v>
      </c>
      <c r="L3" s="30">
        <v>0</v>
      </c>
      <c r="O3" s="30">
        <v>0</v>
      </c>
      <c r="Q3" s="96" t="s">
        <v>1479</v>
      </c>
      <c r="R3" s="96"/>
      <c r="S3" s="30">
        <v>7</v>
      </c>
      <c r="U3" s="30">
        <v>10</v>
      </c>
      <c r="W3" s="96">
        <v>7</v>
      </c>
      <c r="X3" s="96"/>
      <c r="Y3" s="96"/>
      <c r="Z3" s="30">
        <v>6</v>
      </c>
      <c r="AA3" s="94" t="b">
        <v>1</v>
      </c>
      <c r="AB3" s="1"/>
      <c r="AC3" s="57" t="s">
        <v>1255</v>
      </c>
      <c r="AD3" s="1"/>
      <c r="AE3" s="57"/>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row>
    <row r="4" spans="1:331" s="35" customFormat="1" x14ac:dyDescent="0.25">
      <c r="A4" s="35" t="s">
        <v>28</v>
      </c>
      <c r="B4" s="39" t="s">
        <v>29</v>
      </c>
      <c r="C4" s="94" t="s">
        <v>1646</v>
      </c>
      <c r="D4" s="35">
        <v>1</v>
      </c>
      <c r="E4" s="35" t="s">
        <v>30</v>
      </c>
      <c r="H4" s="35" t="s">
        <v>27</v>
      </c>
      <c r="I4" s="35" t="s">
        <v>30</v>
      </c>
      <c r="J4" s="35" t="s">
        <v>31</v>
      </c>
      <c r="K4" s="35" t="s">
        <v>26</v>
      </c>
      <c r="L4" s="35">
        <v>0</v>
      </c>
      <c r="O4" s="35">
        <v>1</v>
      </c>
      <c r="P4" s="35" t="s">
        <v>32</v>
      </c>
      <c r="Q4" s="96" t="s">
        <v>1480</v>
      </c>
      <c r="R4" s="96"/>
      <c r="T4" s="35">
        <v>13</v>
      </c>
      <c r="V4" s="35">
        <v>13</v>
      </c>
      <c r="W4" s="96">
        <v>13</v>
      </c>
      <c r="X4" s="96"/>
      <c r="Y4" s="96"/>
      <c r="Z4" s="35">
        <v>7</v>
      </c>
      <c r="AA4" s="94" t="b">
        <v>1</v>
      </c>
      <c r="AB4" s="1"/>
      <c r="AC4" s="57" t="s">
        <v>1256</v>
      </c>
      <c r="AD4" s="1"/>
      <c r="AE4" s="57"/>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row>
    <row r="5" spans="1:331" s="35" customFormat="1" x14ac:dyDescent="0.25">
      <c r="A5" s="35" t="s">
        <v>33</v>
      </c>
      <c r="B5" s="39" t="s">
        <v>34</v>
      </c>
      <c r="C5" s="94" t="s">
        <v>1646</v>
      </c>
      <c r="D5" s="35">
        <v>3</v>
      </c>
      <c r="E5" s="35" t="s">
        <v>35</v>
      </c>
      <c r="F5" s="35" t="s">
        <v>35</v>
      </c>
      <c r="G5" s="35" t="s">
        <v>35</v>
      </c>
      <c r="H5" s="35" t="s">
        <v>35</v>
      </c>
      <c r="I5" s="35" t="s">
        <v>35</v>
      </c>
      <c r="J5" s="35" t="s">
        <v>36</v>
      </c>
      <c r="K5" s="35" t="s">
        <v>35</v>
      </c>
      <c r="L5" s="35">
        <v>0</v>
      </c>
      <c r="O5" s="35">
        <v>1</v>
      </c>
      <c r="P5" s="35" t="s">
        <v>36</v>
      </c>
      <c r="Q5" s="96" t="s">
        <v>1481</v>
      </c>
      <c r="R5" s="96"/>
      <c r="S5" s="35">
        <v>30</v>
      </c>
      <c r="U5" s="35">
        <v>28</v>
      </c>
      <c r="W5" s="96">
        <v>30</v>
      </c>
      <c r="X5" s="96"/>
      <c r="Y5" s="96"/>
      <c r="Z5" s="35">
        <v>7</v>
      </c>
      <c r="AA5" s="94" t="b">
        <v>1</v>
      </c>
      <c r="AB5" s="1"/>
      <c r="AC5" s="57" t="s">
        <v>1258</v>
      </c>
      <c r="AD5" s="1"/>
      <c r="AE5" s="57"/>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c r="EU5" s="1"/>
      <c r="EV5" s="1"/>
      <c r="EW5" s="1"/>
      <c r="EX5" s="1"/>
      <c r="EY5" s="1"/>
      <c r="EZ5" s="1"/>
      <c r="FA5" s="1"/>
      <c r="FB5" s="1"/>
      <c r="FC5" s="1"/>
      <c r="FD5" s="1"/>
      <c r="FE5" s="1"/>
      <c r="FF5" s="1"/>
      <c r="FG5" s="1"/>
      <c r="FH5" s="1"/>
      <c r="FI5" s="1"/>
      <c r="FJ5" s="1"/>
      <c r="FK5" s="1"/>
      <c r="FL5" s="1"/>
      <c r="FM5" s="1"/>
      <c r="FN5" s="1"/>
      <c r="FO5" s="1"/>
      <c r="FP5" s="1"/>
      <c r="FQ5" s="1"/>
      <c r="FR5" s="1"/>
      <c r="FS5" s="1"/>
      <c r="FT5" s="1"/>
      <c r="FU5" s="1"/>
      <c r="FV5" s="1"/>
      <c r="FW5" s="1"/>
      <c r="FX5" s="1"/>
      <c r="FY5" s="1"/>
      <c r="FZ5" s="1"/>
      <c r="GA5" s="1"/>
      <c r="GB5" s="1"/>
      <c r="GC5" s="1"/>
      <c r="GD5" s="1"/>
      <c r="GE5" s="1"/>
      <c r="GF5" s="1"/>
      <c r="GG5" s="1"/>
      <c r="GH5" s="1"/>
      <c r="GI5" s="1"/>
      <c r="GJ5" s="1"/>
      <c r="GK5" s="1"/>
      <c r="GL5" s="1"/>
      <c r="GM5" s="1"/>
      <c r="GN5" s="1"/>
      <c r="GO5" s="1"/>
      <c r="GP5" s="1"/>
      <c r="GQ5" s="1"/>
      <c r="GR5" s="1"/>
      <c r="GS5" s="1"/>
      <c r="GT5" s="1"/>
      <c r="GU5" s="1"/>
      <c r="GV5" s="1"/>
      <c r="GW5" s="1"/>
      <c r="GX5" s="1"/>
      <c r="GY5" s="1"/>
      <c r="GZ5" s="1"/>
      <c r="HA5" s="1"/>
      <c r="HB5" s="1"/>
      <c r="HC5" s="1"/>
      <c r="HD5" s="1"/>
      <c r="HE5" s="1"/>
      <c r="HF5" s="1"/>
      <c r="HG5" s="1"/>
      <c r="HH5" s="1"/>
      <c r="HI5" s="1"/>
      <c r="HJ5" s="1"/>
      <c r="HK5" s="1"/>
      <c r="HL5" s="1"/>
      <c r="HM5" s="1"/>
      <c r="HN5" s="1"/>
      <c r="HO5" s="1"/>
      <c r="HP5" s="1"/>
      <c r="HQ5" s="1"/>
      <c r="HR5" s="1"/>
      <c r="HS5" s="1"/>
      <c r="HT5" s="1"/>
      <c r="HU5" s="1"/>
      <c r="HV5" s="1"/>
      <c r="HW5" s="1"/>
      <c r="HX5" s="1"/>
      <c r="HY5" s="1"/>
      <c r="HZ5" s="1"/>
      <c r="IA5" s="1"/>
      <c r="IB5" s="1"/>
      <c r="IC5" s="1"/>
      <c r="ID5" s="1"/>
      <c r="IE5" s="1"/>
      <c r="IF5" s="1"/>
      <c r="IG5" s="1"/>
      <c r="IH5" s="1"/>
      <c r="II5" s="1"/>
      <c r="IJ5" s="1"/>
      <c r="IK5" s="1"/>
      <c r="IL5" s="1"/>
      <c r="IM5" s="1"/>
      <c r="IN5" s="1"/>
      <c r="IO5" s="1"/>
      <c r="IP5" s="1"/>
      <c r="IQ5" s="1"/>
      <c r="IR5" s="1"/>
      <c r="IS5" s="1"/>
      <c r="IT5" s="1"/>
      <c r="IU5" s="1"/>
      <c r="IV5" s="1"/>
      <c r="IW5" s="1"/>
      <c r="IX5" s="1"/>
      <c r="IY5" s="1"/>
      <c r="IZ5" s="1"/>
      <c r="JA5" s="1"/>
      <c r="JB5" s="1"/>
      <c r="JC5" s="1"/>
      <c r="JD5" s="1"/>
      <c r="JE5" s="1"/>
      <c r="JF5" s="1"/>
      <c r="JG5" s="1"/>
      <c r="JH5" s="1"/>
      <c r="JI5" s="1"/>
      <c r="JJ5" s="1"/>
      <c r="JK5" s="1"/>
      <c r="JL5" s="1"/>
      <c r="JM5" s="1"/>
      <c r="JN5" s="1"/>
      <c r="JO5" s="1"/>
      <c r="JP5" s="1"/>
      <c r="JQ5" s="1"/>
      <c r="JR5" s="1"/>
      <c r="JS5" s="1"/>
      <c r="JT5" s="1"/>
      <c r="JU5" s="1"/>
      <c r="JV5" s="1"/>
      <c r="JW5" s="1"/>
      <c r="JX5" s="1"/>
      <c r="JY5" s="1"/>
      <c r="JZ5" s="1"/>
      <c r="KA5" s="1"/>
      <c r="KB5" s="1"/>
      <c r="KC5" s="1"/>
      <c r="KD5" s="1"/>
      <c r="KE5" s="1"/>
      <c r="KF5" s="1"/>
      <c r="KG5" s="1"/>
      <c r="KH5" s="1"/>
      <c r="KI5" s="1"/>
      <c r="KJ5" s="1"/>
      <c r="KK5" s="1"/>
      <c r="KL5" s="1"/>
      <c r="KM5" s="1"/>
      <c r="KN5" s="1"/>
      <c r="KO5" s="1"/>
      <c r="KP5" s="1"/>
      <c r="KQ5" s="1"/>
      <c r="KR5" s="1"/>
      <c r="KS5" s="1"/>
      <c r="KT5" s="1"/>
      <c r="KU5" s="1"/>
      <c r="KV5" s="1"/>
      <c r="KW5" s="1"/>
      <c r="KX5" s="1"/>
      <c r="KY5" s="1"/>
      <c r="KZ5" s="1"/>
      <c r="LA5" s="1"/>
      <c r="LB5" s="1"/>
      <c r="LC5" s="1"/>
      <c r="LD5" s="1"/>
      <c r="LE5" s="1"/>
      <c r="LF5" s="1"/>
      <c r="LG5" s="1"/>
      <c r="LH5" s="1"/>
      <c r="LI5" s="1"/>
      <c r="LJ5" s="1"/>
      <c r="LK5" s="1"/>
      <c r="LL5" s="1"/>
      <c r="LM5" s="1"/>
      <c r="LN5" s="1"/>
      <c r="LO5" s="1"/>
      <c r="LP5" s="1"/>
      <c r="LQ5" s="1"/>
      <c r="LR5" s="1"/>
      <c r="LS5" s="1"/>
    </row>
    <row r="6" spans="1:331" s="35" customFormat="1" x14ac:dyDescent="0.25">
      <c r="A6" s="35" t="s">
        <v>37</v>
      </c>
      <c r="B6" s="39" t="s">
        <v>38</v>
      </c>
      <c r="C6" s="94" t="s">
        <v>1646</v>
      </c>
      <c r="D6" s="35">
        <v>1</v>
      </c>
      <c r="E6" s="35" t="s">
        <v>39</v>
      </c>
      <c r="H6" s="35" t="s">
        <v>40</v>
      </c>
      <c r="I6" s="35" t="s">
        <v>41</v>
      </c>
      <c r="J6" s="35" t="s">
        <v>42</v>
      </c>
      <c r="K6" s="35" t="s">
        <v>39</v>
      </c>
      <c r="L6" s="35">
        <v>0</v>
      </c>
      <c r="O6" s="35">
        <v>1</v>
      </c>
      <c r="P6" s="35" t="s">
        <v>43</v>
      </c>
      <c r="Q6" s="96" t="s">
        <v>320</v>
      </c>
      <c r="R6" s="96"/>
      <c r="T6" s="35">
        <v>20</v>
      </c>
      <c r="V6" s="35">
        <v>22</v>
      </c>
      <c r="W6" s="96">
        <v>20</v>
      </c>
      <c r="X6" s="96"/>
      <c r="Y6" s="96"/>
      <c r="Z6" s="35">
        <v>7</v>
      </c>
      <c r="AA6" s="94" t="b">
        <v>1</v>
      </c>
      <c r="AB6" s="1"/>
      <c r="AC6" s="57" t="s">
        <v>1259</v>
      </c>
      <c r="AD6" s="1"/>
      <c r="AE6" s="57"/>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c r="EU6" s="1"/>
      <c r="EV6" s="1"/>
      <c r="EW6" s="1"/>
      <c r="EX6" s="1"/>
      <c r="EY6" s="1"/>
      <c r="EZ6" s="1"/>
      <c r="FA6" s="1"/>
      <c r="FB6" s="1"/>
      <c r="FC6" s="1"/>
      <c r="FD6" s="1"/>
      <c r="FE6" s="1"/>
      <c r="FF6" s="1"/>
      <c r="FG6" s="1"/>
      <c r="FH6" s="1"/>
      <c r="FI6" s="1"/>
      <c r="FJ6" s="1"/>
      <c r="FK6" s="1"/>
      <c r="FL6" s="1"/>
      <c r="FM6" s="1"/>
      <c r="FN6" s="1"/>
      <c r="FO6" s="1"/>
      <c r="FP6" s="1"/>
      <c r="FQ6" s="1"/>
      <c r="FR6" s="1"/>
      <c r="FS6" s="1"/>
      <c r="FT6" s="1"/>
      <c r="FU6" s="1"/>
      <c r="FV6" s="1"/>
      <c r="FW6" s="1"/>
      <c r="FX6" s="1"/>
      <c r="FY6" s="1"/>
      <c r="FZ6" s="1"/>
      <c r="GA6" s="1"/>
      <c r="GB6" s="1"/>
      <c r="GC6" s="1"/>
      <c r="GD6" s="1"/>
      <c r="GE6" s="1"/>
      <c r="GF6" s="1"/>
      <c r="GG6" s="1"/>
      <c r="GH6" s="1"/>
      <c r="GI6" s="1"/>
      <c r="GJ6" s="1"/>
      <c r="GK6" s="1"/>
      <c r="GL6" s="1"/>
      <c r="GM6" s="1"/>
      <c r="GN6" s="1"/>
      <c r="GO6" s="1"/>
      <c r="GP6" s="1"/>
      <c r="GQ6" s="1"/>
      <c r="GR6" s="1"/>
      <c r="GS6" s="1"/>
      <c r="GT6" s="1"/>
      <c r="GU6" s="1"/>
      <c r="GV6" s="1"/>
      <c r="GW6" s="1"/>
      <c r="GX6" s="1"/>
      <c r="GY6" s="1"/>
      <c r="GZ6" s="1"/>
      <c r="HA6" s="1"/>
      <c r="HB6" s="1"/>
      <c r="HC6" s="1"/>
      <c r="HD6" s="1"/>
      <c r="HE6" s="1"/>
      <c r="HF6" s="1"/>
      <c r="HG6" s="1"/>
      <c r="HH6" s="1"/>
      <c r="HI6" s="1"/>
      <c r="HJ6" s="1"/>
      <c r="HK6" s="1"/>
      <c r="HL6" s="1"/>
      <c r="HM6" s="1"/>
      <c r="HN6" s="1"/>
      <c r="HO6" s="1"/>
      <c r="HP6" s="1"/>
      <c r="HQ6" s="1"/>
      <c r="HR6" s="1"/>
      <c r="HS6" s="1"/>
      <c r="HT6" s="1"/>
      <c r="HU6" s="1"/>
      <c r="HV6" s="1"/>
      <c r="HW6" s="1"/>
      <c r="HX6" s="1"/>
      <c r="HY6" s="1"/>
      <c r="HZ6" s="1"/>
      <c r="IA6" s="1"/>
      <c r="IB6" s="1"/>
      <c r="IC6" s="1"/>
      <c r="ID6" s="1"/>
      <c r="IE6" s="1"/>
      <c r="IF6" s="1"/>
      <c r="IG6" s="1"/>
      <c r="IH6" s="1"/>
      <c r="II6" s="1"/>
      <c r="IJ6" s="1"/>
      <c r="IK6" s="1"/>
      <c r="IL6" s="1"/>
      <c r="IM6" s="1"/>
      <c r="IN6" s="1"/>
      <c r="IO6" s="1"/>
      <c r="IP6" s="1"/>
      <c r="IQ6" s="1"/>
      <c r="IR6" s="1"/>
      <c r="IS6" s="1"/>
      <c r="IT6" s="1"/>
      <c r="IU6" s="1"/>
      <c r="IV6" s="1"/>
      <c r="IW6" s="1"/>
      <c r="IX6" s="1"/>
      <c r="IY6" s="1"/>
      <c r="IZ6" s="1"/>
      <c r="JA6" s="1"/>
      <c r="JB6" s="1"/>
      <c r="JC6" s="1"/>
      <c r="JD6" s="1"/>
      <c r="JE6" s="1"/>
      <c r="JF6" s="1"/>
      <c r="JG6" s="1"/>
      <c r="JH6" s="1"/>
      <c r="JI6" s="1"/>
      <c r="JJ6" s="1"/>
      <c r="JK6" s="1"/>
      <c r="JL6" s="1"/>
      <c r="JM6" s="1"/>
      <c r="JN6" s="1"/>
      <c r="JO6" s="1"/>
      <c r="JP6" s="1"/>
      <c r="JQ6" s="1"/>
      <c r="JR6" s="1"/>
      <c r="JS6" s="1"/>
      <c r="JT6" s="1"/>
      <c r="JU6" s="1"/>
      <c r="JV6" s="1"/>
      <c r="JW6" s="1"/>
      <c r="JX6" s="1"/>
      <c r="JY6" s="1"/>
      <c r="JZ6" s="1"/>
      <c r="KA6" s="1"/>
      <c r="KB6" s="1"/>
      <c r="KC6" s="1"/>
      <c r="KD6" s="1"/>
      <c r="KE6" s="1"/>
      <c r="KF6" s="1"/>
      <c r="KG6" s="1"/>
      <c r="KH6" s="1"/>
      <c r="KI6" s="1"/>
      <c r="KJ6" s="1"/>
      <c r="KK6" s="1"/>
      <c r="KL6" s="1"/>
      <c r="KM6" s="1"/>
      <c r="KN6" s="1"/>
      <c r="KO6" s="1"/>
      <c r="KP6" s="1"/>
      <c r="KQ6" s="1"/>
      <c r="KR6" s="1"/>
      <c r="KS6" s="1"/>
      <c r="KT6" s="1"/>
      <c r="KU6" s="1"/>
      <c r="KV6" s="1"/>
      <c r="KW6" s="1"/>
      <c r="KX6" s="1"/>
      <c r="KY6" s="1"/>
      <c r="KZ6" s="1"/>
      <c r="LA6" s="1"/>
      <c r="LB6" s="1"/>
      <c r="LC6" s="1"/>
      <c r="LD6" s="1"/>
      <c r="LE6" s="1"/>
      <c r="LF6" s="1"/>
      <c r="LG6" s="1"/>
      <c r="LH6" s="1"/>
      <c r="LI6" s="1"/>
      <c r="LJ6" s="1"/>
      <c r="LK6" s="1"/>
      <c r="LL6" s="1"/>
      <c r="LM6" s="1"/>
      <c r="LN6" s="1"/>
      <c r="LO6" s="1"/>
      <c r="LP6" s="1"/>
      <c r="LQ6" s="1"/>
      <c r="LR6" s="1"/>
      <c r="LS6" s="1"/>
    </row>
    <row r="7" spans="1:331" s="4" customFormat="1" x14ac:dyDescent="0.25">
      <c r="A7" s="4" t="s">
        <v>44</v>
      </c>
      <c r="B7" s="7" t="s">
        <v>45</v>
      </c>
      <c r="C7" s="94" t="s">
        <v>1646</v>
      </c>
      <c r="D7" s="4">
        <v>3</v>
      </c>
      <c r="E7" s="4" t="s">
        <v>46</v>
      </c>
      <c r="F7" s="4" t="s">
        <v>46</v>
      </c>
      <c r="G7" s="4" t="s">
        <v>46</v>
      </c>
      <c r="H7" s="4" t="s">
        <v>46</v>
      </c>
      <c r="I7" s="4" t="s">
        <v>46</v>
      </c>
      <c r="J7" s="81">
        <v>45748</v>
      </c>
      <c r="K7" s="81" t="s">
        <v>46</v>
      </c>
      <c r="L7" s="4">
        <v>1</v>
      </c>
      <c r="M7" s="4" t="s">
        <v>47</v>
      </c>
      <c r="O7" s="4">
        <v>1</v>
      </c>
      <c r="P7" s="4" t="s">
        <v>48</v>
      </c>
      <c r="Q7" s="96"/>
      <c r="R7" s="96" t="s">
        <v>49</v>
      </c>
      <c r="T7" s="4">
        <v>25</v>
      </c>
      <c r="V7" s="4">
        <v>23</v>
      </c>
      <c r="W7" s="96">
        <v>25</v>
      </c>
      <c r="X7" s="96"/>
      <c r="Y7" s="96"/>
      <c r="Z7" s="4">
        <v>4</v>
      </c>
      <c r="AA7" s="94" t="b">
        <v>1</v>
      </c>
      <c r="AB7" s="1"/>
      <c r="AC7" s="57" t="s">
        <v>1260</v>
      </c>
      <c r="AD7" s="1"/>
      <c r="AE7" s="57"/>
      <c r="AF7" s="1"/>
      <c r="AG7" s="1"/>
      <c r="AH7" s="1"/>
      <c r="AI7" s="1"/>
      <c r="AJ7" s="1"/>
      <c r="AK7" s="1"/>
      <c r="AL7" s="1"/>
      <c r="AM7" s="1"/>
      <c r="AN7" s="1"/>
      <c r="AO7" s="1"/>
      <c r="AP7" s="1"/>
      <c r="AQ7" s="1"/>
    </row>
    <row r="8" spans="1:331" s="30" customFormat="1" x14ac:dyDescent="0.25">
      <c r="A8" s="30" t="s">
        <v>50</v>
      </c>
      <c r="B8" s="30" t="s">
        <v>51</v>
      </c>
      <c r="C8" s="96" t="s">
        <v>1646</v>
      </c>
      <c r="D8" s="30">
        <v>2</v>
      </c>
      <c r="E8" s="30" t="s">
        <v>52</v>
      </c>
      <c r="F8" s="30" t="s">
        <v>52</v>
      </c>
      <c r="H8" s="30" t="s">
        <v>53</v>
      </c>
      <c r="I8" s="30" t="s">
        <v>52</v>
      </c>
      <c r="J8" s="30" t="s">
        <v>53</v>
      </c>
      <c r="K8" s="30" t="s">
        <v>52</v>
      </c>
      <c r="L8" s="30">
        <v>0</v>
      </c>
      <c r="O8" s="30">
        <v>0</v>
      </c>
      <c r="Q8" s="96" t="s">
        <v>472</v>
      </c>
      <c r="R8" s="96"/>
      <c r="T8" s="30">
        <v>9</v>
      </c>
      <c r="V8" s="30">
        <v>8</v>
      </c>
      <c r="W8" s="96">
        <v>9</v>
      </c>
      <c r="X8" s="96"/>
      <c r="Y8" s="96"/>
      <c r="Z8" s="30">
        <v>6</v>
      </c>
      <c r="AA8" s="94" t="b">
        <v>1</v>
      </c>
      <c r="AB8" s="1"/>
      <c r="AC8" s="57" t="s">
        <v>1442</v>
      </c>
      <c r="AD8" s="1"/>
      <c r="AE8" s="57"/>
      <c r="AF8" s="1"/>
      <c r="AG8" s="1"/>
      <c r="AH8" s="1"/>
      <c r="AI8" s="1"/>
      <c r="AJ8" s="1"/>
      <c r="AK8" s="1"/>
      <c r="AL8" s="1"/>
      <c r="AM8" s="1"/>
      <c r="AN8" s="1"/>
      <c r="AO8" s="1"/>
      <c r="AP8" s="1"/>
      <c r="AQ8" s="1"/>
      <c r="AR8" s="1"/>
      <c r="AS8" s="1"/>
      <c r="AT8" s="1"/>
      <c r="AU8" s="1"/>
      <c r="AV8" s="1"/>
      <c r="AW8" s="1"/>
      <c r="AX8" s="1"/>
      <c r="AY8" s="1"/>
      <c r="AZ8" s="1"/>
      <c r="BA8" s="1"/>
      <c r="BB8" s="1"/>
      <c r="BC8" s="1"/>
      <c r="BD8" s="1"/>
      <c r="BE8" s="1"/>
      <c r="BF8" s="1"/>
      <c r="BG8" s="1"/>
      <c r="BH8" s="1"/>
      <c r="BI8" s="1"/>
      <c r="BJ8" s="1"/>
      <c r="BK8" s="1"/>
      <c r="BL8" s="1"/>
      <c r="BM8" s="1"/>
      <c r="BN8" s="1"/>
      <c r="BO8" s="1"/>
      <c r="BP8" s="1"/>
      <c r="BQ8" s="1"/>
      <c r="BR8" s="1"/>
      <c r="BS8" s="1"/>
      <c r="BT8" s="1"/>
      <c r="BU8" s="1"/>
      <c r="BV8" s="1"/>
      <c r="BW8" s="1"/>
      <c r="BX8" s="1"/>
      <c r="BY8" s="1"/>
      <c r="BZ8" s="1"/>
      <c r="CA8" s="1"/>
      <c r="CB8" s="1"/>
      <c r="CC8" s="1"/>
      <c r="CD8" s="1"/>
      <c r="CE8" s="1"/>
      <c r="CF8" s="1"/>
      <c r="CG8" s="1"/>
      <c r="CH8" s="1"/>
      <c r="CI8" s="1"/>
      <c r="CJ8" s="1"/>
      <c r="CK8" s="1"/>
      <c r="CL8" s="1"/>
      <c r="CM8" s="1"/>
      <c r="CN8" s="1"/>
      <c r="CO8" s="1"/>
      <c r="CP8" s="1"/>
      <c r="CQ8" s="1"/>
      <c r="CR8" s="1"/>
      <c r="CS8" s="1"/>
      <c r="CT8" s="1"/>
      <c r="CU8" s="1"/>
      <c r="CV8" s="1"/>
      <c r="CW8" s="1"/>
      <c r="CX8" s="1"/>
      <c r="CY8" s="1"/>
      <c r="CZ8" s="1"/>
      <c r="DA8" s="1"/>
      <c r="DB8" s="1"/>
      <c r="DC8" s="1"/>
      <c r="DD8" s="1"/>
      <c r="DE8" s="1"/>
      <c r="DF8" s="1"/>
      <c r="DG8" s="1"/>
      <c r="DH8" s="1"/>
      <c r="DI8" s="1"/>
      <c r="DJ8" s="1"/>
      <c r="DK8" s="1"/>
      <c r="DL8" s="1"/>
      <c r="DM8" s="1"/>
      <c r="DN8" s="1"/>
      <c r="DO8" s="1"/>
      <c r="DP8" s="1"/>
      <c r="DQ8" s="1"/>
      <c r="DR8" s="1"/>
      <c r="DS8" s="1"/>
      <c r="DT8" s="1"/>
      <c r="DU8" s="1"/>
      <c r="DV8" s="1"/>
      <c r="DW8" s="1"/>
      <c r="DX8" s="1"/>
      <c r="DY8" s="1"/>
      <c r="DZ8" s="1"/>
      <c r="EA8" s="1"/>
      <c r="EB8" s="1"/>
      <c r="EC8" s="1"/>
      <c r="ED8" s="1"/>
      <c r="EE8" s="1"/>
      <c r="EF8" s="1"/>
      <c r="EG8" s="1"/>
      <c r="EH8" s="1"/>
      <c r="EI8" s="1"/>
      <c r="EJ8" s="1"/>
      <c r="EK8" s="1"/>
      <c r="EL8" s="1"/>
      <c r="EM8" s="1"/>
      <c r="EN8" s="1"/>
      <c r="EO8" s="1"/>
      <c r="EP8" s="1"/>
      <c r="EQ8" s="1"/>
      <c r="ER8" s="1"/>
      <c r="ES8" s="1"/>
      <c r="ET8" s="1"/>
      <c r="EU8" s="1"/>
      <c r="EV8" s="1"/>
      <c r="EW8" s="1"/>
      <c r="EX8" s="1"/>
      <c r="EY8" s="1"/>
      <c r="EZ8" s="1"/>
      <c r="FA8" s="1"/>
      <c r="FB8" s="1"/>
      <c r="FC8" s="1"/>
      <c r="FD8" s="1"/>
      <c r="FE8" s="1"/>
      <c r="FF8" s="1"/>
      <c r="FG8" s="1"/>
      <c r="FH8" s="1"/>
      <c r="FI8" s="1"/>
      <c r="FJ8" s="1"/>
      <c r="FK8" s="1"/>
      <c r="FL8" s="1"/>
      <c r="FM8" s="1"/>
      <c r="FN8" s="1"/>
      <c r="FO8" s="1"/>
      <c r="FP8" s="1"/>
      <c r="FQ8" s="1"/>
      <c r="FR8" s="1"/>
      <c r="FS8" s="1"/>
      <c r="FT8" s="1"/>
      <c r="FU8" s="1"/>
      <c r="FV8" s="1"/>
      <c r="FW8" s="1"/>
      <c r="FX8" s="1"/>
      <c r="FY8" s="1"/>
      <c r="FZ8" s="1"/>
      <c r="GA8" s="1"/>
      <c r="GB8" s="1"/>
      <c r="GC8" s="1"/>
      <c r="GD8" s="1"/>
      <c r="GE8" s="1"/>
      <c r="GF8" s="1"/>
      <c r="GG8" s="1"/>
      <c r="GH8" s="1"/>
      <c r="GI8" s="1"/>
      <c r="GJ8" s="1"/>
      <c r="GK8" s="1"/>
      <c r="GL8" s="1"/>
      <c r="GM8" s="1"/>
      <c r="GN8" s="1"/>
      <c r="GO8" s="1"/>
      <c r="GP8" s="1"/>
      <c r="GQ8" s="1"/>
      <c r="GR8" s="1"/>
      <c r="GS8" s="1"/>
      <c r="GT8" s="1"/>
      <c r="GU8" s="1"/>
      <c r="GV8" s="1"/>
      <c r="GW8" s="1"/>
      <c r="GX8" s="1"/>
      <c r="GY8" s="1"/>
      <c r="GZ8" s="1"/>
      <c r="HA8" s="1"/>
      <c r="HB8" s="1"/>
      <c r="HC8" s="1"/>
      <c r="HD8" s="1"/>
      <c r="HE8" s="1"/>
      <c r="HF8" s="1"/>
      <c r="HG8" s="1"/>
      <c r="HH8" s="1"/>
      <c r="HI8" s="1"/>
      <c r="HJ8" s="1"/>
      <c r="HK8" s="1"/>
      <c r="HL8" s="1"/>
      <c r="HM8" s="1"/>
      <c r="HN8" s="1"/>
      <c r="HO8" s="1"/>
      <c r="HP8" s="1"/>
      <c r="HQ8" s="1"/>
      <c r="HR8" s="1"/>
      <c r="HS8" s="1"/>
      <c r="HT8" s="1"/>
      <c r="HU8" s="1"/>
      <c r="HV8" s="1"/>
      <c r="HW8" s="1"/>
      <c r="HX8" s="1"/>
      <c r="HY8" s="1"/>
      <c r="HZ8" s="1"/>
      <c r="IA8" s="1"/>
      <c r="IB8" s="1"/>
      <c r="IC8" s="1"/>
      <c r="ID8" s="1"/>
      <c r="IE8" s="1"/>
      <c r="IF8" s="1"/>
      <c r="IG8" s="1"/>
      <c r="IH8" s="1"/>
      <c r="II8" s="1"/>
      <c r="IJ8" s="1"/>
      <c r="IK8" s="1"/>
      <c r="IL8" s="1"/>
      <c r="IM8" s="1"/>
      <c r="IN8" s="1"/>
      <c r="IO8" s="1"/>
      <c r="IP8" s="1"/>
      <c r="IQ8" s="1"/>
      <c r="IR8" s="1"/>
      <c r="IS8" s="1"/>
      <c r="IT8" s="1"/>
      <c r="IU8" s="1"/>
      <c r="IV8" s="1"/>
      <c r="IW8" s="1"/>
      <c r="IX8" s="1"/>
      <c r="IY8" s="1"/>
      <c r="IZ8" s="1"/>
      <c r="JA8" s="1"/>
      <c r="JB8" s="1"/>
      <c r="JC8" s="1"/>
      <c r="JD8" s="1"/>
      <c r="JE8" s="1"/>
      <c r="JF8" s="1"/>
      <c r="JG8" s="1"/>
      <c r="JH8" s="1"/>
      <c r="JI8" s="1"/>
      <c r="JJ8" s="1"/>
      <c r="JK8" s="1"/>
      <c r="JL8" s="1"/>
      <c r="JM8" s="1"/>
      <c r="JN8" s="1"/>
      <c r="JO8" s="1"/>
      <c r="JP8" s="1"/>
      <c r="JQ8" s="1"/>
      <c r="JR8" s="1"/>
      <c r="JS8" s="1"/>
      <c r="JT8" s="1"/>
      <c r="JU8" s="1"/>
      <c r="JV8" s="1"/>
      <c r="JW8" s="1"/>
      <c r="JX8" s="1"/>
      <c r="JY8" s="1"/>
      <c r="JZ8" s="1"/>
      <c r="KA8" s="1"/>
      <c r="KB8" s="1"/>
      <c r="KC8" s="1"/>
      <c r="KD8" s="1"/>
      <c r="KE8" s="1"/>
      <c r="KF8" s="1"/>
      <c r="KG8" s="1"/>
      <c r="KH8" s="1"/>
      <c r="KI8" s="1"/>
      <c r="KJ8" s="1"/>
      <c r="KK8" s="1"/>
      <c r="KL8" s="1"/>
      <c r="KM8" s="1"/>
      <c r="KN8" s="1"/>
      <c r="KO8" s="1"/>
      <c r="KP8" s="1"/>
      <c r="KQ8" s="1"/>
      <c r="KR8" s="1"/>
      <c r="KS8" s="1"/>
      <c r="KT8" s="1"/>
      <c r="KU8" s="1"/>
      <c r="KV8" s="1"/>
      <c r="KW8" s="1"/>
      <c r="KX8" s="1"/>
      <c r="KY8" s="1"/>
      <c r="KZ8" s="1"/>
      <c r="LA8" s="1"/>
      <c r="LB8" s="1"/>
      <c r="LC8" s="1"/>
      <c r="LD8" s="1"/>
      <c r="LE8" s="1"/>
      <c r="LF8" s="1"/>
      <c r="LG8" s="1"/>
      <c r="LH8" s="1"/>
      <c r="LI8" s="1"/>
      <c r="LJ8" s="1"/>
      <c r="LK8" s="1"/>
      <c r="LL8" s="1"/>
      <c r="LM8" s="1"/>
      <c r="LN8" s="1"/>
      <c r="LO8" s="1"/>
      <c r="LP8" s="1"/>
      <c r="LQ8" s="1"/>
      <c r="LR8" s="1"/>
      <c r="LS8" s="1"/>
    </row>
    <row r="9" spans="1:331" s="35" customFormat="1" x14ac:dyDescent="0.25">
      <c r="A9" s="35" t="s">
        <v>54</v>
      </c>
      <c r="B9" s="35" t="s">
        <v>55</v>
      </c>
      <c r="C9" s="96" t="s">
        <v>1646</v>
      </c>
      <c r="D9" s="35">
        <v>1</v>
      </c>
      <c r="E9" s="35" t="s">
        <v>56</v>
      </c>
      <c r="H9" s="35" t="s">
        <v>57</v>
      </c>
      <c r="I9" s="35" t="s">
        <v>56</v>
      </c>
      <c r="J9" s="35" t="s">
        <v>57</v>
      </c>
      <c r="K9" s="35" t="s">
        <v>56</v>
      </c>
      <c r="L9" s="35">
        <v>0</v>
      </c>
      <c r="O9" s="35">
        <v>1</v>
      </c>
      <c r="Q9" s="96"/>
      <c r="R9" s="96" t="s">
        <v>58</v>
      </c>
      <c r="S9" s="35">
        <v>20</v>
      </c>
      <c r="U9" s="35">
        <v>20</v>
      </c>
      <c r="W9" s="96">
        <v>20</v>
      </c>
      <c r="X9" s="96"/>
      <c r="Y9" s="96"/>
      <c r="Z9" s="35">
        <v>7</v>
      </c>
      <c r="AA9" s="94" t="b">
        <v>1</v>
      </c>
      <c r="AB9" s="1"/>
      <c r="AC9" s="57" t="s">
        <v>1262</v>
      </c>
      <c r="AD9" s="1"/>
      <c r="AE9" s="57"/>
      <c r="AF9" s="1"/>
      <c r="AG9" s="1"/>
      <c r="AH9" s="1"/>
      <c r="AI9" s="1"/>
      <c r="AJ9" s="1"/>
      <c r="AK9" s="1"/>
      <c r="AL9" s="1"/>
      <c r="AM9" s="1"/>
      <c r="AN9" s="1"/>
      <c r="AO9" s="1"/>
      <c r="AP9" s="1"/>
      <c r="AQ9" s="1"/>
      <c r="AR9" s="1"/>
      <c r="AS9" s="1"/>
      <c r="AT9" s="1"/>
      <c r="AU9" s="1"/>
      <c r="AV9" s="1"/>
      <c r="AW9" s="1"/>
      <c r="AX9" s="1"/>
      <c r="AY9" s="1"/>
      <c r="AZ9" s="1"/>
      <c r="BA9" s="1"/>
      <c r="BB9" s="1"/>
      <c r="BC9" s="1"/>
      <c r="BD9" s="1"/>
      <c r="BE9" s="1"/>
      <c r="BF9" s="1"/>
      <c r="BG9" s="1"/>
      <c r="BH9" s="1"/>
      <c r="BI9" s="1"/>
      <c r="BJ9" s="1"/>
      <c r="BK9" s="1"/>
      <c r="BL9" s="1"/>
      <c r="BM9" s="1"/>
      <c r="BN9" s="1"/>
      <c r="BO9" s="1"/>
      <c r="BP9" s="1"/>
      <c r="BQ9" s="1"/>
      <c r="BR9" s="1"/>
      <c r="BS9" s="1"/>
      <c r="BT9" s="1"/>
      <c r="BU9" s="1"/>
      <c r="BV9" s="1"/>
      <c r="BW9" s="1"/>
      <c r="BX9" s="1"/>
      <c r="BY9" s="1"/>
      <c r="BZ9" s="1"/>
      <c r="CA9" s="1"/>
      <c r="CB9" s="1"/>
      <c r="CC9" s="1"/>
      <c r="CD9" s="1"/>
      <c r="CE9" s="1"/>
      <c r="CF9" s="1"/>
      <c r="CG9" s="1"/>
      <c r="CH9" s="1"/>
      <c r="CI9" s="1"/>
      <c r="CJ9" s="1"/>
      <c r="CK9" s="1"/>
      <c r="CL9" s="1"/>
      <c r="CM9" s="1"/>
      <c r="CN9" s="1"/>
      <c r="CO9" s="1"/>
      <c r="CP9" s="1"/>
      <c r="CQ9" s="1"/>
      <c r="CR9" s="1"/>
      <c r="CS9" s="1"/>
      <c r="CT9" s="1"/>
      <c r="CU9" s="1"/>
      <c r="CV9" s="1"/>
      <c r="CW9" s="1"/>
      <c r="CX9" s="1"/>
      <c r="CY9" s="1"/>
      <c r="CZ9" s="1"/>
      <c r="DA9" s="1"/>
      <c r="DB9" s="1"/>
      <c r="DC9" s="1"/>
      <c r="DD9" s="1"/>
      <c r="DE9" s="1"/>
      <c r="DF9" s="1"/>
      <c r="DG9" s="1"/>
      <c r="DH9" s="1"/>
      <c r="DI9" s="1"/>
      <c r="DJ9" s="1"/>
      <c r="DK9" s="1"/>
      <c r="DL9" s="1"/>
      <c r="DM9" s="1"/>
      <c r="DN9" s="1"/>
      <c r="DO9" s="1"/>
      <c r="DP9" s="1"/>
      <c r="DQ9" s="1"/>
      <c r="DR9" s="1"/>
      <c r="DS9" s="1"/>
      <c r="DT9" s="1"/>
      <c r="DU9" s="1"/>
      <c r="DV9" s="1"/>
      <c r="DW9" s="1"/>
      <c r="DX9" s="1"/>
      <c r="DY9" s="1"/>
      <c r="DZ9" s="1"/>
      <c r="EA9" s="1"/>
      <c r="EB9" s="1"/>
      <c r="EC9" s="1"/>
      <c r="ED9" s="1"/>
      <c r="EE9" s="1"/>
      <c r="EF9" s="1"/>
      <c r="EG9" s="1"/>
      <c r="EH9" s="1"/>
      <c r="EI9" s="1"/>
      <c r="EJ9" s="1"/>
      <c r="EK9" s="1"/>
      <c r="EL9" s="1"/>
      <c r="EM9" s="1"/>
      <c r="EN9" s="1"/>
      <c r="EO9" s="1"/>
      <c r="EP9" s="1"/>
      <c r="EQ9" s="1"/>
      <c r="ER9" s="1"/>
      <c r="ES9" s="1"/>
      <c r="ET9" s="1"/>
      <c r="EU9" s="1"/>
      <c r="EV9" s="1"/>
      <c r="EW9" s="1"/>
      <c r="EX9" s="1"/>
      <c r="EY9" s="1"/>
      <c r="EZ9" s="1"/>
      <c r="FA9" s="1"/>
      <c r="FB9" s="1"/>
      <c r="FC9" s="1"/>
      <c r="FD9" s="1"/>
      <c r="FE9" s="1"/>
      <c r="FF9" s="1"/>
      <c r="FG9" s="1"/>
      <c r="FH9" s="1"/>
      <c r="FI9" s="1"/>
      <c r="FJ9" s="1"/>
      <c r="FK9" s="1"/>
      <c r="FL9" s="1"/>
      <c r="FM9" s="1"/>
      <c r="FN9" s="1"/>
      <c r="FO9" s="1"/>
      <c r="FP9" s="1"/>
      <c r="FQ9" s="1"/>
      <c r="FR9" s="1"/>
      <c r="FS9" s="1"/>
      <c r="FT9" s="1"/>
      <c r="FU9" s="1"/>
      <c r="FV9" s="1"/>
      <c r="FW9" s="1"/>
      <c r="FX9" s="1"/>
      <c r="FY9" s="1"/>
      <c r="FZ9" s="1"/>
      <c r="GA9" s="1"/>
      <c r="GB9" s="1"/>
      <c r="GC9" s="1"/>
      <c r="GD9" s="1"/>
      <c r="GE9" s="1"/>
      <c r="GF9" s="1"/>
      <c r="GG9" s="1"/>
      <c r="GH9" s="1"/>
      <c r="GI9" s="1"/>
      <c r="GJ9" s="1"/>
      <c r="GK9" s="1"/>
      <c r="GL9" s="1"/>
      <c r="GM9" s="1"/>
      <c r="GN9" s="1"/>
      <c r="GO9" s="1"/>
      <c r="GP9" s="1"/>
      <c r="GQ9" s="1"/>
      <c r="GR9" s="1"/>
      <c r="GS9" s="1"/>
      <c r="GT9" s="1"/>
      <c r="GU9" s="1"/>
      <c r="GV9" s="1"/>
      <c r="GW9" s="1"/>
      <c r="GX9" s="1"/>
      <c r="GY9" s="1"/>
      <c r="GZ9" s="1"/>
      <c r="HA9" s="1"/>
      <c r="HB9" s="1"/>
      <c r="HC9" s="1"/>
      <c r="HD9" s="1"/>
      <c r="HE9" s="1"/>
      <c r="HF9" s="1"/>
      <c r="HG9" s="1"/>
      <c r="HH9" s="1"/>
      <c r="HI9" s="1"/>
      <c r="HJ9" s="1"/>
      <c r="HK9" s="1"/>
      <c r="HL9" s="1"/>
      <c r="HM9" s="1"/>
      <c r="HN9" s="1"/>
      <c r="HO9" s="1"/>
      <c r="HP9" s="1"/>
      <c r="HQ9" s="1"/>
      <c r="HR9" s="1"/>
      <c r="HS9" s="1"/>
      <c r="HT9" s="1"/>
      <c r="HU9" s="1"/>
      <c r="HV9" s="1"/>
      <c r="HW9" s="1"/>
      <c r="HX9" s="1"/>
      <c r="HY9" s="1"/>
      <c r="HZ9" s="1"/>
      <c r="IA9" s="1"/>
      <c r="IB9" s="1"/>
      <c r="IC9" s="1"/>
      <c r="ID9" s="1"/>
      <c r="IE9" s="1"/>
      <c r="IF9" s="1"/>
      <c r="IG9" s="1"/>
      <c r="IH9" s="1"/>
      <c r="II9" s="1"/>
      <c r="IJ9" s="1"/>
      <c r="IK9" s="1"/>
      <c r="IL9" s="1"/>
      <c r="IM9" s="1"/>
      <c r="IN9" s="1"/>
      <c r="IO9" s="1"/>
      <c r="IP9" s="1"/>
      <c r="IQ9" s="1"/>
      <c r="IR9" s="1"/>
      <c r="IS9" s="1"/>
      <c r="IT9" s="1"/>
      <c r="IU9" s="1"/>
      <c r="IV9" s="1"/>
      <c r="IW9" s="1"/>
      <c r="IX9" s="1"/>
      <c r="IY9" s="1"/>
      <c r="IZ9" s="1"/>
      <c r="JA9" s="1"/>
      <c r="JB9" s="1"/>
      <c r="JC9" s="1"/>
      <c r="JD9" s="1"/>
      <c r="JE9" s="1"/>
      <c r="JF9" s="1"/>
      <c r="JG9" s="1"/>
      <c r="JH9" s="1"/>
      <c r="JI9" s="1"/>
      <c r="JJ9" s="1"/>
      <c r="JK9" s="1"/>
      <c r="JL9" s="1"/>
      <c r="JM9" s="1"/>
      <c r="JN9" s="1"/>
      <c r="JO9" s="1"/>
      <c r="JP9" s="1"/>
      <c r="JQ9" s="1"/>
      <c r="JR9" s="1"/>
      <c r="JS9" s="1"/>
      <c r="JT9" s="1"/>
      <c r="JU9" s="1"/>
      <c r="JV9" s="1"/>
      <c r="JW9" s="1"/>
      <c r="JX9" s="1"/>
      <c r="JY9" s="1"/>
      <c r="JZ9" s="1"/>
      <c r="KA9" s="1"/>
      <c r="KB9" s="1"/>
      <c r="KC9" s="1"/>
      <c r="KD9" s="1"/>
      <c r="KE9" s="1"/>
      <c r="KF9" s="1"/>
      <c r="KG9" s="1"/>
      <c r="KH9" s="1"/>
      <c r="KI9" s="1"/>
      <c r="KJ9" s="1"/>
      <c r="KK9" s="1"/>
      <c r="KL9" s="1"/>
      <c r="KM9" s="1"/>
      <c r="KN9" s="1"/>
      <c r="KO9" s="1"/>
      <c r="KP9" s="1"/>
      <c r="KQ9" s="1"/>
      <c r="KR9" s="1"/>
      <c r="KS9" s="1"/>
      <c r="KT9" s="1"/>
      <c r="KU9" s="1"/>
      <c r="KV9" s="1"/>
      <c r="KW9" s="1"/>
      <c r="KX9" s="1"/>
      <c r="KY9" s="1"/>
      <c r="KZ9" s="1"/>
      <c r="LA9" s="1"/>
      <c r="LB9" s="1"/>
      <c r="LC9" s="1"/>
      <c r="LD9" s="1"/>
      <c r="LE9" s="1"/>
      <c r="LF9" s="1"/>
      <c r="LG9" s="1"/>
      <c r="LH9" s="1"/>
      <c r="LI9" s="1"/>
      <c r="LJ9" s="1"/>
      <c r="LK9" s="1"/>
      <c r="LL9" s="1"/>
      <c r="LM9" s="1"/>
      <c r="LN9" s="1"/>
      <c r="LO9" s="1"/>
      <c r="LP9" s="1"/>
      <c r="LQ9" s="1"/>
      <c r="LR9" s="1"/>
      <c r="LS9" s="1"/>
    </row>
    <row r="10" spans="1:331" s="3" customFormat="1" x14ac:dyDescent="0.25">
      <c r="A10" s="3" t="s">
        <v>59</v>
      </c>
      <c r="B10" s="5" t="s">
        <v>60</v>
      </c>
      <c r="C10" s="94" t="s">
        <v>1646</v>
      </c>
      <c r="D10" s="3">
        <v>0</v>
      </c>
      <c r="H10" s="3" t="s">
        <v>61</v>
      </c>
      <c r="I10" s="3" t="s">
        <v>62</v>
      </c>
      <c r="J10" s="3" t="s">
        <v>61</v>
      </c>
      <c r="K10" s="3" t="s">
        <v>869</v>
      </c>
      <c r="L10" s="3">
        <v>1</v>
      </c>
      <c r="M10" s="3" t="s">
        <v>57</v>
      </c>
      <c r="O10" s="3">
        <v>1</v>
      </c>
      <c r="Q10" s="96" t="s">
        <v>1482</v>
      </c>
      <c r="R10" s="96"/>
      <c r="S10" s="3">
        <v>15</v>
      </c>
      <c r="V10" s="3">
        <v>15</v>
      </c>
      <c r="W10" s="96">
        <v>15</v>
      </c>
      <c r="X10" s="96"/>
      <c r="Y10" s="96"/>
      <c r="Z10" s="3">
        <v>1</v>
      </c>
      <c r="AA10" s="94" t="b">
        <v>1</v>
      </c>
      <c r="AB10" s="1"/>
      <c r="AC10" s="57" t="s">
        <v>1263</v>
      </c>
      <c r="AD10" s="1"/>
      <c r="AE10" s="57"/>
      <c r="AF10" s="1"/>
      <c r="AG10" s="1"/>
      <c r="AH10" s="1"/>
      <c r="AI10" s="1"/>
      <c r="AJ10" s="1"/>
      <c r="AK10" s="1"/>
      <c r="AL10" s="1"/>
      <c r="AM10" s="1"/>
      <c r="AN10" s="1"/>
      <c r="AO10" s="1"/>
      <c r="AP10" s="1"/>
      <c r="AQ10" s="1"/>
      <c r="AR10" s="1"/>
      <c r="AS10" s="1"/>
      <c r="AT10" s="1"/>
      <c r="AU10" s="1"/>
      <c r="AV10" s="1"/>
      <c r="AW10" s="1"/>
      <c r="AX10" s="1"/>
      <c r="AY10" s="1"/>
      <c r="AZ10" s="1"/>
      <c r="BA10" s="1"/>
      <c r="BB10" s="1"/>
      <c r="BC10" s="1"/>
      <c r="BD10" s="1"/>
      <c r="BE10" s="1"/>
      <c r="BF10" s="1"/>
      <c r="BG10" s="1"/>
      <c r="BH10" s="1"/>
      <c r="BI10" s="1"/>
      <c r="BJ10" s="1"/>
      <c r="BK10" s="1"/>
      <c r="BL10" s="1"/>
      <c r="BM10" s="1"/>
      <c r="BN10" s="1"/>
      <c r="BO10" s="1"/>
      <c r="BP10" s="1"/>
      <c r="BQ10" s="1"/>
      <c r="BR10" s="1"/>
      <c r="BS10" s="1"/>
      <c r="BT10" s="1"/>
      <c r="BU10" s="1"/>
      <c r="BV10" s="1"/>
      <c r="BW10" s="1"/>
      <c r="BX10" s="1"/>
      <c r="BY10" s="1"/>
      <c r="BZ10" s="1"/>
      <c r="CA10" s="1"/>
      <c r="CB10" s="1"/>
      <c r="CC10" s="1"/>
      <c r="CD10" s="1"/>
      <c r="CE10" s="1"/>
      <c r="CF10" s="1"/>
      <c r="CG10" s="1"/>
      <c r="CH10" s="1"/>
      <c r="CI10" s="1"/>
      <c r="CJ10" s="1"/>
      <c r="CK10" s="1"/>
      <c r="CL10" s="1"/>
      <c r="CM10" s="1"/>
      <c r="CN10" s="1"/>
      <c r="CO10" s="1"/>
      <c r="CP10" s="1"/>
      <c r="CQ10" s="1"/>
      <c r="CR10" s="1"/>
      <c r="CS10" s="1"/>
      <c r="CT10" s="1"/>
      <c r="CU10" s="1"/>
      <c r="CV10" s="1"/>
      <c r="CW10" s="1"/>
      <c r="CX10" s="1"/>
      <c r="CY10" s="1"/>
      <c r="CZ10" s="1"/>
      <c r="DA10" s="1"/>
      <c r="DB10" s="1"/>
      <c r="DC10" s="1"/>
      <c r="DD10" s="1"/>
      <c r="DE10" s="1"/>
      <c r="DF10" s="1"/>
      <c r="DG10" s="1"/>
      <c r="DH10" s="1"/>
      <c r="DI10" s="1"/>
      <c r="DJ10" s="1"/>
      <c r="DK10" s="1"/>
      <c r="DL10" s="1"/>
      <c r="DM10" s="1"/>
      <c r="DN10" s="1"/>
      <c r="DO10" s="1"/>
      <c r="DP10" s="1"/>
      <c r="DQ10" s="1"/>
      <c r="DR10" s="1"/>
      <c r="DS10" s="1"/>
      <c r="DT10" s="1"/>
      <c r="DU10" s="1"/>
      <c r="DV10" s="1"/>
      <c r="DW10" s="1"/>
      <c r="DX10" s="1"/>
      <c r="DY10" s="1"/>
      <c r="DZ10" s="1"/>
      <c r="EA10" s="1"/>
      <c r="EB10" s="1"/>
      <c r="EC10" s="1"/>
      <c r="ED10" s="1"/>
      <c r="EE10" s="1"/>
      <c r="EF10" s="1"/>
      <c r="EG10" s="1"/>
      <c r="EH10" s="1"/>
      <c r="EI10" s="1"/>
      <c r="EJ10" s="1"/>
      <c r="EK10" s="1"/>
      <c r="EL10" s="1"/>
      <c r="EM10" s="1"/>
      <c r="EN10" s="1"/>
      <c r="EO10" s="1"/>
      <c r="EP10" s="1"/>
      <c r="EQ10" s="1"/>
      <c r="ER10" s="1"/>
      <c r="ES10" s="1"/>
      <c r="ET10" s="1"/>
      <c r="EU10" s="1"/>
      <c r="EV10" s="1"/>
      <c r="EW10" s="1"/>
      <c r="EX10" s="1"/>
      <c r="EY10" s="1"/>
      <c r="EZ10" s="1"/>
      <c r="FA10" s="1"/>
      <c r="FB10" s="1"/>
      <c r="FC10" s="1"/>
      <c r="FD10" s="1"/>
      <c r="FE10" s="1"/>
      <c r="FF10" s="1"/>
      <c r="FG10" s="1"/>
      <c r="FH10" s="1"/>
      <c r="FI10" s="1"/>
      <c r="FJ10" s="1"/>
      <c r="FK10" s="1"/>
      <c r="FL10" s="1"/>
      <c r="FM10" s="1"/>
      <c r="FN10" s="1"/>
      <c r="FO10" s="1"/>
      <c r="FP10" s="1"/>
      <c r="FQ10" s="1"/>
      <c r="FR10" s="1"/>
      <c r="FS10" s="1"/>
      <c r="FT10" s="1"/>
      <c r="FU10" s="1"/>
      <c r="FV10" s="1"/>
      <c r="FW10" s="1"/>
      <c r="FX10" s="1"/>
      <c r="FY10" s="1"/>
      <c r="FZ10" s="1"/>
      <c r="GA10" s="1"/>
      <c r="GB10" s="1"/>
      <c r="GC10" s="1"/>
      <c r="GD10" s="1"/>
      <c r="GE10" s="1"/>
      <c r="GF10" s="1"/>
      <c r="GG10" s="1"/>
      <c r="GH10" s="1"/>
      <c r="GI10" s="1"/>
      <c r="GJ10" s="1"/>
      <c r="GK10" s="1"/>
      <c r="GL10" s="1"/>
      <c r="GM10" s="1"/>
      <c r="GN10" s="1"/>
      <c r="GO10" s="1"/>
      <c r="GP10" s="1"/>
      <c r="GQ10" s="1"/>
      <c r="GR10" s="1"/>
      <c r="GS10" s="1"/>
      <c r="GT10" s="1"/>
      <c r="GU10" s="1"/>
      <c r="GV10" s="1"/>
      <c r="GW10" s="1"/>
      <c r="GX10" s="1"/>
      <c r="GY10" s="1"/>
      <c r="GZ10" s="1"/>
      <c r="HA10" s="1"/>
      <c r="HB10" s="1"/>
      <c r="HC10" s="1"/>
      <c r="HD10" s="1"/>
      <c r="HE10" s="1"/>
      <c r="HF10" s="1"/>
      <c r="HG10" s="1"/>
      <c r="HH10" s="1"/>
      <c r="HI10" s="1"/>
      <c r="HJ10" s="1"/>
      <c r="HK10" s="1"/>
      <c r="HL10" s="1"/>
      <c r="HM10" s="1"/>
      <c r="HN10" s="1"/>
      <c r="HO10" s="1"/>
      <c r="HP10" s="1"/>
      <c r="HQ10" s="1"/>
      <c r="HR10" s="1"/>
      <c r="HS10" s="1"/>
      <c r="HT10" s="1"/>
      <c r="HU10" s="1"/>
      <c r="HV10" s="1"/>
      <c r="HW10" s="1"/>
      <c r="HX10" s="1"/>
      <c r="HY10" s="1"/>
      <c r="HZ10" s="1"/>
      <c r="IA10" s="1"/>
      <c r="IB10" s="1"/>
      <c r="IC10" s="1"/>
      <c r="ID10" s="1"/>
      <c r="IE10" s="1"/>
      <c r="IF10" s="1"/>
      <c r="IG10" s="1"/>
      <c r="IH10" s="1"/>
      <c r="II10" s="1"/>
      <c r="IJ10" s="1"/>
      <c r="IK10" s="1"/>
      <c r="IL10" s="1"/>
      <c r="IM10" s="1"/>
      <c r="IN10" s="1"/>
      <c r="IO10" s="1"/>
      <c r="IP10" s="1"/>
      <c r="IQ10" s="1"/>
      <c r="IR10" s="1"/>
      <c r="IS10" s="1"/>
      <c r="IT10" s="1"/>
      <c r="IU10" s="1"/>
      <c r="IV10" s="1"/>
      <c r="IW10" s="1"/>
      <c r="IX10" s="1"/>
      <c r="IY10" s="1"/>
      <c r="IZ10" s="1"/>
      <c r="JA10" s="1"/>
      <c r="JB10" s="1"/>
      <c r="JC10" s="1"/>
      <c r="JD10" s="1"/>
      <c r="JE10" s="1"/>
      <c r="JF10" s="1"/>
      <c r="JG10" s="1"/>
      <c r="JH10" s="1"/>
      <c r="JI10" s="1"/>
      <c r="JJ10" s="1"/>
      <c r="JK10" s="1"/>
      <c r="JL10" s="1"/>
      <c r="JM10" s="1"/>
      <c r="JN10" s="1"/>
      <c r="JO10" s="1"/>
      <c r="JP10" s="1"/>
      <c r="JQ10" s="1"/>
      <c r="JR10" s="1"/>
      <c r="JS10" s="1"/>
      <c r="JT10" s="1"/>
      <c r="JU10" s="1"/>
      <c r="JV10" s="1"/>
      <c r="JW10" s="1"/>
      <c r="JX10" s="1"/>
      <c r="JY10" s="1"/>
      <c r="JZ10" s="1"/>
      <c r="KA10" s="1"/>
      <c r="KB10" s="1"/>
      <c r="KC10" s="1"/>
      <c r="KD10" s="1"/>
      <c r="KE10" s="1"/>
      <c r="KF10" s="1"/>
      <c r="KG10" s="1"/>
      <c r="KH10" s="1"/>
      <c r="KI10" s="1"/>
      <c r="KJ10" s="1"/>
      <c r="KK10" s="1"/>
      <c r="KL10" s="1"/>
      <c r="KM10" s="1"/>
      <c r="KN10" s="1"/>
      <c r="KO10" s="1"/>
      <c r="KP10" s="1"/>
      <c r="KQ10" s="1"/>
      <c r="KR10" s="1"/>
      <c r="KS10" s="1"/>
      <c r="KT10" s="1"/>
      <c r="KU10" s="1"/>
      <c r="KV10" s="1"/>
      <c r="KW10" s="1"/>
      <c r="KX10" s="1"/>
      <c r="KY10" s="1"/>
      <c r="KZ10" s="1"/>
      <c r="LA10" s="1"/>
      <c r="LB10" s="1"/>
      <c r="LC10" s="1"/>
      <c r="LD10" s="1"/>
      <c r="LE10" s="1"/>
      <c r="LF10" s="1"/>
      <c r="LG10" s="1"/>
      <c r="LH10" s="1"/>
      <c r="LI10" s="1"/>
      <c r="LJ10" s="1"/>
      <c r="LK10" s="1"/>
      <c r="LL10" s="1"/>
      <c r="LM10" s="1"/>
      <c r="LN10" s="1"/>
      <c r="LO10" s="1"/>
      <c r="LP10" s="1"/>
      <c r="LQ10" s="1"/>
      <c r="LR10" s="1"/>
      <c r="LS10" s="1"/>
    </row>
    <row r="11" spans="1:331" s="35" customFormat="1" x14ac:dyDescent="0.25">
      <c r="A11" s="35" t="s">
        <v>63</v>
      </c>
      <c r="B11" s="35" t="s">
        <v>64</v>
      </c>
      <c r="C11" s="96" t="s">
        <v>1646</v>
      </c>
      <c r="D11" s="35">
        <v>2</v>
      </c>
      <c r="E11" s="35" t="s">
        <v>65</v>
      </c>
      <c r="F11" s="35" t="s">
        <v>65</v>
      </c>
      <c r="H11" s="35" t="s">
        <v>66</v>
      </c>
      <c r="I11" s="35" t="s">
        <v>67</v>
      </c>
      <c r="J11" s="35" t="s">
        <v>68</v>
      </c>
      <c r="K11" s="35" t="s">
        <v>66</v>
      </c>
      <c r="L11" s="35">
        <v>0</v>
      </c>
      <c r="O11" s="35">
        <v>1</v>
      </c>
      <c r="P11" s="35" t="s">
        <v>68</v>
      </c>
      <c r="Q11" s="96" t="s">
        <v>1483</v>
      </c>
      <c r="R11" s="96"/>
      <c r="S11" s="35">
        <v>13</v>
      </c>
      <c r="U11" s="35">
        <v>14</v>
      </c>
      <c r="W11" s="96">
        <v>13</v>
      </c>
      <c r="X11" s="96"/>
      <c r="Y11" s="96"/>
      <c r="Z11" s="35">
        <v>7</v>
      </c>
      <c r="AA11" s="94" t="b">
        <v>1</v>
      </c>
      <c r="AB11" s="1"/>
      <c r="AC11" s="57" t="s">
        <v>1264</v>
      </c>
      <c r="AD11" s="1"/>
      <c r="AE11" s="57"/>
      <c r="AF11" s="1"/>
      <c r="AG11" s="1"/>
      <c r="AH11" s="1"/>
      <c r="AI11" s="1"/>
      <c r="AJ11" s="1"/>
      <c r="AK11" s="1"/>
      <c r="AL11" s="1"/>
      <c r="AM11" s="1"/>
      <c r="AN11" s="1"/>
      <c r="AO11" s="1"/>
      <c r="AP11" s="1"/>
      <c r="AQ11" s="1"/>
      <c r="AR11" s="1"/>
      <c r="AS11" s="1"/>
      <c r="AT11" s="1"/>
      <c r="AU11" s="1"/>
      <c r="AV11" s="1"/>
      <c r="AW11" s="1"/>
      <c r="AX11" s="1"/>
      <c r="AY11" s="1"/>
      <c r="AZ11" s="1"/>
      <c r="BA11" s="1"/>
      <c r="BB11" s="1"/>
      <c r="BC11" s="1"/>
      <c r="BD11" s="1"/>
      <c r="BE11" s="1"/>
      <c r="BF11" s="1"/>
      <c r="BG11" s="1"/>
      <c r="BH11" s="1"/>
      <c r="BI11" s="1"/>
      <c r="BJ11" s="1"/>
      <c r="BK11" s="1"/>
      <c r="BL11" s="1"/>
      <c r="BM11" s="1"/>
      <c r="BN11" s="1"/>
      <c r="BO11" s="1"/>
      <c r="BP11" s="1"/>
      <c r="BQ11" s="1"/>
      <c r="BR11" s="1"/>
      <c r="BS11" s="1"/>
      <c r="BT11" s="1"/>
      <c r="BU11" s="1"/>
      <c r="BV11" s="1"/>
      <c r="BW11" s="1"/>
      <c r="BX11" s="1"/>
      <c r="BY11" s="1"/>
      <c r="BZ11" s="1"/>
      <c r="CA11" s="1"/>
      <c r="CB11" s="1"/>
      <c r="CC11" s="1"/>
      <c r="CD11" s="1"/>
      <c r="CE11" s="1"/>
      <c r="CF11" s="1"/>
      <c r="CG11" s="1"/>
      <c r="CH11" s="1"/>
      <c r="CI11" s="1"/>
      <c r="CJ11" s="1"/>
      <c r="CK11" s="1"/>
      <c r="CL11" s="1"/>
      <c r="CM11" s="1"/>
      <c r="CN11" s="1"/>
      <c r="CO11" s="1"/>
      <c r="CP11" s="1"/>
      <c r="CQ11" s="1"/>
      <c r="CR11" s="1"/>
      <c r="CS11" s="1"/>
      <c r="CT11" s="1"/>
      <c r="CU11" s="1"/>
      <c r="CV11" s="1"/>
      <c r="CW11" s="1"/>
      <c r="CX11" s="1"/>
      <c r="CY11" s="1"/>
      <c r="CZ11" s="1"/>
      <c r="DA11" s="1"/>
      <c r="DB11" s="1"/>
      <c r="DC11" s="1"/>
      <c r="DD11" s="1"/>
      <c r="DE11" s="1"/>
      <c r="DF11" s="1"/>
      <c r="DG11" s="1"/>
      <c r="DH11" s="1"/>
      <c r="DI11" s="1"/>
      <c r="DJ11" s="1"/>
      <c r="DK11" s="1"/>
      <c r="DL11" s="1"/>
      <c r="DM11" s="1"/>
      <c r="DN11" s="1"/>
      <c r="DO11" s="1"/>
      <c r="DP11" s="1"/>
      <c r="DQ11" s="1"/>
      <c r="DR11" s="1"/>
      <c r="DS11" s="1"/>
      <c r="DT11" s="1"/>
      <c r="DU11" s="1"/>
      <c r="DV11" s="1"/>
      <c r="DW11" s="1"/>
      <c r="DX11" s="1"/>
      <c r="DY11" s="1"/>
      <c r="DZ11" s="1"/>
      <c r="EA11" s="1"/>
      <c r="EB11" s="1"/>
      <c r="EC11" s="1"/>
      <c r="ED11" s="1"/>
      <c r="EE11" s="1"/>
      <c r="EF11" s="1"/>
      <c r="EG11" s="1"/>
      <c r="EH11" s="1"/>
      <c r="EI11" s="1"/>
      <c r="EJ11" s="1"/>
      <c r="EK11" s="1"/>
      <c r="EL11" s="1"/>
      <c r="EM11" s="1"/>
      <c r="EN11" s="1"/>
      <c r="EO11" s="1"/>
      <c r="EP11" s="1"/>
      <c r="EQ11" s="1"/>
      <c r="ER11" s="1"/>
      <c r="ES11" s="1"/>
      <c r="ET11" s="1"/>
      <c r="EU11" s="1"/>
      <c r="EV11" s="1"/>
      <c r="EW11" s="1"/>
      <c r="EX11" s="1"/>
      <c r="EY11" s="1"/>
      <c r="EZ11" s="1"/>
      <c r="FA11" s="1"/>
      <c r="FB11" s="1"/>
      <c r="FC11" s="1"/>
      <c r="FD11" s="1"/>
      <c r="FE11" s="1"/>
      <c r="FF11" s="1"/>
      <c r="FG11" s="1"/>
      <c r="FH11" s="1"/>
      <c r="FI11" s="1"/>
      <c r="FJ11" s="1"/>
      <c r="FK11" s="1"/>
      <c r="FL11" s="1"/>
      <c r="FM11" s="1"/>
      <c r="FN11" s="1"/>
      <c r="FO11" s="1"/>
      <c r="FP11" s="1"/>
      <c r="FQ11" s="1"/>
      <c r="FR11" s="1"/>
      <c r="FS11" s="1"/>
      <c r="FT11" s="1"/>
      <c r="FU11" s="1"/>
      <c r="FV11" s="1"/>
      <c r="FW11" s="1"/>
      <c r="FX11" s="1"/>
      <c r="FY11" s="1"/>
      <c r="FZ11" s="1"/>
      <c r="GA11" s="1"/>
      <c r="GB11" s="1"/>
      <c r="GC11" s="1"/>
      <c r="GD11" s="1"/>
      <c r="GE11" s="1"/>
      <c r="GF11" s="1"/>
      <c r="GG11" s="1"/>
      <c r="GH11" s="1"/>
      <c r="GI11" s="1"/>
      <c r="GJ11" s="1"/>
      <c r="GK11" s="1"/>
      <c r="GL11" s="1"/>
      <c r="GM11" s="1"/>
      <c r="GN11" s="1"/>
      <c r="GO11" s="1"/>
      <c r="GP11" s="1"/>
      <c r="GQ11" s="1"/>
      <c r="GR11" s="1"/>
      <c r="GS11" s="1"/>
      <c r="GT11" s="1"/>
      <c r="GU11" s="1"/>
      <c r="GV11" s="1"/>
      <c r="GW11" s="1"/>
      <c r="GX11" s="1"/>
      <c r="GY11" s="1"/>
      <c r="GZ11" s="1"/>
      <c r="HA11" s="1"/>
      <c r="HB11" s="1"/>
      <c r="HC11" s="1"/>
      <c r="HD11" s="1"/>
      <c r="HE11" s="1"/>
      <c r="HF11" s="1"/>
      <c r="HG11" s="1"/>
      <c r="HH11" s="1"/>
      <c r="HI11" s="1"/>
      <c r="HJ11" s="1"/>
      <c r="HK11" s="1"/>
      <c r="HL11" s="1"/>
      <c r="HM11" s="1"/>
      <c r="HN11" s="1"/>
      <c r="HO11" s="1"/>
      <c r="HP11" s="1"/>
      <c r="HQ11" s="1"/>
      <c r="HR11" s="1"/>
      <c r="HS11" s="1"/>
      <c r="HT11" s="1"/>
      <c r="HU11" s="1"/>
      <c r="HV11" s="1"/>
      <c r="HW11" s="1"/>
      <c r="HX11" s="1"/>
      <c r="HY11" s="1"/>
      <c r="HZ11" s="1"/>
      <c r="IA11" s="1"/>
      <c r="IB11" s="1"/>
      <c r="IC11" s="1"/>
      <c r="ID11" s="1"/>
      <c r="IE11" s="1"/>
      <c r="IF11" s="1"/>
      <c r="IG11" s="1"/>
      <c r="IH11" s="1"/>
      <c r="II11" s="1"/>
      <c r="IJ11" s="1"/>
      <c r="IK11" s="1"/>
      <c r="IL11" s="1"/>
      <c r="IM11" s="1"/>
      <c r="IN11" s="1"/>
      <c r="IO11" s="1"/>
      <c r="IP11" s="1"/>
      <c r="IQ11" s="1"/>
      <c r="IR11" s="1"/>
      <c r="IS11" s="1"/>
      <c r="IT11" s="1"/>
      <c r="IU11" s="1"/>
      <c r="IV11" s="1"/>
      <c r="IW11" s="1"/>
      <c r="IX11" s="1"/>
      <c r="IY11" s="1"/>
      <c r="IZ11" s="1"/>
      <c r="JA11" s="1"/>
      <c r="JB11" s="1"/>
      <c r="JC11" s="1"/>
      <c r="JD11" s="1"/>
      <c r="JE11" s="1"/>
      <c r="JF11" s="1"/>
      <c r="JG11" s="1"/>
      <c r="JH11" s="1"/>
      <c r="JI11" s="1"/>
      <c r="JJ11" s="1"/>
      <c r="JK11" s="1"/>
      <c r="JL11" s="1"/>
      <c r="JM11" s="1"/>
      <c r="JN11" s="1"/>
      <c r="JO11" s="1"/>
      <c r="JP11" s="1"/>
      <c r="JQ11" s="1"/>
      <c r="JR11" s="1"/>
      <c r="JS11" s="1"/>
      <c r="JT11" s="1"/>
      <c r="JU11" s="1"/>
      <c r="JV11" s="1"/>
      <c r="JW11" s="1"/>
      <c r="JX11" s="1"/>
      <c r="JY11" s="1"/>
      <c r="JZ11" s="1"/>
      <c r="KA11" s="1"/>
      <c r="KB11" s="1"/>
      <c r="KC11" s="1"/>
      <c r="KD11" s="1"/>
      <c r="KE11" s="1"/>
      <c r="KF11" s="1"/>
      <c r="KG11" s="1"/>
      <c r="KH11" s="1"/>
      <c r="KI11" s="1"/>
      <c r="KJ11" s="1"/>
      <c r="KK11" s="1"/>
      <c r="KL11" s="1"/>
      <c r="KM11" s="1"/>
      <c r="KN11" s="1"/>
      <c r="KO11" s="1"/>
      <c r="KP11" s="1"/>
      <c r="KQ11" s="1"/>
      <c r="KR11" s="1"/>
      <c r="KS11" s="1"/>
      <c r="KT11" s="1"/>
      <c r="KU11" s="1"/>
      <c r="KV11" s="1"/>
      <c r="KW11" s="1"/>
      <c r="KX11" s="1"/>
      <c r="KY11" s="1"/>
      <c r="KZ11" s="1"/>
      <c r="LA11" s="1"/>
      <c r="LB11" s="1"/>
      <c r="LC11" s="1"/>
      <c r="LD11" s="1"/>
      <c r="LE11" s="1"/>
      <c r="LF11" s="1"/>
      <c r="LG11" s="1"/>
      <c r="LH11" s="1"/>
      <c r="LI11" s="1"/>
      <c r="LJ11" s="1"/>
      <c r="LK11" s="1"/>
      <c r="LL11" s="1"/>
      <c r="LM11" s="1"/>
      <c r="LN11" s="1"/>
      <c r="LO11" s="1"/>
      <c r="LP11" s="1"/>
      <c r="LQ11" s="1"/>
      <c r="LR11" s="1"/>
      <c r="LS11" s="1"/>
    </row>
    <row r="12" spans="1:331" s="68" customFormat="1" x14ac:dyDescent="0.25">
      <c r="A12" s="68" t="s">
        <v>69</v>
      </c>
      <c r="B12" s="68" t="s">
        <v>70</v>
      </c>
      <c r="C12" s="96" t="s">
        <v>1646</v>
      </c>
      <c r="D12" s="68">
        <v>1</v>
      </c>
      <c r="E12" s="68" t="s">
        <v>71</v>
      </c>
      <c r="H12" s="68" t="s">
        <v>72</v>
      </c>
      <c r="I12" s="68" t="s">
        <v>73</v>
      </c>
      <c r="J12" s="68" t="s">
        <v>74</v>
      </c>
      <c r="K12" s="68" t="s">
        <v>74</v>
      </c>
      <c r="L12" s="68">
        <v>0</v>
      </c>
      <c r="O12" s="68">
        <v>1</v>
      </c>
      <c r="P12" s="68" t="s">
        <v>75</v>
      </c>
      <c r="Q12" s="96"/>
      <c r="R12" s="96" t="s">
        <v>76</v>
      </c>
      <c r="S12" s="68">
        <v>23</v>
      </c>
      <c r="U12" s="68">
        <v>24</v>
      </c>
      <c r="W12" s="96">
        <v>23</v>
      </c>
      <c r="X12" s="96"/>
      <c r="Y12" s="96"/>
      <c r="Z12" s="68">
        <v>13</v>
      </c>
      <c r="AA12" s="94" t="b">
        <v>1</v>
      </c>
      <c r="AB12" s="1"/>
      <c r="AC12" s="57" t="s">
        <v>1265</v>
      </c>
      <c r="AD12" s="1"/>
      <c r="AE12" s="57"/>
      <c r="AF12" s="1"/>
      <c r="AG12" s="1"/>
      <c r="AH12" s="1"/>
      <c r="AI12" s="1"/>
      <c r="AJ12" s="1"/>
      <c r="AK12" s="1"/>
      <c r="AL12" s="1"/>
      <c r="AM12" s="1"/>
      <c r="AN12" s="1"/>
      <c r="AO12" s="1"/>
      <c r="AP12" s="1"/>
      <c r="AQ12" s="1"/>
    </row>
    <row r="13" spans="1:331" s="30" customFormat="1" x14ac:dyDescent="0.25">
      <c r="A13" s="30" t="s">
        <v>77</v>
      </c>
      <c r="B13" s="30" t="s">
        <v>78</v>
      </c>
      <c r="C13" s="96" t="s">
        <v>1646</v>
      </c>
      <c r="D13" s="30">
        <v>0</v>
      </c>
      <c r="H13" s="30" t="s">
        <v>79</v>
      </c>
      <c r="I13" s="30" t="s">
        <v>80</v>
      </c>
      <c r="J13" s="30" t="s">
        <v>79</v>
      </c>
      <c r="K13" s="30" t="s">
        <v>1653</v>
      </c>
      <c r="L13" s="30">
        <v>1</v>
      </c>
      <c r="M13" s="30" t="s">
        <v>81</v>
      </c>
      <c r="O13" s="30">
        <v>1</v>
      </c>
      <c r="Q13" s="96" t="s">
        <v>1484</v>
      </c>
      <c r="R13" s="96"/>
      <c r="T13" s="30">
        <v>12</v>
      </c>
      <c r="V13" s="30">
        <v>12</v>
      </c>
      <c r="W13" s="96">
        <v>12</v>
      </c>
      <c r="X13" s="96"/>
      <c r="Y13" s="96"/>
      <c r="Z13" s="30">
        <v>6</v>
      </c>
      <c r="AA13" s="94" t="b">
        <v>1</v>
      </c>
      <c r="AB13" s="1"/>
      <c r="AC13" s="57" t="s">
        <v>1358</v>
      </c>
      <c r="AD13" s="1"/>
      <c r="AE13" s="57"/>
      <c r="AF13" s="1"/>
      <c r="AG13" s="1"/>
      <c r="AH13" s="1"/>
      <c r="AI13" s="1"/>
      <c r="AJ13" s="1"/>
      <c r="AK13" s="1"/>
      <c r="AL13" s="1"/>
      <c r="AM13" s="1"/>
      <c r="AN13" s="1"/>
      <c r="AO13" s="1"/>
      <c r="AP13" s="1"/>
      <c r="AQ13" s="1"/>
    </row>
    <row r="14" spans="1:331" s="30" customFormat="1" x14ac:dyDescent="0.25">
      <c r="A14" s="30" t="s">
        <v>82</v>
      </c>
      <c r="B14" s="30" t="s">
        <v>83</v>
      </c>
      <c r="C14" s="96" t="s">
        <v>1646</v>
      </c>
      <c r="D14" s="30">
        <v>3</v>
      </c>
      <c r="E14" s="30" t="s">
        <v>84</v>
      </c>
      <c r="F14" s="30" t="s">
        <v>84</v>
      </c>
      <c r="G14" s="30" t="s">
        <v>84</v>
      </c>
      <c r="H14" s="30" t="s">
        <v>85</v>
      </c>
      <c r="I14" s="30" t="s">
        <v>86</v>
      </c>
      <c r="J14" s="30" t="s">
        <v>87</v>
      </c>
      <c r="K14" s="30" t="s">
        <v>147</v>
      </c>
      <c r="L14" s="30">
        <v>0</v>
      </c>
      <c r="O14" s="30">
        <v>0</v>
      </c>
      <c r="Q14" s="96" t="s">
        <v>1485</v>
      </c>
      <c r="R14" s="96"/>
      <c r="T14" s="30">
        <v>5</v>
      </c>
      <c r="V14" s="30">
        <v>13</v>
      </c>
      <c r="W14" s="96">
        <v>5</v>
      </c>
      <c r="X14" s="96"/>
      <c r="Y14" s="96"/>
      <c r="Z14" s="30">
        <v>6</v>
      </c>
      <c r="AA14" s="94" t="b">
        <v>1</v>
      </c>
      <c r="AB14" s="1" t="s">
        <v>1898</v>
      </c>
      <c r="AC14" s="57" t="s">
        <v>1267</v>
      </c>
      <c r="AD14" s="1"/>
      <c r="AE14" s="57"/>
      <c r="AF14" s="1"/>
      <c r="AG14" s="1"/>
      <c r="AH14" s="1"/>
      <c r="AI14" s="1"/>
      <c r="AJ14" s="1"/>
      <c r="AK14" s="1"/>
      <c r="AL14" s="1"/>
      <c r="AM14" s="1"/>
      <c r="AN14" s="1"/>
      <c r="AO14" s="1"/>
      <c r="AP14" s="1"/>
      <c r="AQ14" s="1"/>
      <c r="AR14" s="1"/>
      <c r="AS14" s="1"/>
      <c r="AT14" s="1"/>
      <c r="AU14" s="1"/>
      <c r="AV14" s="1"/>
      <c r="AW14" s="1"/>
      <c r="AX14" s="1"/>
      <c r="AY14" s="1"/>
      <c r="AZ14" s="1"/>
      <c r="BA14" s="1"/>
      <c r="BB14" s="1"/>
      <c r="BC14" s="1"/>
      <c r="BD14" s="1"/>
      <c r="BE14" s="1"/>
      <c r="BF14" s="1"/>
      <c r="BG14" s="1"/>
      <c r="BH14" s="1"/>
      <c r="BI14" s="1"/>
      <c r="BJ14" s="1"/>
      <c r="BK14" s="1"/>
      <c r="BL14" s="1"/>
      <c r="BM14" s="1"/>
      <c r="BN14" s="1"/>
      <c r="BO14" s="1"/>
      <c r="BP14" s="1"/>
      <c r="BQ14" s="1"/>
      <c r="BR14" s="1"/>
      <c r="BS14" s="1"/>
      <c r="BT14" s="1"/>
      <c r="BU14" s="1"/>
      <c r="BV14" s="1"/>
      <c r="BW14" s="1"/>
      <c r="BX14" s="1"/>
      <c r="BY14" s="1"/>
      <c r="BZ14" s="1"/>
      <c r="CA14" s="1"/>
      <c r="CB14" s="1"/>
      <c r="CC14" s="1"/>
      <c r="CD14" s="1"/>
      <c r="CE14" s="1"/>
      <c r="CF14" s="1"/>
      <c r="CG14" s="1"/>
      <c r="CH14" s="1"/>
      <c r="CI14" s="1"/>
      <c r="CJ14" s="1"/>
      <c r="CK14" s="1"/>
      <c r="CL14" s="1"/>
      <c r="CM14" s="1"/>
      <c r="CN14" s="1"/>
      <c r="CO14" s="1"/>
      <c r="CP14" s="1"/>
      <c r="CQ14" s="1"/>
      <c r="CR14" s="1"/>
      <c r="CS14" s="1"/>
      <c r="CT14" s="1"/>
      <c r="CU14" s="1"/>
      <c r="CV14" s="1"/>
      <c r="CW14" s="1"/>
      <c r="CX14" s="1"/>
      <c r="CY14" s="1"/>
      <c r="CZ14" s="1"/>
      <c r="DA14" s="1"/>
      <c r="DB14" s="1"/>
      <c r="DC14" s="1"/>
      <c r="DD14" s="1"/>
      <c r="DE14" s="1"/>
      <c r="DF14" s="1"/>
      <c r="DG14" s="1"/>
      <c r="DH14" s="1"/>
      <c r="DI14" s="1"/>
      <c r="DJ14" s="1"/>
      <c r="DK14" s="1"/>
      <c r="DL14" s="1"/>
      <c r="DM14" s="1"/>
      <c r="DN14" s="1"/>
      <c r="DO14" s="1"/>
      <c r="DP14" s="1"/>
      <c r="DQ14" s="1"/>
      <c r="DR14" s="1"/>
      <c r="DS14" s="1"/>
      <c r="DT14" s="1"/>
      <c r="DU14" s="1"/>
      <c r="DV14" s="1"/>
      <c r="DW14" s="1"/>
      <c r="DX14" s="1"/>
      <c r="DY14" s="1"/>
      <c r="DZ14" s="1"/>
      <c r="EA14" s="1"/>
      <c r="EB14" s="1"/>
      <c r="EC14" s="1"/>
      <c r="ED14" s="1"/>
      <c r="EE14" s="1"/>
      <c r="EF14" s="1"/>
      <c r="EG14" s="1"/>
      <c r="EH14" s="1"/>
      <c r="EI14" s="1"/>
      <c r="EJ14" s="1"/>
      <c r="EK14" s="1"/>
      <c r="EL14" s="1"/>
      <c r="EM14" s="1"/>
      <c r="EN14" s="1"/>
      <c r="EO14" s="1"/>
      <c r="EP14" s="1"/>
      <c r="EQ14" s="1"/>
      <c r="ER14" s="1"/>
      <c r="ES14" s="1"/>
      <c r="ET14" s="1"/>
      <c r="EU14" s="1"/>
      <c r="EV14" s="1"/>
      <c r="EW14" s="1"/>
      <c r="EX14" s="1"/>
      <c r="EY14" s="1"/>
      <c r="EZ14" s="1"/>
      <c r="FA14" s="1"/>
      <c r="FB14" s="1"/>
      <c r="FC14" s="1"/>
      <c r="FD14" s="1"/>
      <c r="FE14" s="1"/>
      <c r="FF14" s="1"/>
      <c r="FG14" s="1"/>
      <c r="FH14" s="1"/>
      <c r="FI14" s="1"/>
      <c r="FJ14" s="1"/>
      <c r="FK14" s="1"/>
      <c r="FL14" s="1"/>
      <c r="FM14" s="1"/>
      <c r="FN14" s="1"/>
      <c r="FO14" s="1"/>
      <c r="FP14" s="1"/>
      <c r="FQ14" s="1"/>
      <c r="FR14" s="1"/>
      <c r="FS14" s="1"/>
      <c r="FT14" s="1"/>
      <c r="FU14" s="1"/>
      <c r="FV14" s="1"/>
      <c r="FW14" s="1"/>
      <c r="FX14" s="1"/>
      <c r="FY14" s="1"/>
      <c r="FZ14" s="1"/>
      <c r="GA14" s="1"/>
      <c r="GB14" s="1"/>
      <c r="GC14" s="1"/>
      <c r="GD14" s="1"/>
      <c r="GE14" s="1"/>
      <c r="GF14" s="1"/>
      <c r="GG14" s="1"/>
      <c r="GH14" s="1"/>
      <c r="GI14" s="1"/>
      <c r="GJ14" s="1"/>
      <c r="GK14" s="1"/>
      <c r="GL14" s="1"/>
      <c r="GM14" s="1"/>
      <c r="GN14" s="1"/>
      <c r="GO14" s="1"/>
      <c r="GP14" s="1"/>
      <c r="GQ14" s="1"/>
      <c r="GR14" s="1"/>
      <c r="GS14" s="1"/>
      <c r="GT14" s="1"/>
      <c r="GU14" s="1"/>
      <c r="GV14" s="1"/>
      <c r="GW14" s="1"/>
      <c r="GX14" s="1"/>
      <c r="GY14" s="1"/>
      <c r="GZ14" s="1"/>
      <c r="HA14" s="1"/>
      <c r="HB14" s="1"/>
      <c r="HC14" s="1"/>
      <c r="HD14" s="1"/>
      <c r="HE14" s="1"/>
      <c r="HF14" s="1"/>
      <c r="HG14" s="1"/>
      <c r="HH14" s="1"/>
      <c r="HI14" s="1"/>
      <c r="HJ14" s="1"/>
      <c r="HK14" s="1"/>
      <c r="HL14" s="1"/>
      <c r="HM14" s="1"/>
      <c r="HN14" s="1"/>
      <c r="HO14" s="1"/>
      <c r="HP14" s="1"/>
      <c r="HQ14" s="1"/>
      <c r="HR14" s="1"/>
      <c r="HS14" s="1"/>
      <c r="HT14" s="1"/>
      <c r="HU14" s="1"/>
      <c r="HV14" s="1"/>
      <c r="HW14" s="1"/>
      <c r="HX14" s="1"/>
      <c r="HY14" s="1"/>
      <c r="HZ14" s="1"/>
      <c r="IA14" s="1"/>
      <c r="IB14" s="1"/>
      <c r="IC14" s="1"/>
      <c r="ID14" s="1"/>
      <c r="IE14" s="1"/>
      <c r="IF14" s="1"/>
      <c r="IG14" s="1"/>
      <c r="IH14" s="1"/>
      <c r="II14" s="1"/>
      <c r="IJ14" s="1"/>
      <c r="IK14" s="1"/>
      <c r="IL14" s="1"/>
      <c r="IM14" s="1"/>
      <c r="IN14" s="1"/>
      <c r="IO14" s="1"/>
      <c r="IP14" s="1"/>
      <c r="IQ14" s="1"/>
      <c r="IR14" s="1"/>
      <c r="IS14" s="1"/>
      <c r="IT14" s="1"/>
      <c r="IU14" s="1"/>
      <c r="IV14" s="1"/>
      <c r="IW14" s="1"/>
      <c r="IX14" s="1"/>
      <c r="IY14" s="1"/>
      <c r="IZ14" s="1"/>
      <c r="JA14" s="1"/>
      <c r="JB14" s="1"/>
      <c r="JC14" s="1"/>
      <c r="JD14" s="1"/>
      <c r="JE14" s="1"/>
      <c r="JF14" s="1"/>
      <c r="JG14" s="1"/>
      <c r="JH14" s="1"/>
      <c r="JI14" s="1"/>
      <c r="JJ14" s="1"/>
      <c r="JK14" s="1"/>
      <c r="JL14" s="1"/>
      <c r="JM14" s="1"/>
      <c r="JN14" s="1"/>
      <c r="JO14" s="1"/>
      <c r="JP14" s="1"/>
      <c r="JQ14" s="1"/>
      <c r="JR14" s="1"/>
      <c r="JS14" s="1"/>
      <c r="JT14" s="1"/>
      <c r="JU14" s="1"/>
      <c r="JV14" s="1"/>
      <c r="JW14" s="1"/>
      <c r="JX14" s="1"/>
      <c r="JY14" s="1"/>
      <c r="JZ14" s="1"/>
      <c r="KA14" s="1"/>
      <c r="KB14" s="1"/>
      <c r="KC14" s="1"/>
      <c r="KD14" s="1"/>
      <c r="KE14" s="1"/>
      <c r="KF14" s="1"/>
      <c r="KG14" s="1"/>
      <c r="KH14" s="1"/>
      <c r="KI14" s="1"/>
      <c r="KJ14" s="1"/>
      <c r="KK14" s="1"/>
      <c r="KL14" s="1"/>
      <c r="KM14" s="1"/>
      <c r="KN14" s="1"/>
      <c r="KO14" s="1"/>
      <c r="KP14" s="1"/>
      <c r="KQ14" s="1"/>
      <c r="KR14" s="1"/>
      <c r="KS14" s="1"/>
      <c r="KT14" s="1"/>
      <c r="KU14" s="1"/>
      <c r="KV14" s="1"/>
      <c r="KW14" s="1"/>
      <c r="KX14" s="1"/>
      <c r="KY14" s="1"/>
      <c r="KZ14" s="1"/>
      <c r="LA14" s="1"/>
      <c r="LB14" s="1"/>
      <c r="LC14" s="1"/>
      <c r="LD14" s="1"/>
      <c r="LE14" s="1"/>
      <c r="LF14" s="1"/>
      <c r="LG14" s="1"/>
      <c r="LH14" s="1"/>
      <c r="LI14" s="1"/>
      <c r="LJ14" s="1"/>
      <c r="LK14" s="1"/>
      <c r="LL14" s="1"/>
      <c r="LM14" s="1"/>
      <c r="LN14" s="1"/>
      <c r="LO14" s="1"/>
      <c r="LP14" s="1"/>
      <c r="LQ14" s="1"/>
      <c r="LR14" s="1"/>
      <c r="LS14" s="1"/>
    </row>
    <row r="15" spans="1:331" s="35" customFormat="1" x14ac:dyDescent="0.25">
      <c r="A15" s="35" t="s">
        <v>88</v>
      </c>
      <c r="B15" s="35" t="s">
        <v>89</v>
      </c>
      <c r="C15" s="96" t="s">
        <v>1646</v>
      </c>
      <c r="D15" s="35">
        <v>1</v>
      </c>
      <c r="E15" s="35" t="s">
        <v>90</v>
      </c>
      <c r="H15" s="35" t="s">
        <v>91</v>
      </c>
      <c r="I15" s="35" t="s">
        <v>92</v>
      </c>
      <c r="J15" s="35" t="s">
        <v>93</v>
      </c>
      <c r="K15" s="35" t="s">
        <v>90</v>
      </c>
      <c r="L15" s="35">
        <v>0</v>
      </c>
      <c r="O15" s="35">
        <v>1</v>
      </c>
      <c r="P15" s="35" t="s">
        <v>94</v>
      </c>
      <c r="Q15" s="96" t="s">
        <v>1486</v>
      </c>
      <c r="R15" s="96"/>
      <c r="T15" s="35">
        <v>8</v>
      </c>
      <c r="W15" s="96">
        <v>8</v>
      </c>
      <c r="X15" s="96"/>
      <c r="Y15" s="96"/>
      <c r="Z15" s="35">
        <v>7</v>
      </c>
      <c r="AA15" s="94" t="b">
        <v>1</v>
      </c>
      <c r="AB15" s="1" t="s">
        <v>1890</v>
      </c>
      <c r="AC15" s="57" t="s">
        <v>1266</v>
      </c>
      <c r="AD15" s="1"/>
      <c r="AE15" s="57"/>
      <c r="AF15" s="1"/>
      <c r="AG15" s="1"/>
      <c r="AH15" s="1"/>
      <c r="AI15" s="1"/>
      <c r="AJ15" s="1"/>
      <c r="AK15" s="1"/>
      <c r="AL15" s="1"/>
      <c r="AM15" s="1"/>
      <c r="AN15" s="1"/>
      <c r="AO15" s="1"/>
      <c r="AP15" s="1"/>
      <c r="AQ15" s="1"/>
      <c r="AR15" s="1"/>
      <c r="AS15" s="1"/>
      <c r="AT15" s="1"/>
      <c r="AU15" s="1"/>
      <c r="AV15" s="1"/>
      <c r="AW15" s="1"/>
      <c r="AX15" s="1"/>
      <c r="AY15" s="1"/>
      <c r="AZ15" s="1"/>
      <c r="BA15" s="1"/>
      <c r="BB15" s="1"/>
      <c r="BC15" s="1"/>
      <c r="BD15" s="1"/>
      <c r="BE15" s="1"/>
      <c r="BF15" s="1"/>
      <c r="BG15" s="1"/>
      <c r="BH15" s="1"/>
      <c r="BI15" s="1"/>
      <c r="BJ15" s="1"/>
      <c r="BK15" s="1"/>
      <c r="BL15" s="1"/>
      <c r="BM15" s="1"/>
      <c r="BN15" s="1"/>
      <c r="BO15" s="1"/>
      <c r="BP15" s="1"/>
      <c r="BQ15" s="1"/>
      <c r="BR15" s="1"/>
      <c r="BS15" s="1"/>
      <c r="BT15" s="1"/>
      <c r="BU15" s="1"/>
      <c r="BV15" s="1"/>
      <c r="BW15" s="1"/>
      <c r="BX15" s="1"/>
      <c r="BY15" s="1"/>
      <c r="BZ15" s="1"/>
      <c r="CA15" s="1"/>
      <c r="CB15" s="1"/>
      <c r="CC15" s="1"/>
      <c r="CD15" s="1"/>
      <c r="CE15" s="1"/>
      <c r="CF15" s="1"/>
      <c r="CG15" s="1"/>
      <c r="CH15" s="1"/>
      <c r="CI15" s="1"/>
      <c r="CJ15" s="1"/>
      <c r="CK15" s="1"/>
      <c r="CL15" s="1"/>
      <c r="CM15" s="1"/>
      <c r="CN15" s="1"/>
      <c r="CO15" s="1"/>
      <c r="CP15" s="1"/>
      <c r="CQ15" s="1"/>
      <c r="CR15" s="1"/>
      <c r="CS15" s="1"/>
      <c r="CT15" s="1"/>
      <c r="CU15" s="1"/>
      <c r="CV15" s="1"/>
      <c r="CW15" s="1"/>
      <c r="CX15" s="1"/>
      <c r="CY15" s="1"/>
      <c r="CZ15" s="1"/>
      <c r="DA15" s="1"/>
      <c r="DB15" s="1"/>
      <c r="DC15" s="1"/>
      <c r="DD15" s="1"/>
      <c r="DE15" s="1"/>
      <c r="DF15" s="1"/>
      <c r="DG15" s="1"/>
      <c r="DH15" s="1"/>
      <c r="DI15" s="1"/>
      <c r="DJ15" s="1"/>
      <c r="DK15" s="1"/>
      <c r="DL15" s="1"/>
      <c r="DM15" s="1"/>
      <c r="DN15" s="1"/>
      <c r="DO15" s="1"/>
      <c r="DP15" s="1"/>
      <c r="DQ15" s="1"/>
      <c r="DR15" s="1"/>
      <c r="DS15" s="1"/>
      <c r="DT15" s="1"/>
      <c r="DU15" s="1"/>
      <c r="DV15" s="1"/>
      <c r="DW15" s="1"/>
      <c r="DX15" s="1"/>
      <c r="DY15" s="1"/>
      <c r="DZ15" s="1"/>
      <c r="EA15" s="1"/>
      <c r="EB15" s="1"/>
      <c r="EC15" s="1"/>
      <c r="ED15" s="1"/>
      <c r="EE15" s="1"/>
      <c r="EF15" s="1"/>
      <c r="EG15" s="1"/>
      <c r="EH15" s="1"/>
      <c r="EI15" s="1"/>
      <c r="EJ15" s="1"/>
      <c r="EK15" s="1"/>
      <c r="EL15" s="1"/>
      <c r="EM15" s="1"/>
      <c r="EN15" s="1"/>
      <c r="EO15" s="1"/>
      <c r="EP15" s="1"/>
      <c r="EQ15" s="1"/>
      <c r="ER15" s="1"/>
      <c r="ES15" s="1"/>
      <c r="ET15" s="1"/>
      <c r="EU15" s="1"/>
      <c r="EV15" s="1"/>
      <c r="EW15" s="1"/>
      <c r="EX15" s="1"/>
      <c r="EY15" s="1"/>
      <c r="EZ15" s="1"/>
      <c r="FA15" s="1"/>
      <c r="FB15" s="1"/>
      <c r="FC15" s="1"/>
      <c r="FD15" s="1"/>
      <c r="FE15" s="1"/>
      <c r="FF15" s="1"/>
      <c r="FG15" s="1"/>
      <c r="FH15" s="1"/>
      <c r="FI15" s="1"/>
      <c r="FJ15" s="1"/>
      <c r="FK15" s="1"/>
      <c r="FL15" s="1"/>
      <c r="FM15" s="1"/>
      <c r="FN15" s="1"/>
      <c r="FO15" s="1"/>
      <c r="FP15" s="1"/>
      <c r="FQ15" s="1"/>
      <c r="FR15" s="1"/>
      <c r="FS15" s="1"/>
      <c r="FT15" s="1"/>
      <c r="FU15" s="1"/>
      <c r="FV15" s="1"/>
      <c r="FW15" s="1"/>
      <c r="FX15" s="1"/>
      <c r="FY15" s="1"/>
      <c r="FZ15" s="1"/>
      <c r="GA15" s="1"/>
      <c r="GB15" s="1"/>
      <c r="GC15" s="1"/>
      <c r="GD15" s="1"/>
      <c r="GE15" s="1"/>
      <c r="GF15" s="1"/>
      <c r="GG15" s="1"/>
      <c r="GH15" s="1"/>
      <c r="GI15" s="1"/>
      <c r="GJ15" s="1"/>
      <c r="GK15" s="1"/>
      <c r="GL15" s="1"/>
      <c r="GM15" s="1"/>
      <c r="GN15" s="1"/>
      <c r="GO15" s="1"/>
      <c r="GP15" s="1"/>
      <c r="GQ15" s="1"/>
      <c r="GR15" s="1"/>
      <c r="GS15" s="1"/>
      <c r="GT15" s="1"/>
      <c r="GU15" s="1"/>
      <c r="GV15" s="1"/>
      <c r="GW15" s="1"/>
      <c r="GX15" s="1"/>
      <c r="GY15" s="1"/>
      <c r="GZ15" s="1"/>
      <c r="HA15" s="1"/>
      <c r="HB15" s="1"/>
      <c r="HC15" s="1"/>
      <c r="HD15" s="1"/>
      <c r="HE15" s="1"/>
      <c r="HF15" s="1"/>
      <c r="HG15" s="1"/>
      <c r="HH15" s="1"/>
      <c r="HI15" s="1"/>
      <c r="HJ15" s="1"/>
      <c r="HK15" s="1"/>
      <c r="HL15" s="1"/>
      <c r="HM15" s="1"/>
      <c r="HN15" s="1"/>
      <c r="HO15" s="1"/>
      <c r="HP15" s="1"/>
      <c r="HQ15" s="1"/>
      <c r="HR15" s="1"/>
      <c r="HS15" s="1"/>
      <c r="HT15" s="1"/>
      <c r="HU15" s="1"/>
      <c r="HV15" s="1"/>
      <c r="HW15" s="1"/>
      <c r="HX15" s="1"/>
      <c r="HY15" s="1"/>
      <c r="HZ15" s="1"/>
      <c r="IA15" s="1"/>
      <c r="IB15" s="1"/>
      <c r="IC15" s="1"/>
      <c r="ID15" s="1"/>
      <c r="IE15" s="1"/>
      <c r="IF15" s="1"/>
      <c r="IG15" s="1"/>
      <c r="IH15" s="1"/>
      <c r="II15" s="1"/>
      <c r="IJ15" s="1"/>
      <c r="IK15" s="1"/>
      <c r="IL15" s="1"/>
      <c r="IM15" s="1"/>
      <c r="IN15" s="1"/>
      <c r="IO15" s="1"/>
      <c r="IP15" s="1"/>
      <c r="IQ15" s="1"/>
      <c r="IR15" s="1"/>
      <c r="IS15" s="1"/>
      <c r="IT15" s="1"/>
      <c r="IU15" s="1"/>
      <c r="IV15" s="1"/>
      <c r="IW15" s="1"/>
      <c r="IX15" s="1"/>
      <c r="IY15" s="1"/>
      <c r="IZ15" s="1"/>
      <c r="JA15" s="1"/>
      <c r="JB15" s="1"/>
      <c r="JC15" s="1"/>
      <c r="JD15" s="1"/>
      <c r="JE15" s="1"/>
      <c r="JF15" s="1"/>
      <c r="JG15" s="1"/>
      <c r="JH15" s="1"/>
      <c r="JI15" s="1"/>
      <c r="JJ15" s="1"/>
      <c r="JK15" s="1"/>
      <c r="JL15" s="1"/>
      <c r="JM15" s="1"/>
      <c r="JN15" s="1"/>
      <c r="JO15" s="1"/>
      <c r="JP15" s="1"/>
      <c r="JQ15" s="1"/>
      <c r="JR15" s="1"/>
      <c r="JS15" s="1"/>
      <c r="JT15" s="1"/>
      <c r="JU15" s="1"/>
      <c r="JV15" s="1"/>
      <c r="JW15" s="1"/>
      <c r="JX15" s="1"/>
      <c r="JY15" s="1"/>
      <c r="JZ15" s="1"/>
      <c r="KA15" s="1"/>
      <c r="KB15" s="1"/>
      <c r="KC15" s="1"/>
      <c r="KD15" s="1"/>
      <c r="KE15" s="1"/>
      <c r="KF15" s="1"/>
      <c r="KG15" s="1"/>
      <c r="KH15" s="1"/>
      <c r="KI15" s="1"/>
      <c r="KJ15" s="1"/>
      <c r="KK15" s="1"/>
      <c r="KL15" s="1"/>
      <c r="KM15" s="1"/>
      <c r="KN15" s="1"/>
      <c r="KO15" s="1"/>
      <c r="KP15" s="1"/>
      <c r="KQ15" s="1"/>
      <c r="KR15" s="1"/>
      <c r="KS15" s="1"/>
      <c r="KT15" s="1"/>
      <c r="KU15" s="1"/>
      <c r="KV15" s="1"/>
      <c r="KW15" s="1"/>
      <c r="KX15" s="1"/>
      <c r="KY15" s="1"/>
      <c r="KZ15" s="1"/>
      <c r="LA15" s="1"/>
      <c r="LB15" s="1"/>
      <c r="LC15" s="1"/>
      <c r="LD15" s="1"/>
      <c r="LE15" s="1"/>
      <c r="LF15" s="1"/>
      <c r="LG15" s="1"/>
      <c r="LH15" s="1"/>
      <c r="LI15" s="1"/>
      <c r="LJ15" s="1"/>
      <c r="LK15" s="1"/>
      <c r="LL15" s="1"/>
      <c r="LM15" s="1"/>
      <c r="LN15" s="1"/>
      <c r="LO15" s="1"/>
      <c r="LP15" s="1"/>
      <c r="LQ15" s="1"/>
      <c r="LR15" s="1"/>
      <c r="LS15" s="1"/>
    </row>
    <row r="16" spans="1:331" s="35" customFormat="1" x14ac:dyDescent="0.25">
      <c r="A16" s="35" t="s">
        <v>95</v>
      </c>
      <c r="B16" s="35" t="s">
        <v>96</v>
      </c>
      <c r="C16" s="96" t="s">
        <v>1646</v>
      </c>
      <c r="D16" s="35">
        <v>2</v>
      </c>
      <c r="E16" s="35" t="s">
        <v>62</v>
      </c>
      <c r="F16" s="35" t="s">
        <v>62</v>
      </c>
      <c r="H16" s="35" t="s">
        <v>97</v>
      </c>
      <c r="I16" s="35" t="s">
        <v>98</v>
      </c>
      <c r="J16" s="35" t="s">
        <v>99</v>
      </c>
      <c r="K16" s="35" t="s">
        <v>62</v>
      </c>
      <c r="L16" s="35">
        <v>0</v>
      </c>
      <c r="O16" s="35">
        <v>1</v>
      </c>
      <c r="P16" s="35" t="s">
        <v>100</v>
      </c>
      <c r="Q16" s="96" t="s">
        <v>1487</v>
      </c>
      <c r="R16" s="96"/>
      <c r="S16" s="35">
        <v>15</v>
      </c>
      <c r="V16" s="35">
        <v>16</v>
      </c>
      <c r="W16" s="96">
        <v>15</v>
      </c>
      <c r="X16" s="96"/>
      <c r="Y16" s="96"/>
      <c r="Z16" s="35">
        <v>7</v>
      </c>
      <c r="AA16" s="94" t="b">
        <v>1</v>
      </c>
      <c r="AB16" s="1"/>
      <c r="AC16" s="57" t="s">
        <v>1268</v>
      </c>
      <c r="AD16" s="1"/>
      <c r="AE16" s="57"/>
      <c r="AF16" s="1"/>
      <c r="AG16" s="1"/>
      <c r="AH16" s="1"/>
      <c r="AI16" s="1"/>
      <c r="AJ16" s="1"/>
      <c r="AK16" s="1"/>
      <c r="AL16" s="1"/>
      <c r="AM16" s="1"/>
      <c r="AN16" s="1"/>
      <c r="AO16" s="1"/>
      <c r="AP16" s="1"/>
      <c r="AQ16" s="1"/>
      <c r="AR16" s="1"/>
      <c r="AS16" s="1"/>
      <c r="AT16" s="1"/>
      <c r="AU16" s="1"/>
      <c r="AV16" s="1"/>
      <c r="AW16" s="1"/>
      <c r="AX16" s="1"/>
      <c r="AY16" s="1"/>
      <c r="AZ16" s="1"/>
      <c r="BA16" s="1"/>
      <c r="BB16" s="1"/>
      <c r="BC16" s="1"/>
      <c r="BD16" s="1"/>
      <c r="BE16" s="1"/>
      <c r="BF16" s="1"/>
      <c r="BG16" s="1"/>
      <c r="BH16" s="1"/>
      <c r="BI16" s="1"/>
      <c r="BJ16" s="1"/>
      <c r="BK16" s="1"/>
      <c r="BL16" s="1"/>
      <c r="BM16" s="1"/>
      <c r="BN16" s="1"/>
      <c r="BO16" s="1"/>
      <c r="BP16" s="1"/>
      <c r="BQ16" s="1"/>
      <c r="BR16" s="1"/>
      <c r="BS16" s="1"/>
      <c r="BT16" s="1"/>
      <c r="BU16" s="1"/>
      <c r="BV16" s="1"/>
      <c r="BW16" s="1"/>
      <c r="BX16" s="1"/>
      <c r="BY16" s="1"/>
      <c r="BZ16" s="1"/>
      <c r="CA16" s="1"/>
      <c r="CB16" s="1"/>
      <c r="CC16" s="1"/>
      <c r="CD16" s="1"/>
      <c r="CE16" s="1"/>
      <c r="CF16" s="1"/>
      <c r="CG16" s="1"/>
      <c r="CH16" s="1"/>
      <c r="CI16" s="1"/>
      <c r="CJ16" s="1"/>
      <c r="CK16" s="1"/>
      <c r="CL16" s="1"/>
      <c r="CM16" s="1"/>
      <c r="CN16" s="1"/>
      <c r="CO16" s="1"/>
      <c r="CP16" s="1"/>
      <c r="CQ16" s="1"/>
      <c r="CR16" s="1"/>
      <c r="CS16" s="1"/>
      <c r="CT16" s="1"/>
      <c r="CU16" s="1"/>
      <c r="CV16" s="1"/>
      <c r="CW16" s="1"/>
      <c r="CX16" s="1"/>
      <c r="CY16" s="1"/>
      <c r="CZ16" s="1"/>
      <c r="DA16" s="1"/>
      <c r="DB16" s="1"/>
      <c r="DC16" s="1"/>
      <c r="DD16" s="1"/>
      <c r="DE16" s="1"/>
      <c r="DF16" s="1"/>
      <c r="DG16" s="1"/>
      <c r="DH16" s="1"/>
      <c r="DI16" s="1"/>
      <c r="DJ16" s="1"/>
      <c r="DK16" s="1"/>
      <c r="DL16" s="1"/>
      <c r="DM16" s="1"/>
      <c r="DN16" s="1"/>
      <c r="DO16" s="1"/>
      <c r="DP16" s="1"/>
      <c r="DQ16" s="1"/>
      <c r="DR16" s="1"/>
      <c r="DS16" s="1"/>
      <c r="DT16" s="1"/>
      <c r="DU16" s="1"/>
      <c r="DV16" s="1"/>
      <c r="DW16" s="1"/>
      <c r="DX16" s="1"/>
      <c r="DY16" s="1"/>
      <c r="DZ16" s="1"/>
      <c r="EA16" s="1"/>
      <c r="EB16" s="1"/>
      <c r="EC16" s="1"/>
      <c r="ED16" s="1"/>
      <c r="EE16" s="1"/>
      <c r="EF16" s="1"/>
      <c r="EG16" s="1"/>
      <c r="EH16" s="1"/>
      <c r="EI16" s="1"/>
      <c r="EJ16" s="1"/>
      <c r="EK16" s="1"/>
      <c r="EL16" s="1"/>
      <c r="EM16" s="1"/>
      <c r="EN16" s="1"/>
      <c r="EO16" s="1"/>
      <c r="EP16" s="1"/>
      <c r="EQ16" s="1"/>
      <c r="ER16" s="1"/>
      <c r="ES16" s="1"/>
      <c r="ET16" s="1"/>
      <c r="EU16" s="1"/>
      <c r="EV16" s="1"/>
      <c r="EW16" s="1"/>
      <c r="EX16" s="1"/>
      <c r="EY16" s="1"/>
      <c r="EZ16" s="1"/>
      <c r="FA16" s="1"/>
      <c r="FB16" s="1"/>
      <c r="FC16" s="1"/>
      <c r="FD16" s="1"/>
      <c r="FE16" s="1"/>
      <c r="FF16" s="1"/>
      <c r="FG16" s="1"/>
      <c r="FH16" s="1"/>
      <c r="FI16" s="1"/>
      <c r="FJ16" s="1"/>
      <c r="FK16" s="1"/>
      <c r="FL16" s="1"/>
      <c r="FM16" s="1"/>
      <c r="FN16" s="1"/>
      <c r="FO16" s="1"/>
      <c r="FP16" s="1"/>
      <c r="FQ16" s="1"/>
      <c r="FR16" s="1"/>
      <c r="FS16" s="1"/>
      <c r="FT16" s="1"/>
      <c r="FU16" s="1"/>
      <c r="FV16" s="1"/>
      <c r="FW16" s="1"/>
      <c r="FX16" s="1"/>
      <c r="FY16" s="1"/>
      <c r="FZ16" s="1"/>
      <c r="GA16" s="1"/>
      <c r="GB16" s="1"/>
      <c r="GC16" s="1"/>
      <c r="GD16" s="1"/>
      <c r="GE16" s="1"/>
      <c r="GF16" s="1"/>
      <c r="GG16" s="1"/>
      <c r="GH16" s="1"/>
      <c r="GI16" s="1"/>
      <c r="GJ16" s="1"/>
      <c r="GK16" s="1"/>
      <c r="GL16" s="1"/>
      <c r="GM16" s="1"/>
      <c r="GN16" s="1"/>
      <c r="GO16" s="1"/>
      <c r="GP16" s="1"/>
      <c r="GQ16" s="1"/>
      <c r="GR16" s="1"/>
      <c r="GS16" s="1"/>
      <c r="GT16" s="1"/>
      <c r="GU16" s="1"/>
      <c r="GV16" s="1"/>
      <c r="GW16" s="1"/>
      <c r="GX16" s="1"/>
      <c r="GY16" s="1"/>
      <c r="GZ16" s="1"/>
      <c r="HA16" s="1"/>
      <c r="HB16" s="1"/>
      <c r="HC16" s="1"/>
      <c r="HD16" s="1"/>
      <c r="HE16" s="1"/>
      <c r="HF16" s="1"/>
      <c r="HG16" s="1"/>
      <c r="HH16" s="1"/>
      <c r="HI16" s="1"/>
      <c r="HJ16" s="1"/>
      <c r="HK16" s="1"/>
      <c r="HL16" s="1"/>
      <c r="HM16" s="1"/>
      <c r="HN16" s="1"/>
      <c r="HO16" s="1"/>
      <c r="HP16" s="1"/>
      <c r="HQ16" s="1"/>
      <c r="HR16" s="1"/>
      <c r="HS16" s="1"/>
      <c r="HT16" s="1"/>
      <c r="HU16" s="1"/>
      <c r="HV16" s="1"/>
      <c r="HW16" s="1"/>
      <c r="HX16" s="1"/>
      <c r="HY16" s="1"/>
      <c r="HZ16" s="1"/>
      <c r="IA16" s="1"/>
      <c r="IB16" s="1"/>
      <c r="IC16" s="1"/>
      <c r="ID16" s="1"/>
      <c r="IE16" s="1"/>
      <c r="IF16" s="1"/>
      <c r="IG16" s="1"/>
      <c r="IH16" s="1"/>
      <c r="II16" s="1"/>
      <c r="IJ16" s="1"/>
      <c r="IK16" s="1"/>
      <c r="IL16" s="1"/>
      <c r="IM16" s="1"/>
      <c r="IN16" s="1"/>
      <c r="IO16" s="1"/>
      <c r="IP16" s="1"/>
      <c r="IQ16" s="1"/>
      <c r="IR16" s="1"/>
      <c r="IS16" s="1"/>
      <c r="IT16" s="1"/>
      <c r="IU16" s="1"/>
      <c r="IV16" s="1"/>
      <c r="IW16" s="1"/>
      <c r="IX16" s="1"/>
      <c r="IY16" s="1"/>
      <c r="IZ16" s="1"/>
      <c r="JA16" s="1"/>
      <c r="JB16" s="1"/>
      <c r="JC16" s="1"/>
      <c r="JD16" s="1"/>
      <c r="JE16" s="1"/>
      <c r="JF16" s="1"/>
      <c r="JG16" s="1"/>
      <c r="JH16" s="1"/>
      <c r="JI16" s="1"/>
      <c r="JJ16" s="1"/>
      <c r="JK16" s="1"/>
      <c r="JL16" s="1"/>
      <c r="JM16" s="1"/>
      <c r="JN16" s="1"/>
      <c r="JO16" s="1"/>
      <c r="JP16" s="1"/>
      <c r="JQ16" s="1"/>
      <c r="JR16" s="1"/>
      <c r="JS16" s="1"/>
      <c r="JT16" s="1"/>
      <c r="JU16" s="1"/>
      <c r="JV16" s="1"/>
      <c r="JW16" s="1"/>
      <c r="JX16" s="1"/>
      <c r="JY16" s="1"/>
      <c r="JZ16" s="1"/>
      <c r="KA16" s="1"/>
      <c r="KB16" s="1"/>
      <c r="KC16" s="1"/>
      <c r="KD16" s="1"/>
      <c r="KE16" s="1"/>
      <c r="KF16" s="1"/>
      <c r="KG16" s="1"/>
      <c r="KH16" s="1"/>
      <c r="KI16" s="1"/>
      <c r="KJ16" s="1"/>
      <c r="KK16" s="1"/>
      <c r="KL16" s="1"/>
      <c r="KM16" s="1"/>
      <c r="KN16" s="1"/>
      <c r="KO16" s="1"/>
      <c r="KP16" s="1"/>
      <c r="KQ16" s="1"/>
      <c r="KR16" s="1"/>
      <c r="KS16" s="1"/>
      <c r="KT16" s="1"/>
      <c r="KU16" s="1"/>
      <c r="KV16" s="1"/>
      <c r="KW16" s="1"/>
      <c r="KX16" s="1"/>
      <c r="KY16" s="1"/>
      <c r="KZ16" s="1"/>
      <c r="LA16" s="1"/>
      <c r="LB16" s="1"/>
      <c r="LC16" s="1"/>
      <c r="LD16" s="1"/>
      <c r="LE16" s="1"/>
      <c r="LF16" s="1"/>
      <c r="LG16" s="1"/>
      <c r="LH16" s="1"/>
      <c r="LI16" s="1"/>
      <c r="LJ16" s="1"/>
      <c r="LK16" s="1"/>
      <c r="LL16" s="1"/>
      <c r="LM16" s="1"/>
      <c r="LN16" s="1"/>
      <c r="LO16" s="1"/>
      <c r="LP16" s="1"/>
      <c r="LQ16" s="1"/>
      <c r="LR16" s="1"/>
      <c r="LS16" s="1"/>
    </row>
    <row r="17" spans="1:331" s="35" customFormat="1" x14ac:dyDescent="0.25">
      <c r="A17" s="35" t="s">
        <v>101</v>
      </c>
      <c r="B17" s="35" t="s">
        <v>102</v>
      </c>
      <c r="C17" s="96" t="s">
        <v>1646</v>
      </c>
      <c r="D17" s="35">
        <v>2</v>
      </c>
      <c r="E17" s="35" t="s">
        <v>103</v>
      </c>
      <c r="F17" s="35" t="s">
        <v>103</v>
      </c>
      <c r="H17" s="35" t="s">
        <v>104</v>
      </c>
      <c r="I17" s="35" t="s">
        <v>103</v>
      </c>
      <c r="J17" s="35" t="s">
        <v>104</v>
      </c>
      <c r="K17" s="35" t="s">
        <v>104</v>
      </c>
      <c r="L17" s="35">
        <v>0</v>
      </c>
      <c r="O17" s="35">
        <v>1</v>
      </c>
      <c r="P17" s="35" t="s">
        <v>105</v>
      </c>
      <c r="Q17" s="96" t="s">
        <v>1488</v>
      </c>
      <c r="R17" s="96"/>
      <c r="S17" s="35">
        <v>11</v>
      </c>
      <c r="U17" s="35">
        <v>14</v>
      </c>
      <c r="W17" s="96">
        <v>11</v>
      </c>
      <c r="X17" s="96"/>
      <c r="Y17" s="96"/>
      <c r="Z17" s="35">
        <v>7</v>
      </c>
      <c r="AA17" s="94" t="b">
        <v>1</v>
      </c>
      <c r="AB17" s="1" t="s">
        <v>1899</v>
      </c>
      <c r="AC17" s="57" t="s">
        <v>1446</v>
      </c>
      <c r="AD17" s="1"/>
      <c r="AE17" s="57"/>
      <c r="AF17" s="1"/>
      <c r="AG17" s="1"/>
      <c r="AH17" s="1"/>
      <c r="AI17" s="1"/>
      <c r="AJ17" s="1"/>
      <c r="AK17" s="1"/>
      <c r="AL17" s="1"/>
      <c r="AM17" s="1"/>
      <c r="AN17" s="1"/>
      <c r="AO17" s="1"/>
      <c r="AP17" s="1"/>
      <c r="AQ17" s="1"/>
      <c r="AR17" s="1"/>
      <c r="AS17" s="1"/>
      <c r="AT17" s="1"/>
      <c r="AU17" s="1"/>
      <c r="AV17" s="1"/>
      <c r="AW17" s="1"/>
      <c r="AX17" s="1"/>
      <c r="AY17" s="1"/>
      <c r="AZ17" s="1"/>
      <c r="BA17" s="1"/>
      <c r="BB17" s="1"/>
      <c r="BC17" s="1"/>
      <c r="BD17" s="1"/>
      <c r="BE17" s="1"/>
      <c r="BF17" s="1"/>
      <c r="BG17" s="1"/>
      <c r="BH17" s="1"/>
      <c r="BI17" s="1"/>
      <c r="BJ17" s="1"/>
      <c r="BK17" s="1"/>
      <c r="BL17" s="1"/>
      <c r="BM17" s="1"/>
      <c r="BN17" s="1"/>
      <c r="BO17" s="1"/>
      <c r="BP17" s="1"/>
      <c r="BQ17" s="1"/>
      <c r="BR17" s="1"/>
      <c r="BS17" s="1"/>
      <c r="BT17" s="1"/>
      <c r="BU17" s="1"/>
      <c r="BV17" s="1"/>
      <c r="BW17" s="1"/>
      <c r="BX17" s="1"/>
      <c r="BY17" s="1"/>
      <c r="BZ17" s="1"/>
      <c r="CA17" s="1"/>
      <c r="CB17" s="1"/>
      <c r="CC17" s="1"/>
      <c r="CD17" s="1"/>
      <c r="CE17" s="1"/>
      <c r="CF17" s="1"/>
      <c r="CG17" s="1"/>
      <c r="CH17" s="1"/>
      <c r="CI17" s="1"/>
      <c r="CJ17" s="1"/>
      <c r="CK17" s="1"/>
      <c r="CL17" s="1"/>
      <c r="CM17" s="1"/>
      <c r="CN17" s="1"/>
      <c r="CO17" s="1"/>
      <c r="CP17" s="1"/>
      <c r="CQ17" s="1"/>
      <c r="CR17" s="1"/>
      <c r="CS17" s="1"/>
      <c r="CT17" s="1"/>
      <c r="CU17" s="1"/>
      <c r="CV17" s="1"/>
      <c r="CW17" s="1"/>
      <c r="CX17" s="1"/>
      <c r="CY17" s="1"/>
      <c r="CZ17" s="1"/>
      <c r="DA17" s="1"/>
      <c r="DB17" s="1"/>
      <c r="DC17" s="1"/>
      <c r="DD17" s="1"/>
      <c r="DE17" s="1"/>
      <c r="DF17" s="1"/>
      <c r="DG17" s="1"/>
      <c r="DH17" s="1"/>
      <c r="DI17" s="1"/>
      <c r="DJ17" s="1"/>
      <c r="DK17" s="1"/>
      <c r="DL17" s="1"/>
      <c r="DM17" s="1"/>
      <c r="DN17" s="1"/>
      <c r="DO17" s="1"/>
      <c r="DP17" s="1"/>
      <c r="DQ17" s="1"/>
      <c r="DR17" s="1"/>
      <c r="DS17" s="1"/>
      <c r="DT17" s="1"/>
      <c r="DU17" s="1"/>
      <c r="DV17" s="1"/>
      <c r="DW17" s="1"/>
      <c r="DX17" s="1"/>
      <c r="DY17" s="1"/>
      <c r="DZ17" s="1"/>
      <c r="EA17" s="1"/>
      <c r="EB17" s="1"/>
      <c r="EC17" s="1"/>
      <c r="ED17" s="1"/>
      <c r="EE17" s="1"/>
      <c r="EF17" s="1"/>
      <c r="EG17" s="1"/>
      <c r="EH17" s="1"/>
      <c r="EI17" s="1"/>
      <c r="EJ17" s="1"/>
      <c r="EK17" s="1"/>
      <c r="EL17" s="1"/>
      <c r="EM17" s="1"/>
      <c r="EN17" s="1"/>
      <c r="EO17" s="1"/>
      <c r="EP17" s="1"/>
      <c r="EQ17" s="1"/>
      <c r="ER17" s="1"/>
      <c r="ES17" s="1"/>
      <c r="ET17" s="1"/>
      <c r="EU17" s="1"/>
      <c r="EV17" s="1"/>
      <c r="EW17" s="1"/>
      <c r="EX17" s="1"/>
      <c r="EY17" s="1"/>
      <c r="EZ17" s="1"/>
      <c r="FA17" s="1"/>
      <c r="FB17" s="1"/>
      <c r="FC17" s="1"/>
      <c r="FD17" s="1"/>
      <c r="FE17" s="1"/>
      <c r="FF17" s="1"/>
      <c r="FG17" s="1"/>
      <c r="FH17" s="1"/>
      <c r="FI17" s="1"/>
      <c r="FJ17" s="1"/>
      <c r="FK17" s="1"/>
      <c r="FL17" s="1"/>
      <c r="FM17" s="1"/>
      <c r="FN17" s="1"/>
      <c r="FO17" s="1"/>
      <c r="FP17" s="1"/>
      <c r="FQ17" s="1"/>
      <c r="FR17" s="1"/>
      <c r="FS17" s="1"/>
      <c r="FT17" s="1"/>
      <c r="FU17" s="1"/>
      <c r="FV17" s="1"/>
      <c r="FW17" s="1"/>
      <c r="FX17" s="1"/>
      <c r="FY17" s="1"/>
      <c r="FZ17" s="1"/>
      <c r="GA17" s="1"/>
      <c r="GB17" s="1"/>
      <c r="GC17" s="1"/>
      <c r="GD17" s="1"/>
      <c r="GE17" s="1"/>
      <c r="GF17" s="1"/>
      <c r="GG17" s="1"/>
      <c r="GH17" s="1"/>
      <c r="GI17" s="1"/>
      <c r="GJ17" s="1"/>
      <c r="GK17" s="1"/>
      <c r="GL17" s="1"/>
      <c r="GM17" s="1"/>
      <c r="GN17" s="1"/>
      <c r="GO17" s="1"/>
      <c r="GP17" s="1"/>
      <c r="GQ17" s="1"/>
      <c r="GR17" s="1"/>
      <c r="GS17" s="1"/>
      <c r="GT17" s="1"/>
      <c r="GU17" s="1"/>
      <c r="GV17" s="1"/>
      <c r="GW17" s="1"/>
      <c r="GX17" s="1"/>
      <c r="GY17" s="1"/>
      <c r="GZ17" s="1"/>
      <c r="HA17" s="1"/>
      <c r="HB17" s="1"/>
      <c r="HC17" s="1"/>
      <c r="HD17" s="1"/>
      <c r="HE17" s="1"/>
      <c r="HF17" s="1"/>
      <c r="HG17" s="1"/>
      <c r="HH17" s="1"/>
      <c r="HI17" s="1"/>
      <c r="HJ17" s="1"/>
      <c r="HK17" s="1"/>
      <c r="HL17" s="1"/>
      <c r="HM17" s="1"/>
      <c r="HN17" s="1"/>
      <c r="HO17" s="1"/>
      <c r="HP17" s="1"/>
      <c r="HQ17" s="1"/>
      <c r="HR17" s="1"/>
      <c r="HS17" s="1"/>
      <c r="HT17" s="1"/>
      <c r="HU17" s="1"/>
      <c r="HV17" s="1"/>
      <c r="HW17" s="1"/>
      <c r="HX17" s="1"/>
      <c r="HY17" s="1"/>
      <c r="HZ17" s="1"/>
      <c r="IA17" s="1"/>
      <c r="IB17" s="1"/>
      <c r="IC17" s="1"/>
      <c r="ID17" s="1"/>
      <c r="IE17" s="1"/>
      <c r="IF17" s="1"/>
      <c r="IG17" s="1"/>
      <c r="IH17" s="1"/>
      <c r="II17" s="1"/>
      <c r="IJ17" s="1"/>
      <c r="IK17" s="1"/>
      <c r="IL17" s="1"/>
      <c r="IM17" s="1"/>
      <c r="IN17" s="1"/>
      <c r="IO17" s="1"/>
      <c r="IP17" s="1"/>
      <c r="IQ17" s="1"/>
      <c r="IR17" s="1"/>
      <c r="IS17" s="1"/>
      <c r="IT17" s="1"/>
      <c r="IU17" s="1"/>
      <c r="IV17" s="1"/>
      <c r="IW17" s="1"/>
      <c r="IX17" s="1"/>
      <c r="IY17" s="1"/>
      <c r="IZ17" s="1"/>
      <c r="JA17" s="1"/>
      <c r="JB17" s="1"/>
      <c r="JC17" s="1"/>
      <c r="JD17" s="1"/>
      <c r="JE17" s="1"/>
      <c r="JF17" s="1"/>
      <c r="JG17" s="1"/>
      <c r="JH17" s="1"/>
      <c r="JI17" s="1"/>
      <c r="JJ17" s="1"/>
      <c r="JK17" s="1"/>
      <c r="JL17" s="1"/>
      <c r="JM17" s="1"/>
      <c r="JN17" s="1"/>
      <c r="JO17" s="1"/>
      <c r="JP17" s="1"/>
      <c r="JQ17" s="1"/>
      <c r="JR17" s="1"/>
      <c r="JS17" s="1"/>
      <c r="JT17" s="1"/>
      <c r="JU17" s="1"/>
      <c r="JV17" s="1"/>
      <c r="JW17" s="1"/>
      <c r="JX17" s="1"/>
      <c r="JY17" s="1"/>
      <c r="JZ17" s="1"/>
      <c r="KA17" s="1"/>
      <c r="KB17" s="1"/>
      <c r="KC17" s="1"/>
      <c r="KD17" s="1"/>
      <c r="KE17" s="1"/>
      <c r="KF17" s="1"/>
      <c r="KG17" s="1"/>
      <c r="KH17" s="1"/>
      <c r="KI17" s="1"/>
      <c r="KJ17" s="1"/>
      <c r="KK17" s="1"/>
      <c r="KL17" s="1"/>
      <c r="KM17" s="1"/>
      <c r="KN17" s="1"/>
      <c r="KO17" s="1"/>
      <c r="KP17" s="1"/>
      <c r="KQ17" s="1"/>
      <c r="KR17" s="1"/>
      <c r="KS17" s="1"/>
      <c r="KT17" s="1"/>
      <c r="KU17" s="1"/>
      <c r="KV17" s="1"/>
      <c r="KW17" s="1"/>
      <c r="KX17" s="1"/>
      <c r="KY17" s="1"/>
      <c r="KZ17" s="1"/>
      <c r="LA17" s="1"/>
      <c r="LB17" s="1"/>
      <c r="LC17" s="1"/>
      <c r="LD17" s="1"/>
      <c r="LE17" s="1"/>
      <c r="LF17" s="1"/>
      <c r="LG17" s="1"/>
      <c r="LH17" s="1"/>
      <c r="LI17" s="1"/>
      <c r="LJ17" s="1"/>
      <c r="LK17" s="1"/>
      <c r="LL17" s="1"/>
      <c r="LM17" s="1"/>
      <c r="LN17" s="1"/>
      <c r="LO17" s="1"/>
      <c r="LP17" s="1"/>
      <c r="LQ17" s="1"/>
      <c r="LR17" s="1"/>
      <c r="LS17" s="1"/>
    </row>
    <row r="18" spans="1:331" s="30" customFormat="1" x14ac:dyDescent="0.25">
      <c r="A18" s="30" t="s">
        <v>106</v>
      </c>
      <c r="B18" s="30" t="s">
        <v>107</v>
      </c>
      <c r="C18" s="96" t="s">
        <v>1646</v>
      </c>
      <c r="D18" s="30">
        <v>0</v>
      </c>
      <c r="H18" s="30" t="s">
        <v>108</v>
      </c>
      <c r="I18" s="30" t="s">
        <v>109</v>
      </c>
      <c r="J18" s="30" t="s">
        <v>110</v>
      </c>
      <c r="K18" s="30" t="s">
        <v>109</v>
      </c>
      <c r="L18" s="30">
        <v>1</v>
      </c>
      <c r="M18" s="30" t="s">
        <v>111</v>
      </c>
      <c r="O18" s="30">
        <v>1</v>
      </c>
      <c r="Q18" s="96" t="s">
        <v>1489</v>
      </c>
      <c r="R18" s="96"/>
      <c r="T18" s="30">
        <v>14</v>
      </c>
      <c r="V18" s="30">
        <v>15</v>
      </c>
      <c r="W18" s="96">
        <v>14</v>
      </c>
      <c r="X18" s="96"/>
      <c r="Y18" s="96"/>
      <c r="Z18" s="30">
        <v>6</v>
      </c>
      <c r="AA18" s="94" t="b">
        <v>1</v>
      </c>
      <c r="AB18" s="1"/>
      <c r="AC18" s="57" t="s">
        <v>1269</v>
      </c>
      <c r="AD18" s="1"/>
      <c r="AE18" s="57"/>
      <c r="AF18" s="1"/>
      <c r="AG18" s="1"/>
      <c r="AH18" s="1"/>
      <c r="AI18" s="1"/>
      <c r="AJ18" s="1"/>
      <c r="AK18" s="1"/>
      <c r="AL18" s="1"/>
      <c r="AM18" s="1"/>
      <c r="AN18" s="1"/>
      <c r="AO18" s="1"/>
      <c r="AP18" s="1"/>
      <c r="AQ18" s="1"/>
    </row>
    <row r="19" spans="1:331" s="2" customFormat="1" x14ac:dyDescent="0.25">
      <c r="A19" s="2" t="s">
        <v>112</v>
      </c>
      <c r="B19" s="6">
        <v>2529312</v>
      </c>
      <c r="C19" s="94" t="s">
        <v>1646</v>
      </c>
      <c r="D19" s="2">
        <v>0</v>
      </c>
      <c r="H19" s="2" t="s">
        <v>113</v>
      </c>
      <c r="I19" s="2" t="s">
        <v>114</v>
      </c>
      <c r="J19" s="2" t="s">
        <v>115</v>
      </c>
      <c r="K19" s="2" t="s">
        <v>114</v>
      </c>
      <c r="L19" s="2">
        <v>2</v>
      </c>
      <c r="M19" s="2" t="s">
        <v>115</v>
      </c>
      <c r="N19" s="2" t="s">
        <v>115</v>
      </c>
      <c r="O19" s="2">
        <v>1</v>
      </c>
      <c r="Q19" s="96" t="s">
        <v>1490</v>
      </c>
      <c r="R19" s="96"/>
      <c r="T19" s="2">
        <v>5</v>
      </c>
      <c r="V19" s="2">
        <v>11</v>
      </c>
      <c r="W19" s="96">
        <v>5</v>
      </c>
      <c r="X19" s="96"/>
      <c r="Y19" s="96"/>
      <c r="Z19" s="2">
        <v>2</v>
      </c>
      <c r="AA19" s="94" t="b">
        <v>1</v>
      </c>
      <c r="AB19" s="1" t="s">
        <v>1890</v>
      </c>
      <c r="AC19" s="57" t="s">
        <v>1271</v>
      </c>
      <c r="AD19" s="1"/>
      <c r="AE19" s="57"/>
      <c r="AF19" s="1"/>
      <c r="AG19" s="1"/>
      <c r="AH19" s="1"/>
      <c r="AI19" s="1"/>
      <c r="AJ19" s="1"/>
      <c r="AK19" s="1"/>
      <c r="AL19" s="1"/>
      <c r="AM19" s="1"/>
      <c r="AN19" s="1"/>
      <c r="AO19" s="1"/>
      <c r="AP19" s="1"/>
      <c r="AQ19" s="1"/>
      <c r="AR19" s="1"/>
      <c r="AS19" s="1"/>
      <c r="AT19" s="1"/>
      <c r="AU19" s="1"/>
      <c r="AV19" s="1"/>
      <c r="AW19" s="1"/>
      <c r="AX19" s="1"/>
      <c r="AY19" s="1"/>
      <c r="AZ19" s="1"/>
      <c r="BA19" s="1"/>
      <c r="BB19" s="1"/>
      <c r="BC19" s="1"/>
      <c r="BD19" s="1"/>
      <c r="BE19" s="1"/>
      <c r="BF19" s="1"/>
      <c r="BG19" s="1"/>
      <c r="BH19" s="1"/>
      <c r="BI19" s="1"/>
      <c r="BJ19" s="1"/>
      <c r="BK19" s="1"/>
      <c r="BL19" s="1"/>
      <c r="BM19" s="1"/>
      <c r="BN19" s="1"/>
      <c r="BO19" s="1"/>
      <c r="BP19" s="1"/>
      <c r="BQ19" s="1"/>
      <c r="BR19" s="1"/>
      <c r="BS19" s="1"/>
      <c r="BT19" s="1"/>
      <c r="BU19" s="1"/>
      <c r="BV19" s="1"/>
      <c r="BW19" s="1"/>
      <c r="BX19" s="1"/>
      <c r="BY19" s="1"/>
      <c r="BZ19" s="1"/>
      <c r="CA19" s="1"/>
      <c r="CB19" s="1"/>
      <c r="CC19" s="1"/>
      <c r="CD19" s="1"/>
      <c r="CE19" s="1"/>
      <c r="CF19" s="1"/>
      <c r="CG19" s="1"/>
      <c r="CH19" s="1"/>
      <c r="CI19" s="1"/>
      <c r="CJ19" s="1"/>
      <c r="CK19" s="1"/>
      <c r="CL19" s="1"/>
      <c r="CM19" s="1"/>
      <c r="CN19" s="1"/>
      <c r="CO19" s="1"/>
      <c r="CP19" s="1"/>
      <c r="CQ19" s="1"/>
      <c r="CR19" s="1"/>
      <c r="CS19" s="1"/>
      <c r="CT19" s="1"/>
      <c r="CU19" s="1"/>
      <c r="CV19" s="1"/>
      <c r="CW19" s="1"/>
      <c r="CX19" s="1"/>
      <c r="CY19" s="1"/>
      <c r="CZ19" s="1"/>
      <c r="DA19" s="1"/>
      <c r="DB19" s="1"/>
      <c r="DC19" s="1"/>
      <c r="DD19" s="1"/>
      <c r="DE19" s="1"/>
      <c r="DF19" s="1"/>
      <c r="DG19" s="1"/>
      <c r="DH19" s="1"/>
      <c r="DI19" s="1"/>
      <c r="DJ19" s="1"/>
      <c r="DK19" s="1"/>
      <c r="DL19" s="1"/>
      <c r="DM19" s="1"/>
      <c r="DN19" s="1"/>
      <c r="DO19" s="1"/>
      <c r="DP19" s="1"/>
      <c r="DQ19" s="1"/>
      <c r="DR19" s="1"/>
      <c r="DS19" s="1"/>
      <c r="DT19" s="1"/>
      <c r="DU19" s="1"/>
      <c r="DV19" s="1"/>
      <c r="DW19" s="1"/>
      <c r="DX19" s="1"/>
      <c r="DY19" s="1"/>
      <c r="DZ19" s="1"/>
      <c r="EA19" s="1"/>
      <c r="EB19" s="1"/>
      <c r="EC19" s="1"/>
      <c r="ED19" s="1"/>
      <c r="EE19" s="1"/>
      <c r="EF19" s="1"/>
      <c r="EG19" s="1"/>
      <c r="EH19" s="1"/>
      <c r="EI19" s="1"/>
      <c r="EJ19" s="1"/>
      <c r="EK19" s="1"/>
      <c r="EL19" s="1"/>
      <c r="EM19" s="1"/>
      <c r="EN19" s="1"/>
      <c r="EO19" s="1"/>
      <c r="EP19" s="1"/>
      <c r="EQ19" s="1"/>
      <c r="ER19" s="1"/>
      <c r="ES19" s="1"/>
      <c r="ET19" s="1"/>
      <c r="EU19" s="1"/>
      <c r="EV19" s="1"/>
      <c r="EW19" s="1"/>
      <c r="EX19" s="1"/>
      <c r="EY19" s="1"/>
      <c r="EZ19" s="1"/>
      <c r="FA19" s="1"/>
      <c r="FB19" s="1"/>
      <c r="FC19" s="1"/>
      <c r="FD19" s="1"/>
      <c r="FE19" s="1"/>
      <c r="FF19" s="1"/>
      <c r="FG19" s="1"/>
      <c r="FH19" s="1"/>
      <c r="FI19" s="1"/>
      <c r="FJ19" s="1"/>
      <c r="FK19" s="1"/>
      <c r="FL19" s="1"/>
      <c r="FM19" s="1"/>
      <c r="FN19" s="1"/>
      <c r="FO19" s="1"/>
      <c r="FP19" s="1"/>
      <c r="FQ19" s="1"/>
      <c r="FR19" s="1"/>
      <c r="FS19" s="1"/>
      <c r="FT19" s="1"/>
      <c r="FU19" s="1"/>
      <c r="FV19" s="1"/>
      <c r="FW19" s="1"/>
      <c r="FX19" s="1"/>
      <c r="FY19" s="1"/>
      <c r="FZ19" s="1"/>
      <c r="GA19" s="1"/>
      <c r="GB19" s="1"/>
      <c r="GC19" s="1"/>
      <c r="GD19" s="1"/>
      <c r="GE19" s="1"/>
      <c r="GF19" s="1"/>
      <c r="GG19" s="1"/>
      <c r="GH19" s="1"/>
      <c r="GI19" s="1"/>
      <c r="GJ19" s="1"/>
      <c r="GK19" s="1"/>
      <c r="GL19" s="1"/>
      <c r="GM19" s="1"/>
      <c r="GN19" s="1"/>
      <c r="GO19" s="1"/>
      <c r="GP19" s="1"/>
      <c r="GQ19" s="1"/>
      <c r="GR19" s="1"/>
      <c r="GS19" s="1"/>
      <c r="GT19" s="1"/>
      <c r="GU19" s="1"/>
      <c r="GV19" s="1"/>
      <c r="GW19" s="1"/>
      <c r="GX19" s="1"/>
      <c r="GY19" s="1"/>
      <c r="GZ19" s="1"/>
      <c r="HA19" s="1"/>
      <c r="HB19" s="1"/>
      <c r="HC19" s="1"/>
      <c r="HD19" s="1"/>
      <c r="HE19" s="1"/>
      <c r="HF19" s="1"/>
      <c r="HG19" s="1"/>
      <c r="HH19" s="1"/>
      <c r="HI19" s="1"/>
      <c r="HJ19" s="1"/>
      <c r="HK19" s="1"/>
      <c r="HL19" s="1"/>
      <c r="HM19" s="1"/>
      <c r="HN19" s="1"/>
      <c r="HO19" s="1"/>
      <c r="HP19" s="1"/>
      <c r="HQ19" s="1"/>
      <c r="HR19" s="1"/>
      <c r="HS19" s="1"/>
      <c r="HT19" s="1"/>
      <c r="HU19" s="1"/>
      <c r="HV19" s="1"/>
      <c r="HW19" s="1"/>
      <c r="HX19" s="1"/>
      <c r="HY19" s="1"/>
      <c r="HZ19" s="1"/>
      <c r="IA19" s="1"/>
      <c r="IB19" s="1"/>
      <c r="IC19" s="1"/>
      <c r="ID19" s="1"/>
      <c r="IE19" s="1"/>
      <c r="IF19" s="1"/>
      <c r="IG19" s="1"/>
      <c r="IH19" s="1"/>
      <c r="II19" s="1"/>
      <c r="IJ19" s="1"/>
      <c r="IK19" s="1"/>
      <c r="IL19" s="1"/>
      <c r="IM19" s="1"/>
      <c r="IN19" s="1"/>
      <c r="IO19" s="1"/>
      <c r="IP19" s="1"/>
      <c r="IQ19" s="1"/>
      <c r="IR19" s="1"/>
      <c r="IS19" s="1"/>
      <c r="IT19" s="1"/>
      <c r="IU19" s="1"/>
      <c r="IV19" s="1"/>
      <c r="IW19" s="1"/>
      <c r="IX19" s="1"/>
      <c r="IY19" s="1"/>
      <c r="IZ19" s="1"/>
      <c r="JA19" s="1"/>
      <c r="JB19" s="1"/>
      <c r="JC19" s="1"/>
      <c r="JD19" s="1"/>
      <c r="JE19" s="1"/>
      <c r="JF19" s="1"/>
      <c r="JG19" s="1"/>
      <c r="JH19" s="1"/>
      <c r="JI19" s="1"/>
      <c r="JJ19" s="1"/>
      <c r="JK19" s="1"/>
      <c r="JL19" s="1"/>
      <c r="JM19" s="1"/>
      <c r="JN19" s="1"/>
      <c r="JO19" s="1"/>
      <c r="JP19" s="1"/>
      <c r="JQ19" s="1"/>
      <c r="JR19" s="1"/>
      <c r="JS19" s="1"/>
      <c r="JT19" s="1"/>
      <c r="JU19" s="1"/>
      <c r="JV19" s="1"/>
      <c r="JW19" s="1"/>
      <c r="JX19" s="1"/>
      <c r="JY19" s="1"/>
      <c r="JZ19" s="1"/>
      <c r="KA19" s="1"/>
      <c r="KB19" s="1"/>
      <c r="KC19" s="1"/>
      <c r="KD19" s="1"/>
      <c r="KE19" s="1"/>
      <c r="KF19" s="1"/>
      <c r="KG19" s="1"/>
      <c r="KH19" s="1"/>
      <c r="KI19" s="1"/>
      <c r="KJ19" s="1"/>
      <c r="KK19" s="1"/>
      <c r="KL19" s="1"/>
      <c r="KM19" s="1"/>
      <c r="KN19" s="1"/>
      <c r="KO19" s="1"/>
      <c r="KP19" s="1"/>
      <c r="KQ19" s="1"/>
      <c r="KR19" s="1"/>
      <c r="KS19" s="1"/>
      <c r="KT19" s="1"/>
      <c r="KU19" s="1"/>
      <c r="KV19" s="1"/>
      <c r="KW19" s="1"/>
      <c r="KX19" s="1"/>
      <c r="KY19" s="1"/>
      <c r="KZ19" s="1"/>
      <c r="LA19" s="1"/>
      <c r="LB19" s="1"/>
      <c r="LC19" s="1"/>
      <c r="LD19" s="1"/>
      <c r="LE19" s="1"/>
      <c r="LF19" s="1"/>
      <c r="LG19" s="1"/>
      <c r="LH19" s="1"/>
      <c r="LI19" s="1"/>
      <c r="LJ19" s="1"/>
      <c r="LK19" s="1"/>
      <c r="LL19" s="1"/>
      <c r="LM19" s="1"/>
      <c r="LN19" s="1"/>
      <c r="LO19" s="1"/>
      <c r="LP19" s="1"/>
      <c r="LQ19" s="1"/>
      <c r="LR19" s="1"/>
      <c r="LS19" s="1"/>
    </row>
    <row r="20" spans="1:331" s="35" customFormat="1" x14ac:dyDescent="0.25">
      <c r="A20" s="35" t="s">
        <v>116</v>
      </c>
      <c r="B20" s="35" t="s">
        <v>117</v>
      </c>
      <c r="C20" s="96" t="s">
        <v>1646</v>
      </c>
      <c r="D20" s="35">
        <v>2</v>
      </c>
      <c r="E20" s="35" t="s">
        <v>118</v>
      </c>
      <c r="F20" s="35" t="s">
        <v>118</v>
      </c>
      <c r="H20" s="35" t="s">
        <v>118</v>
      </c>
      <c r="I20" s="35" t="s">
        <v>118</v>
      </c>
      <c r="J20" s="35" t="s">
        <v>119</v>
      </c>
      <c r="K20" s="35" t="s">
        <v>118</v>
      </c>
      <c r="L20" s="35">
        <v>0</v>
      </c>
      <c r="O20" s="35">
        <v>1</v>
      </c>
      <c r="P20" s="35" t="s">
        <v>119</v>
      </c>
      <c r="Q20" s="96" t="s">
        <v>1491</v>
      </c>
      <c r="R20" s="96"/>
      <c r="T20" s="35">
        <v>13</v>
      </c>
      <c r="V20" s="35">
        <v>14</v>
      </c>
      <c r="W20" s="96">
        <v>13</v>
      </c>
      <c r="X20" s="96"/>
      <c r="Y20" s="96"/>
      <c r="Z20" s="35">
        <v>7</v>
      </c>
      <c r="AA20" s="94" t="b">
        <v>1</v>
      </c>
      <c r="AB20" s="1"/>
      <c r="AC20" s="57" t="s">
        <v>1270</v>
      </c>
      <c r="AD20" s="1"/>
      <c r="AE20" s="57"/>
      <c r="AF20" s="1"/>
      <c r="AG20" s="1"/>
      <c r="AH20" s="1"/>
      <c r="AI20" s="1"/>
      <c r="AJ20" s="1"/>
      <c r="AK20" s="1"/>
      <c r="AL20" s="1"/>
      <c r="AM20" s="1"/>
      <c r="AN20" s="1"/>
      <c r="AO20" s="1"/>
      <c r="AP20" s="1"/>
      <c r="AQ20" s="1"/>
      <c r="AR20" s="1"/>
      <c r="AS20" s="1"/>
      <c r="AT20" s="1"/>
      <c r="AU20" s="1"/>
      <c r="AV20" s="1"/>
      <c r="AW20" s="1"/>
      <c r="AX20" s="1"/>
      <c r="AY20" s="1"/>
      <c r="AZ20" s="1"/>
      <c r="BA20" s="1"/>
      <c r="BB20" s="1"/>
      <c r="BC20" s="1"/>
      <c r="BD20" s="1"/>
      <c r="BE20" s="1"/>
      <c r="BF20" s="1"/>
      <c r="BG20" s="1"/>
      <c r="BH20" s="1"/>
      <c r="BI20" s="1"/>
      <c r="BJ20" s="1"/>
      <c r="BK20" s="1"/>
      <c r="BL20" s="1"/>
      <c r="BM20" s="1"/>
      <c r="BN20" s="1"/>
      <c r="BO20" s="1"/>
      <c r="BP20" s="1"/>
      <c r="BQ20" s="1"/>
      <c r="BR20" s="1"/>
      <c r="BS20" s="1"/>
      <c r="BT20" s="1"/>
      <c r="BU20" s="1"/>
      <c r="BV20" s="1"/>
      <c r="BW20" s="1"/>
      <c r="BX20" s="1"/>
      <c r="BY20" s="1"/>
      <c r="BZ20" s="1"/>
      <c r="CA20" s="1"/>
      <c r="CB20" s="1"/>
      <c r="CC20" s="1"/>
      <c r="CD20" s="1"/>
      <c r="CE20" s="1"/>
      <c r="CF20" s="1"/>
      <c r="CG20" s="1"/>
      <c r="CH20" s="1"/>
      <c r="CI20" s="1"/>
      <c r="CJ20" s="1"/>
      <c r="CK20" s="1"/>
      <c r="CL20" s="1"/>
      <c r="CM20" s="1"/>
      <c r="CN20" s="1"/>
      <c r="CO20" s="1"/>
      <c r="CP20" s="1"/>
      <c r="CQ20" s="1"/>
      <c r="CR20" s="1"/>
      <c r="CS20" s="1"/>
      <c r="CT20" s="1"/>
      <c r="CU20" s="1"/>
      <c r="CV20" s="1"/>
      <c r="CW20" s="1"/>
      <c r="CX20" s="1"/>
      <c r="CY20" s="1"/>
      <c r="CZ20" s="1"/>
      <c r="DA20" s="1"/>
      <c r="DB20" s="1"/>
      <c r="DC20" s="1"/>
      <c r="DD20" s="1"/>
      <c r="DE20" s="1"/>
      <c r="DF20" s="1"/>
      <c r="DG20" s="1"/>
      <c r="DH20" s="1"/>
      <c r="DI20" s="1"/>
      <c r="DJ20" s="1"/>
      <c r="DK20" s="1"/>
      <c r="DL20" s="1"/>
      <c r="DM20" s="1"/>
      <c r="DN20" s="1"/>
      <c r="DO20" s="1"/>
      <c r="DP20" s="1"/>
      <c r="DQ20" s="1"/>
      <c r="DR20" s="1"/>
      <c r="DS20" s="1"/>
      <c r="DT20" s="1"/>
      <c r="DU20" s="1"/>
      <c r="DV20" s="1"/>
      <c r="DW20" s="1"/>
      <c r="DX20" s="1"/>
      <c r="DY20" s="1"/>
      <c r="DZ20" s="1"/>
      <c r="EA20" s="1"/>
      <c r="EB20" s="1"/>
      <c r="EC20" s="1"/>
      <c r="ED20" s="1"/>
      <c r="EE20" s="1"/>
      <c r="EF20" s="1"/>
      <c r="EG20" s="1"/>
      <c r="EH20" s="1"/>
      <c r="EI20" s="1"/>
      <c r="EJ20" s="1"/>
      <c r="EK20" s="1"/>
      <c r="EL20" s="1"/>
      <c r="EM20" s="1"/>
      <c r="EN20" s="1"/>
      <c r="EO20" s="1"/>
      <c r="EP20" s="1"/>
      <c r="EQ20" s="1"/>
      <c r="ER20" s="1"/>
      <c r="ES20" s="1"/>
      <c r="ET20" s="1"/>
      <c r="EU20" s="1"/>
      <c r="EV20" s="1"/>
      <c r="EW20" s="1"/>
      <c r="EX20" s="1"/>
      <c r="EY20" s="1"/>
      <c r="EZ20" s="1"/>
      <c r="FA20" s="1"/>
      <c r="FB20" s="1"/>
      <c r="FC20" s="1"/>
      <c r="FD20" s="1"/>
      <c r="FE20" s="1"/>
      <c r="FF20" s="1"/>
      <c r="FG20" s="1"/>
      <c r="FH20" s="1"/>
      <c r="FI20" s="1"/>
      <c r="FJ20" s="1"/>
      <c r="FK20" s="1"/>
      <c r="FL20" s="1"/>
      <c r="FM20" s="1"/>
      <c r="FN20" s="1"/>
      <c r="FO20" s="1"/>
      <c r="FP20" s="1"/>
      <c r="FQ20" s="1"/>
      <c r="FR20" s="1"/>
      <c r="FS20" s="1"/>
      <c r="FT20" s="1"/>
      <c r="FU20" s="1"/>
      <c r="FV20" s="1"/>
      <c r="FW20" s="1"/>
      <c r="FX20" s="1"/>
      <c r="FY20" s="1"/>
      <c r="FZ20" s="1"/>
      <c r="GA20" s="1"/>
      <c r="GB20" s="1"/>
      <c r="GC20" s="1"/>
      <c r="GD20" s="1"/>
      <c r="GE20" s="1"/>
      <c r="GF20" s="1"/>
      <c r="GG20" s="1"/>
      <c r="GH20" s="1"/>
      <c r="GI20" s="1"/>
      <c r="GJ20" s="1"/>
      <c r="GK20" s="1"/>
      <c r="GL20" s="1"/>
      <c r="GM20" s="1"/>
      <c r="GN20" s="1"/>
      <c r="GO20" s="1"/>
      <c r="GP20" s="1"/>
      <c r="GQ20" s="1"/>
      <c r="GR20" s="1"/>
      <c r="GS20" s="1"/>
      <c r="GT20" s="1"/>
      <c r="GU20" s="1"/>
      <c r="GV20" s="1"/>
      <c r="GW20" s="1"/>
      <c r="GX20" s="1"/>
      <c r="GY20" s="1"/>
      <c r="GZ20" s="1"/>
      <c r="HA20" s="1"/>
      <c r="HB20" s="1"/>
      <c r="HC20" s="1"/>
      <c r="HD20" s="1"/>
      <c r="HE20" s="1"/>
      <c r="HF20" s="1"/>
      <c r="HG20" s="1"/>
      <c r="HH20" s="1"/>
      <c r="HI20" s="1"/>
      <c r="HJ20" s="1"/>
      <c r="HK20" s="1"/>
      <c r="HL20" s="1"/>
      <c r="HM20" s="1"/>
      <c r="HN20" s="1"/>
      <c r="HO20" s="1"/>
      <c r="HP20" s="1"/>
      <c r="HQ20" s="1"/>
      <c r="HR20" s="1"/>
      <c r="HS20" s="1"/>
      <c r="HT20" s="1"/>
      <c r="HU20" s="1"/>
      <c r="HV20" s="1"/>
      <c r="HW20" s="1"/>
      <c r="HX20" s="1"/>
      <c r="HY20" s="1"/>
      <c r="HZ20" s="1"/>
      <c r="IA20" s="1"/>
      <c r="IB20" s="1"/>
      <c r="IC20" s="1"/>
      <c r="ID20" s="1"/>
      <c r="IE20" s="1"/>
      <c r="IF20" s="1"/>
      <c r="IG20" s="1"/>
      <c r="IH20" s="1"/>
      <c r="II20" s="1"/>
      <c r="IJ20" s="1"/>
      <c r="IK20" s="1"/>
      <c r="IL20" s="1"/>
      <c r="IM20" s="1"/>
      <c r="IN20" s="1"/>
      <c r="IO20" s="1"/>
      <c r="IP20" s="1"/>
      <c r="IQ20" s="1"/>
      <c r="IR20" s="1"/>
      <c r="IS20" s="1"/>
      <c r="IT20" s="1"/>
      <c r="IU20" s="1"/>
      <c r="IV20" s="1"/>
      <c r="IW20" s="1"/>
      <c r="IX20" s="1"/>
      <c r="IY20" s="1"/>
      <c r="IZ20" s="1"/>
      <c r="JA20" s="1"/>
      <c r="JB20" s="1"/>
      <c r="JC20" s="1"/>
      <c r="JD20" s="1"/>
      <c r="JE20" s="1"/>
      <c r="JF20" s="1"/>
      <c r="JG20" s="1"/>
      <c r="JH20" s="1"/>
      <c r="JI20" s="1"/>
      <c r="JJ20" s="1"/>
      <c r="JK20" s="1"/>
      <c r="JL20" s="1"/>
      <c r="JM20" s="1"/>
      <c r="JN20" s="1"/>
      <c r="JO20" s="1"/>
      <c r="JP20" s="1"/>
      <c r="JQ20" s="1"/>
      <c r="JR20" s="1"/>
      <c r="JS20" s="1"/>
      <c r="JT20" s="1"/>
      <c r="JU20" s="1"/>
      <c r="JV20" s="1"/>
      <c r="JW20" s="1"/>
      <c r="JX20" s="1"/>
      <c r="JY20" s="1"/>
      <c r="JZ20" s="1"/>
      <c r="KA20" s="1"/>
      <c r="KB20" s="1"/>
      <c r="KC20" s="1"/>
      <c r="KD20" s="1"/>
      <c r="KE20" s="1"/>
      <c r="KF20" s="1"/>
      <c r="KG20" s="1"/>
      <c r="KH20" s="1"/>
      <c r="KI20" s="1"/>
      <c r="KJ20" s="1"/>
      <c r="KK20" s="1"/>
      <c r="KL20" s="1"/>
      <c r="KM20" s="1"/>
      <c r="KN20" s="1"/>
      <c r="KO20" s="1"/>
      <c r="KP20" s="1"/>
      <c r="KQ20" s="1"/>
      <c r="KR20" s="1"/>
      <c r="KS20" s="1"/>
      <c r="KT20" s="1"/>
      <c r="KU20" s="1"/>
      <c r="KV20" s="1"/>
      <c r="KW20" s="1"/>
      <c r="KX20" s="1"/>
      <c r="KY20" s="1"/>
      <c r="KZ20" s="1"/>
      <c r="LA20" s="1"/>
      <c r="LB20" s="1"/>
      <c r="LC20" s="1"/>
      <c r="LD20" s="1"/>
      <c r="LE20" s="1"/>
      <c r="LF20" s="1"/>
      <c r="LG20" s="1"/>
      <c r="LH20" s="1"/>
      <c r="LI20" s="1"/>
      <c r="LJ20" s="1"/>
      <c r="LK20" s="1"/>
      <c r="LL20" s="1"/>
      <c r="LM20" s="1"/>
      <c r="LN20" s="1"/>
      <c r="LO20" s="1"/>
      <c r="LP20" s="1"/>
      <c r="LQ20" s="1"/>
      <c r="LR20" s="1"/>
      <c r="LS20" s="1"/>
    </row>
    <row r="21" spans="1:331" s="4" customFormat="1" x14ac:dyDescent="0.25">
      <c r="A21" s="4" t="s">
        <v>120</v>
      </c>
      <c r="B21" s="4" t="s">
        <v>121</v>
      </c>
      <c r="C21" s="96" t="s">
        <v>1646</v>
      </c>
      <c r="D21" s="4">
        <v>0</v>
      </c>
      <c r="H21" s="4" t="s">
        <v>122</v>
      </c>
      <c r="I21" s="4" t="s">
        <v>47</v>
      </c>
      <c r="J21" s="4" t="s">
        <v>123</v>
      </c>
      <c r="K21" s="4" t="s">
        <v>47</v>
      </c>
      <c r="L21" s="4">
        <v>1</v>
      </c>
      <c r="M21" s="4" t="s">
        <v>124</v>
      </c>
      <c r="O21" s="4">
        <v>1</v>
      </c>
      <c r="P21" s="4" t="s">
        <v>125</v>
      </c>
      <c r="Q21" s="96" t="s">
        <v>1492</v>
      </c>
      <c r="R21" s="96"/>
      <c r="S21" s="4">
        <v>8</v>
      </c>
      <c r="U21" s="4">
        <v>12</v>
      </c>
      <c r="W21" s="96">
        <v>8</v>
      </c>
      <c r="X21" s="96"/>
      <c r="Y21" s="96"/>
      <c r="Z21" s="4">
        <v>4</v>
      </c>
      <c r="AA21" s="94" t="b">
        <v>1</v>
      </c>
      <c r="AB21" s="1" t="s">
        <v>1898</v>
      </c>
      <c r="AC21" s="57" t="s">
        <v>1235</v>
      </c>
      <c r="AD21" s="1"/>
      <c r="AE21" s="57"/>
      <c r="AF21" s="1"/>
      <c r="AG21" s="1"/>
      <c r="AH21" s="1"/>
      <c r="AI21" s="1"/>
      <c r="AJ21" s="1"/>
      <c r="AK21" s="1"/>
      <c r="AL21" s="1"/>
      <c r="AM21" s="1"/>
      <c r="AN21" s="1"/>
      <c r="AO21" s="1"/>
      <c r="AP21" s="1"/>
      <c r="AQ21" s="1"/>
    </row>
    <row r="22" spans="1:331" s="40" customFormat="1" x14ac:dyDescent="0.25">
      <c r="A22" s="40" t="s">
        <v>126</v>
      </c>
      <c r="B22" s="44" t="s">
        <v>127</v>
      </c>
      <c r="C22" s="94" t="s">
        <v>1646</v>
      </c>
      <c r="D22" s="40">
        <v>0</v>
      </c>
      <c r="H22" s="40" t="s">
        <v>128</v>
      </c>
      <c r="I22" s="40" t="s">
        <v>129</v>
      </c>
      <c r="J22" s="40" t="s">
        <v>130</v>
      </c>
      <c r="K22" s="40" t="s">
        <v>129</v>
      </c>
      <c r="L22" s="40">
        <v>0</v>
      </c>
      <c r="O22" s="40">
        <v>1</v>
      </c>
      <c r="P22" s="40" t="s">
        <v>131</v>
      </c>
      <c r="Q22" s="96"/>
      <c r="R22" s="96" t="s">
        <v>132</v>
      </c>
      <c r="T22" s="40">
        <v>24</v>
      </c>
      <c r="V22" s="40">
        <v>17</v>
      </c>
      <c r="W22" s="96">
        <v>24</v>
      </c>
      <c r="X22" s="96"/>
      <c r="Y22" s="96"/>
      <c r="Z22" s="40">
        <v>8</v>
      </c>
      <c r="AA22" s="94" t="b">
        <v>1</v>
      </c>
      <c r="AB22" s="1" t="s">
        <v>1898</v>
      </c>
      <c r="AC22" s="57" t="s">
        <v>1272</v>
      </c>
      <c r="AD22" s="1"/>
      <c r="AE22" s="57"/>
      <c r="AF22" s="1"/>
      <c r="AG22" s="1"/>
      <c r="AH22" s="1"/>
      <c r="AI22" s="1"/>
      <c r="AJ22" s="1"/>
      <c r="AK22" s="1"/>
      <c r="AL22" s="1"/>
      <c r="AM22" s="1"/>
      <c r="AN22" s="1"/>
      <c r="AO22" s="1"/>
      <c r="AP22" s="1"/>
      <c r="AQ22" s="1"/>
      <c r="AR22" s="1"/>
      <c r="AS22" s="1"/>
      <c r="AT22" s="1"/>
      <c r="AU22" s="1"/>
      <c r="AV22" s="1"/>
      <c r="AW22" s="1"/>
      <c r="AX22" s="1"/>
      <c r="AY22" s="1"/>
      <c r="AZ22" s="1"/>
      <c r="BA22" s="1"/>
      <c r="BB22" s="1"/>
      <c r="BC22" s="1"/>
      <c r="BD22" s="1"/>
      <c r="BE22" s="1"/>
      <c r="BF22" s="1"/>
      <c r="BG22" s="1"/>
      <c r="BH22" s="1"/>
      <c r="BI22" s="1"/>
      <c r="BJ22" s="1"/>
      <c r="BK22" s="1"/>
      <c r="BL22" s="1"/>
      <c r="BM22" s="1"/>
      <c r="BN22" s="1"/>
      <c r="BO22" s="1"/>
      <c r="BP22" s="1"/>
      <c r="BQ22" s="1"/>
      <c r="BR22" s="1"/>
      <c r="BS22" s="1"/>
      <c r="BT22" s="1"/>
      <c r="BU22" s="1"/>
      <c r="BV22" s="1"/>
      <c r="BW22" s="1"/>
      <c r="BX22" s="1"/>
      <c r="BY22" s="1"/>
      <c r="BZ22" s="1"/>
      <c r="CA22" s="1"/>
      <c r="CB22" s="1"/>
      <c r="CC22" s="1"/>
      <c r="CD22" s="1"/>
      <c r="CE22" s="1"/>
      <c r="CF22" s="1"/>
      <c r="CG22" s="1"/>
      <c r="CH22" s="1"/>
      <c r="CI22" s="1"/>
      <c r="CJ22" s="1"/>
      <c r="CK22" s="1"/>
      <c r="CL22" s="1"/>
      <c r="CM22" s="1"/>
      <c r="CN22" s="1"/>
      <c r="CO22" s="1"/>
      <c r="CP22" s="1"/>
      <c r="CQ22" s="1"/>
      <c r="CR22" s="1"/>
      <c r="CS22" s="1"/>
      <c r="CT22" s="1"/>
      <c r="CU22" s="1"/>
      <c r="CV22" s="1"/>
      <c r="CW22" s="1"/>
      <c r="CX22" s="1"/>
      <c r="CY22" s="1"/>
      <c r="CZ22" s="1"/>
      <c r="DA22" s="1"/>
      <c r="DB22" s="1"/>
      <c r="DC22" s="1"/>
      <c r="DD22" s="1"/>
      <c r="DE22" s="1"/>
      <c r="DF22" s="1"/>
      <c r="DG22" s="1"/>
      <c r="DH22" s="1"/>
      <c r="DI22" s="1"/>
      <c r="DJ22" s="1"/>
      <c r="DK22" s="1"/>
      <c r="DL22" s="1"/>
      <c r="DM22" s="1"/>
      <c r="DN22" s="1"/>
      <c r="DO22" s="1"/>
      <c r="DP22" s="1"/>
      <c r="DQ22" s="1"/>
      <c r="DR22" s="1"/>
      <c r="DS22" s="1"/>
      <c r="DT22" s="1"/>
      <c r="DU22" s="1"/>
      <c r="DV22" s="1"/>
      <c r="DW22" s="1"/>
      <c r="DX22" s="1"/>
      <c r="DY22" s="1"/>
      <c r="DZ22" s="1"/>
      <c r="EA22" s="1"/>
      <c r="EB22" s="1"/>
      <c r="EC22" s="1"/>
      <c r="ED22" s="1"/>
      <c r="EE22" s="1"/>
      <c r="EF22" s="1"/>
      <c r="EG22" s="1"/>
      <c r="EH22" s="1"/>
      <c r="EI22" s="1"/>
      <c r="EJ22" s="1"/>
      <c r="EK22" s="1"/>
      <c r="EL22" s="1"/>
      <c r="EM22" s="1"/>
      <c r="EN22" s="1"/>
      <c r="EO22" s="1"/>
      <c r="EP22" s="1"/>
      <c r="EQ22" s="1"/>
      <c r="ER22" s="1"/>
      <c r="ES22" s="1"/>
      <c r="ET22" s="1"/>
      <c r="EU22" s="1"/>
      <c r="EV22" s="1"/>
      <c r="EW22" s="1"/>
      <c r="EX22" s="1"/>
      <c r="EY22" s="1"/>
      <c r="EZ22" s="1"/>
      <c r="FA22" s="1"/>
      <c r="FB22" s="1"/>
      <c r="FC22" s="1"/>
      <c r="FD22" s="1"/>
      <c r="FE22" s="1"/>
      <c r="FF22" s="1"/>
      <c r="FG22" s="1"/>
      <c r="FH22" s="1"/>
      <c r="FI22" s="1"/>
      <c r="FJ22" s="1"/>
      <c r="FK22" s="1"/>
      <c r="FL22" s="1"/>
      <c r="FM22" s="1"/>
      <c r="FN22" s="1"/>
      <c r="FO22" s="1"/>
      <c r="FP22" s="1"/>
      <c r="FQ22" s="1"/>
      <c r="FR22" s="1"/>
      <c r="FS22" s="1"/>
      <c r="FT22" s="1"/>
      <c r="FU22" s="1"/>
      <c r="FV22" s="1"/>
      <c r="FW22" s="1"/>
      <c r="FX22" s="1"/>
      <c r="FY22" s="1"/>
      <c r="FZ22" s="1"/>
      <c r="GA22" s="1"/>
      <c r="GB22" s="1"/>
      <c r="GC22" s="1"/>
      <c r="GD22" s="1"/>
      <c r="GE22" s="1"/>
      <c r="GF22" s="1"/>
      <c r="GG22" s="1"/>
      <c r="GH22" s="1"/>
      <c r="GI22" s="1"/>
      <c r="GJ22" s="1"/>
      <c r="GK22" s="1"/>
      <c r="GL22" s="1"/>
      <c r="GM22" s="1"/>
      <c r="GN22" s="1"/>
      <c r="GO22" s="1"/>
      <c r="GP22" s="1"/>
      <c r="GQ22" s="1"/>
      <c r="GR22" s="1"/>
      <c r="GS22" s="1"/>
      <c r="GT22" s="1"/>
      <c r="GU22" s="1"/>
      <c r="GV22" s="1"/>
      <c r="GW22" s="1"/>
      <c r="GX22" s="1"/>
      <c r="GY22" s="1"/>
      <c r="GZ22" s="1"/>
      <c r="HA22" s="1"/>
      <c r="HB22" s="1"/>
      <c r="HC22" s="1"/>
      <c r="HD22" s="1"/>
      <c r="HE22" s="1"/>
      <c r="HF22" s="1"/>
      <c r="HG22" s="1"/>
      <c r="HH22" s="1"/>
      <c r="HI22" s="1"/>
      <c r="HJ22" s="1"/>
      <c r="HK22" s="1"/>
      <c r="HL22" s="1"/>
      <c r="HM22" s="1"/>
      <c r="HN22" s="1"/>
      <c r="HO22" s="1"/>
      <c r="HP22" s="1"/>
      <c r="HQ22" s="1"/>
      <c r="HR22" s="1"/>
      <c r="HS22" s="1"/>
      <c r="HT22" s="1"/>
      <c r="HU22" s="1"/>
      <c r="HV22" s="1"/>
      <c r="HW22" s="1"/>
      <c r="HX22" s="1"/>
      <c r="HY22" s="1"/>
      <c r="HZ22" s="1"/>
      <c r="IA22" s="1"/>
      <c r="IB22" s="1"/>
      <c r="IC22" s="1"/>
      <c r="ID22" s="1"/>
      <c r="IE22" s="1"/>
      <c r="IF22" s="1"/>
      <c r="IG22" s="1"/>
      <c r="IH22" s="1"/>
      <c r="II22" s="1"/>
      <c r="IJ22" s="1"/>
      <c r="IK22" s="1"/>
      <c r="IL22" s="1"/>
      <c r="IM22" s="1"/>
      <c r="IN22" s="1"/>
      <c r="IO22" s="1"/>
      <c r="IP22" s="1"/>
      <c r="IQ22" s="1"/>
      <c r="IR22" s="1"/>
      <c r="IS22" s="1"/>
      <c r="IT22" s="1"/>
      <c r="IU22" s="1"/>
      <c r="IV22" s="1"/>
      <c r="IW22" s="1"/>
      <c r="IX22" s="1"/>
      <c r="IY22" s="1"/>
      <c r="IZ22" s="1"/>
      <c r="JA22" s="1"/>
      <c r="JB22" s="1"/>
      <c r="JC22" s="1"/>
      <c r="JD22" s="1"/>
      <c r="JE22" s="1"/>
      <c r="JF22" s="1"/>
      <c r="JG22" s="1"/>
      <c r="JH22" s="1"/>
      <c r="JI22" s="1"/>
      <c r="JJ22" s="1"/>
      <c r="JK22" s="1"/>
      <c r="JL22" s="1"/>
      <c r="JM22" s="1"/>
      <c r="JN22" s="1"/>
      <c r="JO22" s="1"/>
      <c r="JP22" s="1"/>
      <c r="JQ22" s="1"/>
      <c r="JR22" s="1"/>
      <c r="JS22" s="1"/>
      <c r="JT22" s="1"/>
      <c r="JU22" s="1"/>
      <c r="JV22" s="1"/>
      <c r="JW22" s="1"/>
      <c r="JX22" s="1"/>
      <c r="JY22" s="1"/>
      <c r="JZ22" s="1"/>
      <c r="KA22" s="1"/>
      <c r="KB22" s="1"/>
      <c r="KC22" s="1"/>
      <c r="KD22" s="1"/>
      <c r="KE22" s="1"/>
      <c r="KF22" s="1"/>
      <c r="KG22" s="1"/>
      <c r="KH22" s="1"/>
      <c r="KI22" s="1"/>
      <c r="KJ22" s="1"/>
      <c r="KK22" s="1"/>
      <c r="KL22" s="1"/>
      <c r="KM22" s="1"/>
      <c r="KN22" s="1"/>
      <c r="KO22" s="1"/>
      <c r="KP22" s="1"/>
      <c r="KQ22" s="1"/>
      <c r="KR22" s="1"/>
      <c r="KS22" s="1"/>
      <c r="KT22" s="1"/>
      <c r="KU22" s="1"/>
      <c r="KV22" s="1"/>
      <c r="KW22" s="1"/>
      <c r="KX22" s="1"/>
      <c r="KY22" s="1"/>
      <c r="KZ22" s="1"/>
      <c r="LA22" s="1"/>
      <c r="LB22" s="1"/>
      <c r="LC22" s="1"/>
      <c r="LD22" s="1"/>
      <c r="LE22" s="1"/>
      <c r="LF22" s="1"/>
      <c r="LG22" s="1"/>
      <c r="LH22" s="1"/>
      <c r="LI22" s="1"/>
      <c r="LJ22" s="1"/>
      <c r="LK22" s="1"/>
      <c r="LL22" s="1"/>
      <c r="LM22" s="1"/>
      <c r="LN22" s="1"/>
      <c r="LO22" s="1"/>
      <c r="LP22" s="1"/>
      <c r="LQ22" s="1"/>
      <c r="LR22" s="1"/>
      <c r="LS22" s="1"/>
    </row>
    <row r="23" spans="1:331" s="35" customFormat="1" x14ac:dyDescent="0.25">
      <c r="A23" s="35" t="s">
        <v>133</v>
      </c>
      <c r="B23" s="35" t="s">
        <v>134</v>
      </c>
      <c r="C23" s="96" t="s">
        <v>1646</v>
      </c>
      <c r="D23" s="35">
        <v>1</v>
      </c>
      <c r="E23" s="35" t="s">
        <v>135</v>
      </c>
      <c r="H23" s="35" t="s">
        <v>136</v>
      </c>
      <c r="I23" s="35" t="s">
        <v>135</v>
      </c>
      <c r="J23" s="35" t="s">
        <v>136</v>
      </c>
      <c r="K23" s="35" t="s">
        <v>135</v>
      </c>
      <c r="L23" s="35">
        <v>0</v>
      </c>
      <c r="O23" s="35">
        <v>1</v>
      </c>
      <c r="Q23" s="96"/>
      <c r="R23" s="96" t="s">
        <v>137</v>
      </c>
      <c r="T23" s="35">
        <v>9</v>
      </c>
      <c r="V23" s="35">
        <v>12</v>
      </c>
      <c r="W23" s="96">
        <v>9</v>
      </c>
      <c r="X23" s="96"/>
      <c r="Y23" s="96"/>
      <c r="Z23" s="35">
        <v>7</v>
      </c>
      <c r="AA23" s="94" t="b">
        <v>1</v>
      </c>
      <c r="AB23" s="1" t="b">
        <v>1</v>
      </c>
      <c r="AC23" s="57" t="s">
        <v>1273</v>
      </c>
      <c r="AD23" s="1"/>
      <c r="AE23" t="s">
        <v>1863</v>
      </c>
      <c r="AF23" s="1"/>
      <c r="AG23" s="1"/>
      <c r="AH23" s="1"/>
      <c r="AI23" s="1"/>
      <c r="AJ23" s="1"/>
      <c r="AK23" s="1"/>
      <c r="AL23" s="1"/>
      <c r="AM23" s="1"/>
      <c r="AN23" s="1"/>
      <c r="AO23" s="1"/>
      <c r="AP23" s="1"/>
      <c r="AQ23" s="1"/>
      <c r="AR23" s="1"/>
      <c r="AS23" s="1"/>
      <c r="AT23" s="1"/>
      <c r="AU23" s="1"/>
      <c r="AV23" s="1"/>
      <c r="AW23" s="1"/>
      <c r="AX23" s="1"/>
      <c r="AY23" s="1"/>
      <c r="AZ23" s="1"/>
      <c r="BA23" s="1"/>
      <c r="BB23" s="1"/>
      <c r="BC23" s="1"/>
      <c r="BD23" s="1"/>
      <c r="BE23" s="1"/>
      <c r="BF23" s="1"/>
      <c r="BG23" s="1"/>
      <c r="BH23" s="1"/>
      <c r="BI23" s="1"/>
      <c r="BJ23" s="1"/>
      <c r="BK23" s="1"/>
      <c r="BL23" s="1"/>
      <c r="BM23" s="1"/>
      <c r="BN23" s="1"/>
      <c r="BO23" s="1"/>
      <c r="BP23" s="1"/>
      <c r="BQ23" s="1"/>
      <c r="BR23" s="1"/>
      <c r="BS23" s="1"/>
      <c r="BT23" s="1"/>
      <c r="BU23" s="1"/>
      <c r="BV23" s="1"/>
      <c r="BW23" s="1"/>
      <c r="BX23" s="1"/>
      <c r="BY23" s="1"/>
      <c r="BZ23" s="1"/>
      <c r="CA23" s="1"/>
      <c r="CB23" s="1"/>
      <c r="CC23" s="1"/>
      <c r="CD23" s="1"/>
      <c r="CE23" s="1"/>
      <c r="CF23" s="1"/>
      <c r="CG23" s="1"/>
      <c r="CH23" s="1"/>
      <c r="CI23" s="1"/>
      <c r="CJ23" s="1"/>
      <c r="CK23" s="1"/>
      <c r="CL23" s="1"/>
      <c r="CM23" s="1"/>
      <c r="CN23" s="1"/>
      <c r="CO23" s="1"/>
      <c r="CP23" s="1"/>
      <c r="CQ23" s="1"/>
      <c r="CR23" s="1"/>
      <c r="CS23" s="1"/>
      <c r="CT23" s="1"/>
      <c r="CU23" s="1"/>
      <c r="CV23" s="1"/>
      <c r="CW23" s="1"/>
      <c r="CX23" s="1"/>
      <c r="CY23" s="1"/>
      <c r="CZ23" s="1"/>
      <c r="DA23" s="1"/>
      <c r="DB23" s="1"/>
      <c r="DC23" s="1"/>
      <c r="DD23" s="1"/>
      <c r="DE23" s="1"/>
      <c r="DF23" s="1"/>
      <c r="DG23" s="1"/>
      <c r="DH23" s="1"/>
      <c r="DI23" s="1"/>
      <c r="DJ23" s="1"/>
      <c r="DK23" s="1"/>
      <c r="DL23" s="1"/>
      <c r="DM23" s="1"/>
      <c r="DN23" s="1"/>
      <c r="DO23" s="1"/>
      <c r="DP23" s="1"/>
      <c r="DQ23" s="1"/>
      <c r="DR23" s="1"/>
      <c r="DS23" s="1"/>
      <c r="DT23" s="1"/>
      <c r="DU23" s="1"/>
      <c r="DV23" s="1"/>
      <c r="DW23" s="1"/>
      <c r="DX23" s="1"/>
      <c r="DY23" s="1"/>
      <c r="DZ23" s="1"/>
      <c r="EA23" s="1"/>
      <c r="EB23" s="1"/>
      <c r="EC23" s="1"/>
      <c r="ED23" s="1"/>
      <c r="EE23" s="1"/>
      <c r="EF23" s="1"/>
      <c r="EG23" s="1"/>
      <c r="EH23" s="1"/>
      <c r="EI23" s="1"/>
      <c r="EJ23" s="1"/>
      <c r="EK23" s="1"/>
      <c r="EL23" s="1"/>
      <c r="EM23" s="1"/>
      <c r="EN23" s="1"/>
      <c r="EO23" s="1"/>
      <c r="EP23" s="1"/>
      <c r="EQ23" s="1"/>
      <c r="ER23" s="1"/>
      <c r="ES23" s="1"/>
      <c r="ET23" s="1"/>
      <c r="EU23" s="1"/>
      <c r="EV23" s="1"/>
      <c r="EW23" s="1"/>
      <c r="EX23" s="1"/>
      <c r="EY23" s="1"/>
      <c r="EZ23" s="1"/>
      <c r="FA23" s="1"/>
      <c r="FB23" s="1"/>
      <c r="FC23" s="1"/>
      <c r="FD23" s="1"/>
      <c r="FE23" s="1"/>
      <c r="FF23" s="1"/>
      <c r="FG23" s="1"/>
      <c r="FH23" s="1"/>
      <c r="FI23" s="1"/>
      <c r="FJ23" s="1"/>
      <c r="FK23" s="1"/>
      <c r="FL23" s="1"/>
      <c r="FM23" s="1"/>
      <c r="FN23" s="1"/>
      <c r="FO23" s="1"/>
      <c r="FP23" s="1"/>
      <c r="FQ23" s="1"/>
      <c r="FR23" s="1"/>
      <c r="FS23" s="1"/>
      <c r="FT23" s="1"/>
      <c r="FU23" s="1"/>
      <c r="FV23" s="1"/>
      <c r="FW23" s="1"/>
      <c r="FX23" s="1"/>
      <c r="FY23" s="1"/>
      <c r="FZ23" s="1"/>
      <c r="GA23" s="1"/>
      <c r="GB23" s="1"/>
      <c r="GC23" s="1"/>
      <c r="GD23" s="1"/>
      <c r="GE23" s="1"/>
      <c r="GF23" s="1"/>
      <c r="GG23" s="1"/>
      <c r="GH23" s="1"/>
      <c r="GI23" s="1"/>
      <c r="GJ23" s="1"/>
      <c r="GK23" s="1"/>
      <c r="GL23" s="1"/>
      <c r="GM23" s="1"/>
      <c r="GN23" s="1"/>
      <c r="GO23" s="1"/>
      <c r="GP23" s="1"/>
      <c r="GQ23" s="1"/>
      <c r="GR23" s="1"/>
      <c r="GS23" s="1"/>
      <c r="GT23" s="1"/>
      <c r="GU23" s="1"/>
      <c r="GV23" s="1"/>
      <c r="GW23" s="1"/>
      <c r="GX23" s="1"/>
      <c r="GY23" s="1"/>
      <c r="GZ23" s="1"/>
      <c r="HA23" s="1"/>
      <c r="HB23" s="1"/>
      <c r="HC23" s="1"/>
      <c r="HD23" s="1"/>
      <c r="HE23" s="1"/>
      <c r="HF23" s="1"/>
      <c r="HG23" s="1"/>
      <c r="HH23" s="1"/>
      <c r="HI23" s="1"/>
      <c r="HJ23" s="1"/>
      <c r="HK23" s="1"/>
      <c r="HL23" s="1"/>
      <c r="HM23" s="1"/>
      <c r="HN23" s="1"/>
      <c r="HO23" s="1"/>
      <c r="HP23" s="1"/>
      <c r="HQ23" s="1"/>
      <c r="HR23" s="1"/>
      <c r="HS23" s="1"/>
      <c r="HT23" s="1"/>
      <c r="HU23" s="1"/>
      <c r="HV23" s="1"/>
      <c r="HW23" s="1"/>
      <c r="HX23" s="1"/>
      <c r="HY23" s="1"/>
      <c r="HZ23" s="1"/>
      <c r="IA23" s="1"/>
      <c r="IB23" s="1"/>
      <c r="IC23" s="1"/>
      <c r="ID23" s="1"/>
      <c r="IE23" s="1"/>
      <c r="IF23" s="1"/>
      <c r="IG23" s="1"/>
      <c r="IH23" s="1"/>
      <c r="II23" s="1"/>
      <c r="IJ23" s="1"/>
      <c r="IK23" s="1"/>
      <c r="IL23" s="1"/>
      <c r="IM23" s="1"/>
      <c r="IN23" s="1"/>
      <c r="IO23" s="1"/>
      <c r="IP23" s="1"/>
      <c r="IQ23" s="1"/>
      <c r="IR23" s="1"/>
      <c r="IS23" s="1"/>
      <c r="IT23" s="1"/>
      <c r="IU23" s="1"/>
      <c r="IV23" s="1"/>
      <c r="IW23" s="1"/>
      <c r="IX23" s="1"/>
      <c r="IY23" s="1"/>
      <c r="IZ23" s="1"/>
      <c r="JA23" s="1"/>
      <c r="JB23" s="1"/>
      <c r="JC23" s="1"/>
      <c r="JD23" s="1"/>
      <c r="JE23" s="1"/>
      <c r="JF23" s="1"/>
      <c r="JG23" s="1"/>
      <c r="JH23" s="1"/>
      <c r="JI23" s="1"/>
      <c r="JJ23" s="1"/>
      <c r="JK23" s="1"/>
      <c r="JL23" s="1"/>
      <c r="JM23" s="1"/>
      <c r="JN23" s="1"/>
      <c r="JO23" s="1"/>
      <c r="JP23" s="1"/>
      <c r="JQ23" s="1"/>
      <c r="JR23" s="1"/>
      <c r="JS23" s="1"/>
      <c r="JT23" s="1"/>
      <c r="JU23" s="1"/>
      <c r="JV23" s="1"/>
      <c r="JW23" s="1"/>
      <c r="JX23" s="1"/>
      <c r="JY23" s="1"/>
      <c r="JZ23" s="1"/>
      <c r="KA23" s="1"/>
      <c r="KB23" s="1"/>
      <c r="KC23" s="1"/>
      <c r="KD23" s="1"/>
      <c r="KE23" s="1"/>
      <c r="KF23" s="1"/>
      <c r="KG23" s="1"/>
      <c r="KH23" s="1"/>
      <c r="KI23" s="1"/>
      <c r="KJ23" s="1"/>
      <c r="KK23" s="1"/>
      <c r="KL23" s="1"/>
      <c r="KM23" s="1"/>
      <c r="KN23" s="1"/>
      <c r="KO23" s="1"/>
      <c r="KP23" s="1"/>
      <c r="KQ23" s="1"/>
      <c r="KR23" s="1"/>
      <c r="KS23" s="1"/>
      <c r="KT23" s="1"/>
      <c r="KU23" s="1"/>
      <c r="KV23" s="1"/>
      <c r="KW23" s="1"/>
      <c r="KX23" s="1"/>
      <c r="KY23" s="1"/>
      <c r="KZ23" s="1"/>
      <c r="LA23" s="1"/>
      <c r="LB23" s="1"/>
      <c r="LC23" s="1"/>
      <c r="LD23" s="1"/>
      <c r="LE23" s="1"/>
      <c r="LF23" s="1"/>
      <c r="LG23" s="1"/>
      <c r="LH23" s="1"/>
      <c r="LI23" s="1"/>
      <c r="LJ23" s="1"/>
      <c r="LK23" s="1"/>
      <c r="LL23" s="1"/>
      <c r="LM23" s="1"/>
      <c r="LN23" s="1"/>
      <c r="LO23" s="1"/>
      <c r="LP23" s="1"/>
      <c r="LQ23" s="1"/>
      <c r="LR23" s="1"/>
      <c r="LS23" s="1"/>
    </row>
    <row r="24" spans="1:331" s="4" customFormat="1" x14ac:dyDescent="0.25">
      <c r="A24" s="4" t="s">
        <v>138</v>
      </c>
      <c r="B24" s="7" t="s">
        <v>139</v>
      </c>
      <c r="C24" s="94" t="s">
        <v>1646</v>
      </c>
      <c r="D24" s="4">
        <v>0</v>
      </c>
      <c r="H24" s="4" t="s">
        <v>140</v>
      </c>
      <c r="I24" s="4" t="s">
        <v>122</v>
      </c>
      <c r="J24" s="4" t="s">
        <v>141</v>
      </c>
      <c r="K24" s="4" t="s">
        <v>122</v>
      </c>
      <c r="L24" s="4">
        <v>1</v>
      </c>
      <c r="M24" s="4" t="s">
        <v>142</v>
      </c>
      <c r="O24" s="4">
        <v>1</v>
      </c>
      <c r="P24" s="4" t="s">
        <v>125</v>
      </c>
      <c r="Q24" s="96" t="s">
        <v>714</v>
      </c>
      <c r="R24" s="96"/>
      <c r="S24" s="4">
        <v>33</v>
      </c>
      <c r="U24" s="4">
        <v>30</v>
      </c>
      <c r="W24" s="96">
        <v>33</v>
      </c>
      <c r="X24" s="96"/>
      <c r="Y24" s="96"/>
      <c r="Z24" s="4">
        <v>4</v>
      </c>
      <c r="AA24" s="94" t="b">
        <v>1</v>
      </c>
      <c r="AB24" s="1" t="s">
        <v>1893</v>
      </c>
      <c r="AC24" s="57" t="s">
        <v>1450</v>
      </c>
      <c r="AD24" s="1"/>
      <c r="AE24" s="57"/>
      <c r="AF24" s="1"/>
      <c r="AG24" s="1"/>
      <c r="AH24" s="1"/>
      <c r="AI24" s="1"/>
      <c r="AJ24" s="1"/>
      <c r="AK24" s="1"/>
      <c r="AL24" s="1"/>
      <c r="AM24" s="1"/>
      <c r="AN24" s="1"/>
      <c r="AO24" s="1"/>
      <c r="AP24" s="1"/>
      <c r="AQ24" s="1"/>
      <c r="AR24" s="1"/>
      <c r="AS24" s="1"/>
      <c r="AT24" s="1"/>
      <c r="AU24" s="1"/>
      <c r="AV24" s="1"/>
      <c r="AW24" s="1"/>
      <c r="AX24" s="1"/>
      <c r="AY24" s="1"/>
      <c r="AZ24" s="1"/>
      <c r="BA24" s="1"/>
      <c r="BB24" s="1"/>
      <c r="BC24" s="1"/>
      <c r="BD24" s="1"/>
      <c r="BE24" s="1"/>
      <c r="BF24" s="1"/>
      <c r="BG24" s="1"/>
      <c r="BH24" s="1"/>
      <c r="BI24" s="1"/>
      <c r="BJ24" s="1"/>
      <c r="BK24" s="1"/>
      <c r="BL24" s="1"/>
      <c r="BM24" s="1"/>
      <c r="BN24" s="1"/>
      <c r="BO24" s="1"/>
      <c r="BP24" s="1"/>
      <c r="BQ24" s="1"/>
      <c r="BR24" s="1"/>
      <c r="BS24" s="1"/>
      <c r="BT24" s="1"/>
      <c r="BU24" s="1"/>
      <c r="BV24" s="1"/>
      <c r="BW24" s="1"/>
      <c r="BX24" s="1"/>
      <c r="BY24" s="1"/>
      <c r="BZ24" s="1"/>
      <c r="CA24" s="1"/>
      <c r="CB24" s="1"/>
      <c r="CC24" s="1"/>
      <c r="CD24" s="1"/>
      <c r="CE24" s="1"/>
      <c r="CF24" s="1"/>
      <c r="CG24" s="1"/>
      <c r="CH24" s="1"/>
      <c r="CI24" s="1"/>
      <c r="CJ24" s="1"/>
      <c r="CK24" s="1"/>
      <c r="CL24" s="1"/>
      <c r="CM24" s="1"/>
      <c r="CN24" s="1"/>
      <c r="CO24" s="1"/>
      <c r="CP24" s="1"/>
      <c r="CQ24" s="1"/>
      <c r="CR24" s="1"/>
      <c r="CS24" s="1"/>
      <c r="CT24" s="1"/>
      <c r="CU24" s="1"/>
      <c r="CV24" s="1"/>
      <c r="CW24" s="1"/>
      <c r="CX24" s="1"/>
      <c r="CY24" s="1"/>
      <c r="CZ24" s="1"/>
      <c r="DA24" s="1"/>
      <c r="DB24" s="1"/>
      <c r="DC24" s="1"/>
      <c r="DD24" s="1"/>
      <c r="DE24" s="1"/>
      <c r="DF24" s="1"/>
      <c r="DG24" s="1"/>
      <c r="DH24" s="1"/>
      <c r="DI24" s="1"/>
      <c r="DJ24" s="1"/>
      <c r="DK24" s="1"/>
      <c r="DL24" s="1"/>
      <c r="DM24" s="1"/>
      <c r="DN24" s="1"/>
      <c r="DO24" s="1"/>
      <c r="DP24" s="1"/>
      <c r="DQ24" s="1"/>
      <c r="DR24" s="1"/>
      <c r="DS24" s="1"/>
      <c r="DT24" s="1"/>
      <c r="DU24" s="1"/>
      <c r="DV24" s="1"/>
      <c r="DW24" s="1"/>
      <c r="DX24" s="1"/>
      <c r="DY24" s="1"/>
      <c r="DZ24" s="1"/>
      <c r="EA24" s="1"/>
      <c r="EB24" s="1"/>
      <c r="EC24" s="1"/>
      <c r="ED24" s="1"/>
      <c r="EE24" s="1"/>
      <c r="EF24" s="1"/>
      <c r="EG24" s="1"/>
      <c r="EH24" s="1"/>
      <c r="EI24" s="1"/>
      <c r="EJ24" s="1"/>
      <c r="EK24" s="1"/>
      <c r="EL24" s="1"/>
      <c r="EM24" s="1"/>
      <c r="EN24" s="1"/>
      <c r="EO24" s="1"/>
      <c r="EP24" s="1"/>
      <c r="EQ24" s="1"/>
      <c r="ER24" s="1"/>
      <c r="ES24" s="1"/>
      <c r="ET24" s="1"/>
      <c r="EU24" s="1"/>
      <c r="EV24" s="1"/>
      <c r="EW24" s="1"/>
      <c r="EX24" s="1"/>
      <c r="EY24" s="1"/>
      <c r="EZ24" s="1"/>
      <c r="FA24" s="1"/>
      <c r="FB24" s="1"/>
      <c r="FC24" s="1"/>
      <c r="FD24" s="1"/>
      <c r="FE24" s="1"/>
      <c r="FF24" s="1"/>
      <c r="FG24" s="1"/>
      <c r="FH24" s="1"/>
      <c r="FI24" s="1"/>
      <c r="FJ24" s="1"/>
      <c r="FK24" s="1"/>
      <c r="FL24" s="1"/>
      <c r="FM24" s="1"/>
      <c r="FN24" s="1"/>
      <c r="FO24" s="1"/>
      <c r="FP24" s="1"/>
      <c r="FQ24" s="1"/>
      <c r="FR24" s="1"/>
      <c r="FS24" s="1"/>
      <c r="FT24" s="1"/>
      <c r="FU24" s="1"/>
      <c r="FV24" s="1"/>
      <c r="FW24" s="1"/>
      <c r="FX24" s="1"/>
      <c r="FY24" s="1"/>
      <c r="FZ24" s="1"/>
      <c r="GA24" s="1"/>
      <c r="GB24" s="1"/>
      <c r="GC24" s="1"/>
      <c r="GD24" s="1"/>
      <c r="GE24" s="1"/>
      <c r="GF24" s="1"/>
      <c r="GG24" s="1"/>
      <c r="GH24" s="1"/>
      <c r="GI24" s="1"/>
      <c r="GJ24" s="1"/>
      <c r="GK24" s="1"/>
      <c r="GL24" s="1"/>
      <c r="GM24" s="1"/>
      <c r="GN24" s="1"/>
      <c r="GO24" s="1"/>
      <c r="GP24" s="1"/>
      <c r="GQ24" s="1"/>
      <c r="GR24" s="1"/>
      <c r="GS24" s="1"/>
      <c r="GT24" s="1"/>
      <c r="GU24" s="1"/>
      <c r="GV24" s="1"/>
      <c r="GW24" s="1"/>
      <c r="GX24" s="1"/>
      <c r="GY24" s="1"/>
      <c r="GZ24" s="1"/>
      <c r="HA24" s="1"/>
      <c r="HB24" s="1"/>
      <c r="HC24" s="1"/>
      <c r="HD24" s="1"/>
      <c r="HE24" s="1"/>
      <c r="HF24" s="1"/>
      <c r="HG24" s="1"/>
      <c r="HH24" s="1"/>
      <c r="HI24" s="1"/>
      <c r="HJ24" s="1"/>
      <c r="HK24" s="1"/>
      <c r="HL24" s="1"/>
      <c r="HM24" s="1"/>
      <c r="HN24" s="1"/>
      <c r="HO24" s="1"/>
      <c r="HP24" s="1"/>
      <c r="HQ24" s="1"/>
      <c r="HR24" s="1"/>
      <c r="HS24" s="1"/>
      <c r="HT24" s="1"/>
      <c r="HU24" s="1"/>
      <c r="HV24" s="1"/>
      <c r="HW24" s="1"/>
      <c r="HX24" s="1"/>
      <c r="HY24" s="1"/>
      <c r="HZ24" s="1"/>
      <c r="IA24" s="1"/>
      <c r="IB24" s="1"/>
      <c r="IC24" s="1"/>
      <c r="ID24" s="1"/>
      <c r="IE24" s="1"/>
      <c r="IF24" s="1"/>
      <c r="IG24" s="1"/>
      <c r="IH24" s="1"/>
      <c r="II24" s="1"/>
      <c r="IJ24" s="1"/>
      <c r="IK24" s="1"/>
      <c r="IL24" s="1"/>
      <c r="IM24" s="1"/>
      <c r="IN24" s="1"/>
      <c r="IO24" s="1"/>
      <c r="IP24" s="1"/>
      <c r="IQ24" s="1"/>
      <c r="IR24" s="1"/>
      <c r="IS24" s="1"/>
      <c r="IT24" s="1"/>
      <c r="IU24" s="1"/>
      <c r="IV24" s="1"/>
      <c r="IW24" s="1"/>
      <c r="IX24" s="1"/>
      <c r="IY24" s="1"/>
      <c r="IZ24" s="1"/>
      <c r="JA24" s="1"/>
      <c r="JB24" s="1"/>
      <c r="JC24" s="1"/>
      <c r="JD24" s="1"/>
      <c r="JE24" s="1"/>
      <c r="JF24" s="1"/>
      <c r="JG24" s="1"/>
      <c r="JH24" s="1"/>
      <c r="JI24" s="1"/>
      <c r="JJ24" s="1"/>
      <c r="JK24" s="1"/>
      <c r="JL24" s="1"/>
      <c r="JM24" s="1"/>
      <c r="JN24" s="1"/>
      <c r="JO24" s="1"/>
      <c r="JP24" s="1"/>
      <c r="JQ24" s="1"/>
      <c r="JR24" s="1"/>
      <c r="JS24" s="1"/>
      <c r="JT24" s="1"/>
      <c r="JU24" s="1"/>
      <c r="JV24" s="1"/>
      <c r="JW24" s="1"/>
      <c r="JX24" s="1"/>
      <c r="JY24" s="1"/>
      <c r="JZ24" s="1"/>
      <c r="KA24" s="1"/>
      <c r="KB24" s="1"/>
      <c r="KC24" s="1"/>
      <c r="KD24" s="1"/>
      <c r="KE24" s="1"/>
      <c r="KF24" s="1"/>
      <c r="KG24" s="1"/>
      <c r="KH24" s="1"/>
      <c r="KI24" s="1"/>
      <c r="KJ24" s="1"/>
      <c r="KK24" s="1"/>
      <c r="KL24" s="1"/>
      <c r="KM24" s="1"/>
      <c r="KN24" s="1"/>
      <c r="KO24" s="1"/>
      <c r="KP24" s="1"/>
      <c r="KQ24" s="1"/>
      <c r="KR24" s="1"/>
      <c r="KS24" s="1"/>
      <c r="KT24" s="1"/>
      <c r="KU24" s="1"/>
      <c r="KV24" s="1"/>
      <c r="KW24" s="1"/>
      <c r="KX24" s="1"/>
      <c r="KY24" s="1"/>
      <c r="KZ24" s="1"/>
      <c r="LA24" s="1"/>
      <c r="LB24" s="1"/>
      <c r="LC24" s="1"/>
      <c r="LD24" s="1"/>
      <c r="LE24" s="1"/>
      <c r="LF24" s="1"/>
      <c r="LG24" s="1"/>
      <c r="LH24" s="1"/>
      <c r="LI24" s="1"/>
      <c r="LJ24" s="1"/>
      <c r="LK24" s="1"/>
      <c r="LL24" s="1"/>
      <c r="LM24" s="1"/>
      <c r="LN24" s="1"/>
      <c r="LO24" s="1"/>
      <c r="LP24" s="1"/>
      <c r="LQ24" s="1"/>
      <c r="LR24" s="1"/>
      <c r="LS24" s="1"/>
    </row>
    <row r="25" spans="1:331" s="35" customFormat="1" x14ac:dyDescent="0.25">
      <c r="A25" s="35" t="s">
        <v>143</v>
      </c>
      <c r="B25" s="35">
        <v>1441420</v>
      </c>
      <c r="C25" s="96" t="s">
        <v>1646</v>
      </c>
      <c r="D25" s="35">
        <v>1</v>
      </c>
      <c r="E25" s="35" t="s">
        <v>144</v>
      </c>
      <c r="H25" s="35" t="s">
        <v>145</v>
      </c>
      <c r="I25" s="35" t="s">
        <v>144</v>
      </c>
      <c r="J25" s="35" t="s">
        <v>145</v>
      </c>
      <c r="K25" s="35" t="s">
        <v>1654</v>
      </c>
      <c r="L25" s="35">
        <v>0</v>
      </c>
      <c r="O25" s="35">
        <v>1</v>
      </c>
      <c r="Q25" s="96"/>
      <c r="R25" s="94" t="s">
        <v>1960</v>
      </c>
      <c r="T25" s="35">
        <v>15</v>
      </c>
      <c r="V25" s="35">
        <v>16</v>
      </c>
      <c r="W25" s="96">
        <v>15</v>
      </c>
      <c r="X25" s="96"/>
      <c r="Y25" s="96"/>
      <c r="Z25" s="35">
        <v>7</v>
      </c>
      <c r="AA25" s="94" t="b">
        <v>1</v>
      </c>
      <c r="AB25" s="1" t="s">
        <v>1893</v>
      </c>
      <c r="AC25" s="57" t="s">
        <v>1961</v>
      </c>
      <c r="AD25" s="1"/>
      <c r="AE25" s="57"/>
      <c r="AF25" s="1"/>
      <c r="AG25" s="1"/>
      <c r="AH25" s="1"/>
      <c r="AI25" s="1"/>
      <c r="AJ25" s="1"/>
      <c r="AK25" s="1"/>
      <c r="AL25" s="1"/>
      <c r="AM25" s="1"/>
      <c r="AN25" s="1"/>
      <c r="AO25" s="1"/>
      <c r="AP25" s="1"/>
      <c r="AQ25" s="1"/>
      <c r="AR25" s="1"/>
      <c r="AS25" s="1"/>
      <c r="AT25" s="1"/>
      <c r="AU25" s="1"/>
      <c r="AV25" s="1"/>
      <c r="AW25" s="1"/>
      <c r="AX25" s="1"/>
      <c r="AY25" s="1"/>
      <c r="AZ25" s="1"/>
      <c r="BA25" s="1"/>
      <c r="BB25" s="1"/>
      <c r="BC25" s="1"/>
      <c r="BD25" s="1"/>
      <c r="BE25" s="1"/>
      <c r="BF25" s="1"/>
      <c r="BG25" s="1"/>
      <c r="BH25" s="1"/>
      <c r="BI25" s="1"/>
      <c r="BJ25" s="1"/>
      <c r="BK25" s="1"/>
      <c r="BL25" s="1"/>
      <c r="BM25" s="1"/>
      <c r="BN25" s="1"/>
      <c r="BO25" s="1"/>
      <c r="BP25" s="1"/>
      <c r="BQ25" s="1"/>
      <c r="BR25" s="1"/>
      <c r="BS25" s="1"/>
      <c r="BT25" s="1"/>
      <c r="BU25" s="1"/>
      <c r="BV25" s="1"/>
      <c r="BW25" s="1"/>
      <c r="BX25" s="1"/>
      <c r="BY25" s="1"/>
      <c r="BZ25" s="1"/>
      <c r="CA25" s="1"/>
      <c r="CB25" s="1"/>
      <c r="CC25" s="1"/>
      <c r="CD25" s="1"/>
      <c r="CE25" s="1"/>
      <c r="CF25" s="1"/>
      <c r="CG25" s="1"/>
      <c r="CH25" s="1"/>
      <c r="CI25" s="1"/>
      <c r="CJ25" s="1"/>
      <c r="CK25" s="1"/>
      <c r="CL25" s="1"/>
      <c r="CM25" s="1"/>
      <c r="CN25" s="1"/>
      <c r="CO25" s="1"/>
      <c r="CP25" s="1"/>
      <c r="CQ25" s="1"/>
      <c r="CR25" s="1"/>
      <c r="CS25" s="1"/>
      <c r="CT25" s="1"/>
      <c r="CU25" s="1"/>
      <c r="CV25" s="1"/>
      <c r="CW25" s="1"/>
      <c r="CX25" s="1"/>
      <c r="CY25" s="1"/>
      <c r="CZ25" s="1"/>
      <c r="DA25" s="1"/>
      <c r="DB25" s="1"/>
      <c r="DC25" s="1"/>
      <c r="DD25" s="1"/>
      <c r="DE25" s="1"/>
      <c r="DF25" s="1"/>
      <c r="DG25" s="1"/>
      <c r="DH25" s="1"/>
      <c r="DI25" s="1"/>
      <c r="DJ25" s="1"/>
      <c r="DK25" s="1"/>
      <c r="DL25" s="1"/>
      <c r="DM25" s="1"/>
      <c r="DN25" s="1"/>
      <c r="DO25" s="1"/>
      <c r="DP25" s="1"/>
      <c r="DQ25" s="1"/>
      <c r="DR25" s="1"/>
      <c r="DS25" s="1"/>
      <c r="DT25" s="1"/>
      <c r="DU25" s="1"/>
      <c r="DV25" s="1"/>
      <c r="DW25" s="1"/>
      <c r="DX25" s="1"/>
      <c r="DY25" s="1"/>
      <c r="DZ25" s="1"/>
      <c r="EA25" s="1"/>
      <c r="EB25" s="1"/>
      <c r="EC25" s="1"/>
      <c r="ED25" s="1"/>
      <c r="EE25" s="1"/>
      <c r="EF25" s="1"/>
      <c r="EG25" s="1"/>
      <c r="EH25" s="1"/>
      <c r="EI25" s="1"/>
      <c r="EJ25" s="1"/>
      <c r="EK25" s="1"/>
      <c r="EL25" s="1"/>
      <c r="EM25" s="1"/>
      <c r="EN25" s="1"/>
      <c r="EO25" s="1"/>
      <c r="EP25" s="1"/>
      <c r="EQ25" s="1"/>
      <c r="ER25" s="1"/>
      <c r="ES25" s="1"/>
      <c r="ET25" s="1"/>
      <c r="EU25" s="1"/>
      <c r="EV25" s="1"/>
      <c r="EW25" s="1"/>
      <c r="EX25" s="1"/>
      <c r="EY25" s="1"/>
      <c r="EZ25" s="1"/>
      <c r="FA25" s="1"/>
      <c r="FB25" s="1"/>
      <c r="FC25" s="1"/>
      <c r="FD25" s="1"/>
      <c r="FE25" s="1"/>
      <c r="FF25" s="1"/>
      <c r="FG25" s="1"/>
      <c r="FH25" s="1"/>
      <c r="FI25" s="1"/>
      <c r="FJ25" s="1"/>
      <c r="FK25" s="1"/>
      <c r="FL25" s="1"/>
      <c r="FM25" s="1"/>
      <c r="FN25" s="1"/>
      <c r="FO25" s="1"/>
      <c r="FP25" s="1"/>
      <c r="FQ25" s="1"/>
      <c r="FR25" s="1"/>
      <c r="FS25" s="1"/>
      <c r="FT25" s="1"/>
      <c r="FU25" s="1"/>
      <c r="FV25" s="1"/>
      <c r="FW25" s="1"/>
      <c r="FX25" s="1"/>
      <c r="FY25" s="1"/>
      <c r="FZ25" s="1"/>
      <c r="GA25" s="1"/>
      <c r="GB25" s="1"/>
      <c r="GC25" s="1"/>
      <c r="GD25" s="1"/>
      <c r="GE25" s="1"/>
      <c r="GF25" s="1"/>
      <c r="GG25" s="1"/>
      <c r="GH25" s="1"/>
      <c r="GI25" s="1"/>
      <c r="GJ25" s="1"/>
      <c r="GK25" s="1"/>
      <c r="GL25" s="1"/>
      <c r="GM25" s="1"/>
      <c r="GN25" s="1"/>
      <c r="GO25" s="1"/>
      <c r="GP25" s="1"/>
      <c r="GQ25" s="1"/>
      <c r="GR25" s="1"/>
      <c r="GS25" s="1"/>
      <c r="GT25" s="1"/>
      <c r="GU25" s="1"/>
      <c r="GV25" s="1"/>
      <c r="GW25" s="1"/>
      <c r="GX25" s="1"/>
      <c r="GY25" s="1"/>
      <c r="GZ25" s="1"/>
      <c r="HA25" s="1"/>
      <c r="HB25" s="1"/>
      <c r="HC25" s="1"/>
      <c r="HD25" s="1"/>
      <c r="HE25" s="1"/>
      <c r="HF25" s="1"/>
      <c r="HG25" s="1"/>
      <c r="HH25" s="1"/>
      <c r="HI25" s="1"/>
      <c r="HJ25" s="1"/>
      <c r="HK25" s="1"/>
      <c r="HL25" s="1"/>
      <c r="HM25" s="1"/>
      <c r="HN25" s="1"/>
      <c r="HO25" s="1"/>
      <c r="HP25" s="1"/>
      <c r="HQ25" s="1"/>
      <c r="HR25" s="1"/>
      <c r="HS25" s="1"/>
      <c r="HT25" s="1"/>
      <c r="HU25" s="1"/>
      <c r="HV25" s="1"/>
      <c r="HW25" s="1"/>
      <c r="HX25" s="1"/>
      <c r="HY25" s="1"/>
      <c r="HZ25" s="1"/>
      <c r="IA25" s="1"/>
      <c r="IB25" s="1"/>
      <c r="IC25" s="1"/>
      <c r="ID25" s="1"/>
      <c r="IE25" s="1"/>
      <c r="IF25" s="1"/>
      <c r="IG25" s="1"/>
      <c r="IH25" s="1"/>
      <c r="II25" s="1"/>
      <c r="IJ25" s="1"/>
      <c r="IK25" s="1"/>
      <c r="IL25" s="1"/>
      <c r="IM25" s="1"/>
      <c r="IN25" s="1"/>
      <c r="IO25" s="1"/>
      <c r="IP25" s="1"/>
      <c r="IQ25" s="1"/>
      <c r="IR25" s="1"/>
      <c r="IS25" s="1"/>
      <c r="IT25" s="1"/>
      <c r="IU25" s="1"/>
      <c r="IV25" s="1"/>
      <c r="IW25" s="1"/>
      <c r="IX25" s="1"/>
      <c r="IY25" s="1"/>
      <c r="IZ25" s="1"/>
      <c r="JA25" s="1"/>
      <c r="JB25" s="1"/>
      <c r="JC25" s="1"/>
      <c r="JD25" s="1"/>
      <c r="JE25" s="1"/>
      <c r="JF25" s="1"/>
      <c r="JG25" s="1"/>
      <c r="JH25" s="1"/>
      <c r="JI25" s="1"/>
      <c r="JJ25" s="1"/>
      <c r="JK25" s="1"/>
      <c r="JL25" s="1"/>
      <c r="JM25" s="1"/>
      <c r="JN25" s="1"/>
      <c r="JO25" s="1"/>
      <c r="JP25" s="1"/>
      <c r="JQ25" s="1"/>
      <c r="JR25" s="1"/>
      <c r="JS25" s="1"/>
      <c r="JT25" s="1"/>
      <c r="JU25" s="1"/>
      <c r="JV25" s="1"/>
      <c r="JW25" s="1"/>
      <c r="JX25" s="1"/>
      <c r="JY25" s="1"/>
      <c r="JZ25" s="1"/>
      <c r="KA25" s="1"/>
      <c r="KB25" s="1"/>
      <c r="KC25" s="1"/>
      <c r="KD25" s="1"/>
      <c r="KE25" s="1"/>
      <c r="KF25" s="1"/>
      <c r="KG25" s="1"/>
      <c r="KH25" s="1"/>
      <c r="KI25" s="1"/>
      <c r="KJ25" s="1"/>
      <c r="KK25" s="1"/>
      <c r="KL25" s="1"/>
      <c r="KM25" s="1"/>
      <c r="KN25" s="1"/>
      <c r="KO25" s="1"/>
      <c r="KP25" s="1"/>
      <c r="KQ25" s="1"/>
      <c r="KR25" s="1"/>
      <c r="KS25" s="1"/>
      <c r="KT25" s="1"/>
      <c r="KU25" s="1"/>
      <c r="KV25" s="1"/>
      <c r="KW25" s="1"/>
      <c r="KX25" s="1"/>
      <c r="KY25" s="1"/>
      <c r="KZ25" s="1"/>
      <c r="LA25" s="1"/>
      <c r="LB25" s="1"/>
      <c r="LC25" s="1"/>
      <c r="LD25" s="1"/>
      <c r="LE25" s="1"/>
      <c r="LF25" s="1"/>
      <c r="LG25" s="1"/>
      <c r="LH25" s="1"/>
      <c r="LI25" s="1"/>
      <c r="LJ25" s="1"/>
      <c r="LK25" s="1"/>
      <c r="LL25" s="1"/>
      <c r="LM25" s="1"/>
      <c r="LN25" s="1"/>
      <c r="LO25" s="1"/>
      <c r="LP25" s="1"/>
      <c r="LQ25" s="1"/>
      <c r="LR25" s="1"/>
      <c r="LS25" s="1"/>
    </row>
    <row r="26" spans="1:331" s="45" customFormat="1" x14ac:dyDescent="0.25">
      <c r="A26" s="45" t="s">
        <v>146</v>
      </c>
      <c r="B26" s="47"/>
      <c r="C26" s="94" t="s">
        <v>1646</v>
      </c>
      <c r="D26" s="45">
        <v>3</v>
      </c>
      <c r="E26" s="45" t="s">
        <v>147</v>
      </c>
      <c r="F26" s="45" t="s">
        <v>147</v>
      </c>
      <c r="G26" s="45" t="s">
        <v>147</v>
      </c>
      <c r="H26" s="45" t="s">
        <v>148</v>
      </c>
      <c r="I26" s="45" t="s">
        <v>147</v>
      </c>
      <c r="J26" s="45" t="s">
        <v>87</v>
      </c>
      <c r="K26" s="45" t="s">
        <v>147</v>
      </c>
      <c r="L26" s="45">
        <v>0</v>
      </c>
      <c r="O26" s="45">
        <v>0</v>
      </c>
      <c r="Q26" s="96" t="s">
        <v>1493</v>
      </c>
      <c r="R26" s="96"/>
      <c r="T26" s="45">
        <v>8</v>
      </c>
      <c r="W26" s="96"/>
      <c r="X26" s="96"/>
      <c r="Y26" s="96"/>
      <c r="Z26" s="45">
        <v>-1</v>
      </c>
      <c r="AA26" s="94" t="b">
        <v>0</v>
      </c>
      <c r="AB26" s="1"/>
      <c r="AC26" s="57" t="s">
        <v>1232</v>
      </c>
      <c r="AD26" s="1"/>
      <c r="AE26" s="57"/>
      <c r="AF26" s="1"/>
      <c r="AG26" s="1"/>
      <c r="AH26" s="1"/>
      <c r="AI26" s="1"/>
      <c r="AJ26" s="1"/>
      <c r="AK26" s="1"/>
      <c r="AL26" s="1"/>
      <c r="AM26" s="1"/>
      <c r="AN26" s="1"/>
      <c r="AO26" s="1"/>
      <c r="AP26" s="1"/>
      <c r="AQ26" s="1"/>
      <c r="AR26" s="1"/>
      <c r="AS26" s="1"/>
      <c r="AT26" s="1"/>
      <c r="AU26" s="1"/>
      <c r="AV26" s="1"/>
      <c r="AW26" s="1"/>
      <c r="AX26" s="1"/>
      <c r="AY26" s="1"/>
      <c r="AZ26" s="1"/>
      <c r="BA26" s="1"/>
      <c r="BB26" s="1"/>
      <c r="BC26" s="1"/>
      <c r="BD26" s="1"/>
      <c r="BE26" s="1"/>
      <c r="BF26" s="1"/>
      <c r="BG26" s="1"/>
      <c r="BH26" s="1"/>
      <c r="BI26" s="1"/>
      <c r="BJ26" s="1"/>
      <c r="BK26" s="1"/>
      <c r="BL26" s="1"/>
      <c r="BM26" s="1"/>
      <c r="BN26" s="1"/>
      <c r="BO26" s="1"/>
      <c r="BP26" s="1"/>
      <c r="BQ26" s="1"/>
      <c r="BR26" s="1"/>
      <c r="BS26" s="1"/>
      <c r="BT26" s="1"/>
      <c r="BU26" s="1"/>
      <c r="BV26" s="1"/>
      <c r="BW26" s="1"/>
      <c r="BX26" s="1"/>
      <c r="BY26" s="1"/>
      <c r="BZ26" s="1"/>
      <c r="CA26" s="1"/>
      <c r="CB26" s="1"/>
      <c r="CC26" s="1"/>
      <c r="CD26" s="1"/>
      <c r="CE26" s="1"/>
      <c r="CF26" s="1"/>
      <c r="CG26" s="1"/>
      <c r="CH26" s="1"/>
      <c r="CI26" s="1"/>
      <c r="CJ26" s="1"/>
      <c r="CK26" s="1"/>
      <c r="CL26" s="1"/>
      <c r="CM26" s="1"/>
      <c r="CN26" s="1"/>
      <c r="CO26" s="1"/>
      <c r="CP26" s="1"/>
      <c r="CQ26" s="1"/>
      <c r="CR26" s="1"/>
      <c r="CS26" s="1"/>
      <c r="CT26" s="1"/>
      <c r="CU26" s="1"/>
      <c r="CV26" s="1"/>
      <c r="CW26" s="1"/>
      <c r="CX26" s="1"/>
      <c r="CY26" s="1"/>
      <c r="CZ26" s="1"/>
      <c r="DA26" s="1"/>
      <c r="DB26" s="1"/>
      <c r="DC26" s="1"/>
      <c r="DD26" s="1"/>
      <c r="DE26" s="1"/>
      <c r="DF26" s="1"/>
      <c r="DG26" s="1"/>
      <c r="DH26" s="1"/>
      <c r="DI26" s="1"/>
      <c r="DJ26" s="1"/>
      <c r="DK26" s="1"/>
      <c r="DL26" s="1"/>
      <c r="DM26" s="1"/>
      <c r="DN26" s="1"/>
      <c r="DO26" s="1"/>
      <c r="DP26" s="1"/>
      <c r="DQ26" s="1"/>
      <c r="DR26" s="1"/>
      <c r="DS26" s="1"/>
      <c r="DT26" s="1"/>
      <c r="DU26" s="1"/>
      <c r="DV26" s="1"/>
      <c r="DW26" s="1"/>
      <c r="DX26" s="1"/>
      <c r="DY26" s="1"/>
      <c r="DZ26" s="1"/>
      <c r="EA26" s="1"/>
      <c r="EB26" s="1"/>
      <c r="EC26" s="1"/>
      <c r="ED26" s="1"/>
      <c r="EE26" s="1"/>
      <c r="EF26" s="1"/>
      <c r="EG26" s="1"/>
      <c r="EH26" s="1"/>
      <c r="EI26" s="1"/>
      <c r="EJ26" s="1"/>
      <c r="EK26" s="1"/>
      <c r="EL26" s="1"/>
      <c r="EM26" s="1"/>
      <c r="EN26" s="1"/>
      <c r="EO26" s="1"/>
      <c r="EP26" s="1"/>
      <c r="EQ26" s="1"/>
      <c r="ER26" s="1"/>
      <c r="ES26" s="1"/>
      <c r="ET26" s="1"/>
      <c r="EU26" s="1"/>
      <c r="EV26" s="1"/>
      <c r="EW26" s="1"/>
      <c r="EX26" s="1"/>
      <c r="EY26" s="1"/>
      <c r="EZ26" s="1"/>
      <c r="FA26" s="1"/>
      <c r="FB26" s="1"/>
      <c r="FC26" s="1"/>
      <c r="FD26" s="1"/>
      <c r="FE26" s="1"/>
      <c r="FF26" s="1"/>
      <c r="FG26" s="1"/>
      <c r="FH26" s="1"/>
      <c r="FI26" s="1"/>
      <c r="FJ26" s="1"/>
      <c r="FK26" s="1"/>
      <c r="FL26" s="1"/>
      <c r="FM26" s="1"/>
      <c r="FN26" s="1"/>
      <c r="FO26" s="1"/>
      <c r="FP26" s="1"/>
      <c r="FQ26" s="1"/>
      <c r="FR26" s="1"/>
      <c r="FS26" s="1"/>
      <c r="FT26" s="1"/>
      <c r="FU26" s="1"/>
      <c r="FV26" s="1"/>
      <c r="FW26" s="1"/>
      <c r="FX26" s="1"/>
      <c r="FY26" s="1"/>
      <c r="FZ26" s="1"/>
      <c r="GA26" s="1"/>
      <c r="GB26" s="1"/>
      <c r="GC26" s="1"/>
      <c r="GD26" s="1"/>
      <c r="GE26" s="1"/>
      <c r="GF26" s="1"/>
      <c r="GG26" s="1"/>
      <c r="GH26" s="1"/>
      <c r="GI26" s="1"/>
      <c r="GJ26" s="1"/>
      <c r="GK26" s="1"/>
      <c r="GL26" s="1"/>
      <c r="GM26" s="1"/>
      <c r="GN26" s="1"/>
      <c r="GO26" s="1"/>
      <c r="GP26" s="1"/>
      <c r="GQ26" s="1"/>
      <c r="GR26" s="1"/>
      <c r="GS26" s="1"/>
      <c r="GT26" s="1"/>
      <c r="GU26" s="1"/>
      <c r="GV26" s="1"/>
      <c r="GW26" s="1"/>
      <c r="GX26" s="1"/>
      <c r="GY26" s="1"/>
      <c r="GZ26" s="1"/>
      <c r="HA26" s="1"/>
      <c r="HB26" s="1"/>
      <c r="HC26" s="1"/>
      <c r="HD26" s="1"/>
      <c r="HE26" s="1"/>
      <c r="HF26" s="1"/>
      <c r="HG26" s="1"/>
      <c r="HH26" s="1"/>
      <c r="HI26" s="1"/>
      <c r="HJ26" s="1"/>
      <c r="HK26" s="1"/>
      <c r="HL26" s="1"/>
      <c r="HM26" s="1"/>
      <c r="HN26" s="1"/>
      <c r="HO26" s="1"/>
      <c r="HP26" s="1"/>
      <c r="HQ26" s="1"/>
      <c r="HR26" s="1"/>
      <c r="HS26" s="1"/>
      <c r="HT26" s="1"/>
      <c r="HU26" s="1"/>
      <c r="HV26" s="1"/>
      <c r="HW26" s="1"/>
      <c r="HX26" s="1"/>
      <c r="HY26" s="1"/>
      <c r="HZ26" s="1"/>
      <c r="IA26" s="1"/>
      <c r="IB26" s="1"/>
      <c r="IC26" s="1"/>
      <c r="ID26" s="1"/>
      <c r="IE26" s="1"/>
      <c r="IF26" s="1"/>
      <c r="IG26" s="1"/>
      <c r="IH26" s="1"/>
      <c r="II26" s="1"/>
      <c r="IJ26" s="1"/>
      <c r="IK26" s="1"/>
      <c r="IL26" s="1"/>
      <c r="IM26" s="1"/>
      <c r="IN26" s="1"/>
      <c r="IO26" s="1"/>
      <c r="IP26" s="1"/>
      <c r="IQ26" s="1"/>
      <c r="IR26" s="1"/>
      <c r="IS26" s="1"/>
      <c r="IT26" s="1"/>
      <c r="IU26" s="1"/>
      <c r="IV26" s="1"/>
      <c r="IW26" s="1"/>
      <c r="IX26" s="1"/>
      <c r="IY26" s="1"/>
      <c r="IZ26" s="1"/>
      <c r="JA26" s="1"/>
      <c r="JB26" s="1"/>
      <c r="JC26" s="1"/>
      <c r="JD26" s="1"/>
      <c r="JE26" s="1"/>
      <c r="JF26" s="1"/>
      <c r="JG26" s="1"/>
      <c r="JH26" s="1"/>
      <c r="JI26" s="1"/>
      <c r="JJ26" s="1"/>
      <c r="JK26" s="1"/>
      <c r="JL26" s="1"/>
      <c r="JM26" s="1"/>
      <c r="JN26" s="1"/>
      <c r="JO26" s="1"/>
      <c r="JP26" s="1"/>
      <c r="JQ26" s="1"/>
      <c r="JR26" s="1"/>
      <c r="JS26" s="1"/>
      <c r="JT26" s="1"/>
      <c r="JU26" s="1"/>
      <c r="JV26" s="1"/>
      <c r="JW26" s="1"/>
      <c r="JX26" s="1"/>
      <c r="JY26" s="1"/>
      <c r="JZ26" s="1"/>
      <c r="KA26" s="1"/>
      <c r="KB26" s="1"/>
      <c r="KC26" s="1"/>
      <c r="KD26" s="1"/>
      <c r="KE26" s="1"/>
      <c r="KF26" s="1"/>
      <c r="KG26" s="1"/>
      <c r="KH26" s="1"/>
      <c r="KI26" s="1"/>
      <c r="KJ26" s="1"/>
      <c r="KK26" s="1"/>
      <c r="KL26" s="1"/>
      <c r="KM26" s="1"/>
      <c r="KN26" s="1"/>
      <c r="KO26" s="1"/>
      <c r="KP26" s="1"/>
      <c r="KQ26" s="1"/>
      <c r="KR26" s="1"/>
      <c r="KS26" s="1"/>
      <c r="KT26" s="1"/>
      <c r="KU26" s="1"/>
      <c r="KV26" s="1"/>
      <c r="KW26" s="1"/>
      <c r="KX26" s="1"/>
      <c r="KY26" s="1"/>
      <c r="KZ26" s="1"/>
      <c r="LA26" s="1"/>
      <c r="LB26" s="1"/>
      <c r="LC26" s="1"/>
      <c r="LD26" s="1"/>
      <c r="LE26" s="1"/>
      <c r="LF26" s="1"/>
      <c r="LG26" s="1"/>
      <c r="LH26" s="1"/>
      <c r="LI26" s="1"/>
      <c r="LJ26" s="1"/>
      <c r="LK26" s="1"/>
      <c r="LL26" s="1"/>
      <c r="LM26" s="1"/>
      <c r="LN26" s="1"/>
      <c r="LO26" s="1"/>
      <c r="LP26" s="1"/>
      <c r="LQ26" s="1"/>
      <c r="LR26" s="1"/>
      <c r="LS26" s="1"/>
    </row>
    <row r="27" spans="1:331" s="40" customFormat="1" x14ac:dyDescent="0.25">
      <c r="A27" s="40" t="s">
        <v>149</v>
      </c>
      <c r="B27" s="40" t="s">
        <v>150</v>
      </c>
      <c r="C27" s="96" t="s">
        <v>1646</v>
      </c>
      <c r="D27" s="40">
        <v>0</v>
      </c>
      <c r="H27" s="40" t="s">
        <v>151</v>
      </c>
      <c r="I27" s="40" t="s">
        <v>152</v>
      </c>
      <c r="J27" s="40" t="s">
        <v>153</v>
      </c>
      <c r="K27" s="40" t="s">
        <v>151</v>
      </c>
      <c r="L27" s="40">
        <v>0</v>
      </c>
      <c r="O27" s="40">
        <v>1</v>
      </c>
      <c r="P27" s="40" t="s">
        <v>154</v>
      </c>
      <c r="Q27" s="96" t="s">
        <v>1494</v>
      </c>
      <c r="R27" s="96"/>
      <c r="S27" s="40">
        <v>13</v>
      </c>
      <c r="U27" s="40">
        <v>12</v>
      </c>
      <c r="W27" s="96">
        <v>13</v>
      </c>
      <c r="X27" s="96"/>
      <c r="Y27" s="96"/>
      <c r="Z27" s="40">
        <v>8</v>
      </c>
      <c r="AA27" s="94" t="b">
        <v>1</v>
      </c>
      <c r="AB27" s="1"/>
      <c r="AC27" s="57" t="s">
        <v>1275</v>
      </c>
      <c r="AD27" s="1"/>
      <c r="AE27" s="57"/>
      <c r="AF27" s="1"/>
      <c r="AG27" s="1"/>
      <c r="AH27" s="1"/>
      <c r="AI27" s="1"/>
      <c r="AJ27" s="1"/>
      <c r="AK27" s="1"/>
      <c r="AL27" s="1"/>
      <c r="AM27" s="1"/>
      <c r="AN27" s="1"/>
      <c r="AO27" s="1"/>
      <c r="AP27" s="1"/>
      <c r="AQ27" s="1"/>
      <c r="AR27" s="1"/>
      <c r="AS27" s="1"/>
      <c r="AT27" s="1"/>
      <c r="AU27" s="1"/>
      <c r="AV27" s="1"/>
      <c r="AW27" s="1"/>
      <c r="AX27" s="1"/>
      <c r="AY27" s="1"/>
      <c r="AZ27" s="1"/>
      <c r="BA27" s="1"/>
      <c r="BB27" s="1"/>
      <c r="BC27" s="1"/>
      <c r="BD27" s="1"/>
      <c r="BE27" s="1"/>
      <c r="BF27" s="1"/>
      <c r="BG27" s="1"/>
      <c r="BH27" s="1"/>
      <c r="BI27" s="1"/>
      <c r="BJ27" s="1"/>
      <c r="BK27" s="1"/>
      <c r="BL27" s="1"/>
      <c r="BM27" s="1"/>
      <c r="BN27" s="1"/>
      <c r="BO27" s="1"/>
      <c r="BP27" s="1"/>
      <c r="BQ27" s="1"/>
      <c r="BR27" s="1"/>
      <c r="BS27" s="1"/>
      <c r="BT27" s="1"/>
      <c r="BU27" s="1"/>
      <c r="BV27" s="1"/>
      <c r="BW27" s="1"/>
      <c r="BX27" s="1"/>
      <c r="BY27" s="1"/>
      <c r="BZ27" s="1"/>
      <c r="CA27" s="1"/>
      <c r="CB27" s="1"/>
      <c r="CC27" s="1"/>
      <c r="CD27" s="1"/>
      <c r="CE27" s="1"/>
      <c r="CF27" s="1"/>
      <c r="CG27" s="1"/>
      <c r="CH27" s="1"/>
      <c r="CI27" s="1"/>
      <c r="CJ27" s="1"/>
      <c r="CK27" s="1"/>
      <c r="CL27" s="1"/>
      <c r="CM27" s="1"/>
      <c r="CN27" s="1"/>
      <c r="CO27" s="1"/>
      <c r="CP27" s="1"/>
      <c r="CQ27" s="1"/>
      <c r="CR27" s="1"/>
      <c r="CS27" s="1"/>
      <c r="CT27" s="1"/>
      <c r="CU27" s="1"/>
      <c r="CV27" s="1"/>
      <c r="CW27" s="1"/>
      <c r="CX27" s="1"/>
      <c r="CY27" s="1"/>
      <c r="CZ27" s="1"/>
      <c r="DA27" s="1"/>
      <c r="DB27" s="1"/>
      <c r="DC27" s="1"/>
      <c r="DD27" s="1"/>
      <c r="DE27" s="1"/>
      <c r="DF27" s="1"/>
      <c r="DG27" s="1"/>
      <c r="DH27" s="1"/>
      <c r="DI27" s="1"/>
      <c r="DJ27" s="1"/>
      <c r="DK27" s="1"/>
      <c r="DL27" s="1"/>
      <c r="DM27" s="1"/>
      <c r="DN27" s="1"/>
      <c r="DO27" s="1"/>
      <c r="DP27" s="1"/>
      <c r="DQ27" s="1"/>
      <c r="DR27" s="1"/>
      <c r="DS27" s="1"/>
      <c r="DT27" s="1"/>
      <c r="DU27" s="1"/>
      <c r="DV27" s="1"/>
      <c r="DW27" s="1"/>
      <c r="DX27" s="1"/>
      <c r="DY27" s="1"/>
      <c r="DZ27" s="1"/>
      <c r="EA27" s="1"/>
      <c r="EB27" s="1"/>
      <c r="EC27" s="1"/>
      <c r="ED27" s="1"/>
      <c r="EE27" s="1"/>
      <c r="EF27" s="1"/>
      <c r="EG27" s="1"/>
      <c r="EH27" s="1"/>
      <c r="EI27" s="1"/>
      <c r="EJ27" s="1"/>
      <c r="EK27" s="1"/>
      <c r="EL27" s="1"/>
      <c r="EM27" s="1"/>
      <c r="EN27" s="1"/>
      <c r="EO27" s="1"/>
      <c r="EP27" s="1"/>
      <c r="EQ27" s="1"/>
      <c r="ER27" s="1"/>
      <c r="ES27" s="1"/>
      <c r="ET27" s="1"/>
      <c r="EU27" s="1"/>
      <c r="EV27" s="1"/>
      <c r="EW27" s="1"/>
      <c r="EX27" s="1"/>
      <c r="EY27" s="1"/>
      <c r="EZ27" s="1"/>
      <c r="FA27" s="1"/>
      <c r="FB27" s="1"/>
      <c r="FC27" s="1"/>
      <c r="FD27" s="1"/>
      <c r="FE27" s="1"/>
      <c r="FF27" s="1"/>
      <c r="FG27" s="1"/>
      <c r="FH27" s="1"/>
      <c r="FI27" s="1"/>
      <c r="FJ27" s="1"/>
      <c r="FK27" s="1"/>
      <c r="FL27" s="1"/>
      <c r="FM27" s="1"/>
      <c r="FN27" s="1"/>
      <c r="FO27" s="1"/>
      <c r="FP27" s="1"/>
      <c r="FQ27" s="1"/>
      <c r="FR27" s="1"/>
      <c r="FS27" s="1"/>
      <c r="FT27" s="1"/>
      <c r="FU27" s="1"/>
      <c r="FV27" s="1"/>
      <c r="FW27" s="1"/>
      <c r="FX27" s="1"/>
      <c r="FY27" s="1"/>
      <c r="FZ27" s="1"/>
      <c r="GA27" s="1"/>
      <c r="GB27" s="1"/>
      <c r="GC27" s="1"/>
      <c r="GD27" s="1"/>
      <c r="GE27" s="1"/>
      <c r="GF27" s="1"/>
      <c r="GG27" s="1"/>
      <c r="GH27" s="1"/>
      <c r="GI27" s="1"/>
      <c r="GJ27" s="1"/>
      <c r="GK27" s="1"/>
      <c r="GL27" s="1"/>
      <c r="GM27" s="1"/>
      <c r="GN27" s="1"/>
      <c r="GO27" s="1"/>
      <c r="GP27" s="1"/>
      <c r="GQ27" s="1"/>
      <c r="GR27" s="1"/>
      <c r="GS27" s="1"/>
      <c r="GT27" s="1"/>
      <c r="GU27" s="1"/>
      <c r="GV27" s="1"/>
      <c r="GW27" s="1"/>
      <c r="GX27" s="1"/>
      <c r="GY27" s="1"/>
      <c r="GZ27" s="1"/>
      <c r="HA27" s="1"/>
      <c r="HB27" s="1"/>
      <c r="HC27" s="1"/>
      <c r="HD27" s="1"/>
      <c r="HE27" s="1"/>
      <c r="HF27" s="1"/>
      <c r="HG27" s="1"/>
      <c r="HH27" s="1"/>
      <c r="HI27" s="1"/>
      <c r="HJ27" s="1"/>
      <c r="HK27" s="1"/>
      <c r="HL27" s="1"/>
      <c r="HM27" s="1"/>
      <c r="HN27" s="1"/>
      <c r="HO27" s="1"/>
      <c r="HP27" s="1"/>
      <c r="HQ27" s="1"/>
      <c r="HR27" s="1"/>
      <c r="HS27" s="1"/>
      <c r="HT27" s="1"/>
      <c r="HU27" s="1"/>
      <c r="HV27" s="1"/>
      <c r="HW27" s="1"/>
      <c r="HX27" s="1"/>
      <c r="HY27" s="1"/>
      <c r="HZ27" s="1"/>
      <c r="IA27" s="1"/>
      <c r="IB27" s="1"/>
      <c r="IC27" s="1"/>
      <c r="ID27" s="1"/>
      <c r="IE27" s="1"/>
      <c r="IF27" s="1"/>
      <c r="IG27" s="1"/>
      <c r="IH27" s="1"/>
      <c r="II27" s="1"/>
      <c r="IJ27" s="1"/>
      <c r="IK27" s="1"/>
      <c r="IL27" s="1"/>
      <c r="IM27" s="1"/>
      <c r="IN27" s="1"/>
      <c r="IO27" s="1"/>
      <c r="IP27" s="1"/>
      <c r="IQ27" s="1"/>
      <c r="IR27" s="1"/>
      <c r="IS27" s="1"/>
      <c r="IT27" s="1"/>
      <c r="IU27" s="1"/>
      <c r="IV27" s="1"/>
      <c r="IW27" s="1"/>
      <c r="IX27" s="1"/>
      <c r="IY27" s="1"/>
      <c r="IZ27" s="1"/>
      <c r="JA27" s="1"/>
      <c r="JB27" s="1"/>
      <c r="JC27" s="1"/>
      <c r="JD27" s="1"/>
      <c r="JE27" s="1"/>
      <c r="JF27" s="1"/>
      <c r="JG27" s="1"/>
      <c r="JH27" s="1"/>
      <c r="JI27" s="1"/>
      <c r="JJ27" s="1"/>
      <c r="JK27" s="1"/>
      <c r="JL27" s="1"/>
      <c r="JM27" s="1"/>
      <c r="JN27" s="1"/>
      <c r="JO27" s="1"/>
      <c r="JP27" s="1"/>
      <c r="JQ27" s="1"/>
      <c r="JR27" s="1"/>
      <c r="JS27" s="1"/>
      <c r="JT27" s="1"/>
      <c r="JU27" s="1"/>
      <c r="JV27" s="1"/>
      <c r="JW27" s="1"/>
      <c r="JX27" s="1"/>
      <c r="JY27" s="1"/>
      <c r="JZ27" s="1"/>
      <c r="KA27" s="1"/>
      <c r="KB27" s="1"/>
      <c r="KC27" s="1"/>
      <c r="KD27" s="1"/>
      <c r="KE27" s="1"/>
      <c r="KF27" s="1"/>
      <c r="KG27" s="1"/>
      <c r="KH27" s="1"/>
      <c r="KI27" s="1"/>
      <c r="KJ27" s="1"/>
      <c r="KK27" s="1"/>
      <c r="KL27" s="1"/>
      <c r="KM27" s="1"/>
      <c r="KN27" s="1"/>
      <c r="KO27" s="1"/>
      <c r="KP27" s="1"/>
      <c r="KQ27" s="1"/>
      <c r="KR27" s="1"/>
      <c r="KS27" s="1"/>
      <c r="KT27" s="1"/>
      <c r="KU27" s="1"/>
      <c r="KV27" s="1"/>
      <c r="KW27" s="1"/>
      <c r="KX27" s="1"/>
      <c r="KY27" s="1"/>
      <c r="KZ27" s="1"/>
      <c r="LA27" s="1"/>
      <c r="LB27" s="1"/>
      <c r="LC27" s="1"/>
      <c r="LD27" s="1"/>
      <c r="LE27" s="1"/>
      <c r="LF27" s="1"/>
      <c r="LG27" s="1"/>
      <c r="LH27" s="1"/>
      <c r="LI27" s="1"/>
      <c r="LJ27" s="1"/>
      <c r="LK27" s="1"/>
      <c r="LL27" s="1"/>
      <c r="LM27" s="1"/>
      <c r="LN27" s="1"/>
      <c r="LO27" s="1"/>
      <c r="LP27" s="1"/>
      <c r="LQ27" s="1"/>
      <c r="LR27" s="1"/>
      <c r="LS27" s="1"/>
    </row>
    <row r="28" spans="1:331" s="25" customFormat="1" x14ac:dyDescent="0.25">
      <c r="A28" s="25" t="s">
        <v>155</v>
      </c>
      <c r="B28" s="29" t="s">
        <v>156</v>
      </c>
      <c r="C28" s="94" t="s">
        <v>1646</v>
      </c>
      <c r="D28" s="25">
        <v>0</v>
      </c>
      <c r="H28" s="25" t="s">
        <v>157</v>
      </c>
      <c r="I28" s="25" t="s">
        <v>158</v>
      </c>
      <c r="J28" s="25" t="s">
        <v>157</v>
      </c>
      <c r="K28" s="25" t="s">
        <v>158</v>
      </c>
      <c r="L28" s="25">
        <v>0</v>
      </c>
      <c r="O28" s="25">
        <v>1</v>
      </c>
      <c r="Q28" s="96" t="s">
        <v>1495</v>
      </c>
      <c r="R28" s="96"/>
      <c r="T28" s="25">
        <v>3</v>
      </c>
      <c r="W28" s="96">
        <v>3</v>
      </c>
      <c r="X28" s="96"/>
      <c r="Y28" s="96"/>
      <c r="Z28" s="25">
        <v>5</v>
      </c>
      <c r="AA28" s="94" t="b">
        <v>1</v>
      </c>
      <c r="AB28" s="1"/>
      <c r="AC28" s="57" t="s">
        <v>1276</v>
      </c>
      <c r="AD28" s="1"/>
      <c r="AE28" s="57"/>
      <c r="AF28" s="1"/>
      <c r="AG28" s="1"/>
      <c r="AH28" s="1"/>
      <c r="AI28" s="1"/>
      <c r="AJ28" s="1"/>
      <c r="AK28" s="1"/>
      <c r="AL28" s="1"/>
      <c r="AM28" s="1"/>
      <c r="AN28" s="1"/>
      <c r="AO28" s="1"/>
      <c r="AP28" s="1"/>
      <c r="AQ28" s="1"/>
      <c r="AR28" s="1"/>
      <c r="AS28" s="1"/>
      <c r="AT28" s="1"/>
      <c r="AU28" s="1"/>
      <c r="AV28" s="1"/>
      <c r="AW28" s="1"/>
      <c r="AX28" s="1"/>
      <c r="AY28" s="1"/>
      <c r="AZ28" s="1"/>
      <c r="BA28" s="1"/>
      <c r="BB28" s="1"/>
      <c r="BC28" s="1"/>
      <c r="BD28" s="1"/>
      <c r="BE28" s="1"/>
      <c r="BF28" s="1"/>
      <c r="BG28" s="1"/>
      <c r="BH28" s="1"/>
      <c r="BI28" s="1"/>
      <c r="BJ28" s="1"/>
      <c r="BK28" s="1"/>
      <c r="BL28" s="1"/>
      <c r="BM28" s="1"/>
      <c r="BN28" s="1"/>
      <c r="BO28" s="1"/>
      <c r="BP28" s="1"/>
      <c r="BQ28" s="1"/>
      <c r="BR28" s="1"/>
      <c r="BS28" s="1"/>
      <c r="BT28" s="1"/>
      <c r="BU28" s="1"/>
      <c r="BV28" s="1"/>
      <c r="BW28" s="1"/>
      <c r="BX28" s="1"/>
      <c r="BY28" s="1"/>
      <c r="BZ28" s="1"/>
      <c r="CA28" s="1"/>
      <c r="CB28" s="1"/>
      <c r="CC28" s="1"/>
      <c r="CD28" s="1"/>
      <c r="CE28" s="1"/>
      <c r="CF28" s="1"/>
      <c r="CG28" s="1"/>
      <c r="CH28" s="1"/>
      <c r="CI28" s="1"/>
      <c r="CJ28" s="1"/>
      <c r="CK28" s="1"/>
      <c r="CL28" s="1"/>
      <c r="CM28" s="1"/>
      <c r="CN28" s="1"/>
      <c r="CO28" s="1"/>
      <c r="CP28" s="1"/>
      <c r="CQ28" s="1"/>
      <c r="CR28" s="1"/>
      <c r="CS28" s="1"/>
      <c r="CT28" s="1"/>
      <c r="CU28" s="1"/>
      <c r="CV28" s="1"/>
      <c r="CW28" s="1"/>
      <c r="CX28" s="1"/>
      <c r="CY28" s="1"/>
      <c r="CZ28" s="1"/>
      <c r="DA28" s="1"/>
      <c r="DB28" s="1"/>
      <c r="DC28" s="1"/>
      <c r="DD28" s="1"/>
      <c r="DE28" s="1"/>
      <c r="DF28" s="1"/>
      <c r="DG28" s="1"/>
      <c r="DH28" s="1"/>
      <c r="DI28" s="1"/>
      <c r="DJ28" s="1"/>
      <c r="DK28" s="1"/>
      <c r="DL28" s="1"/>
      <c r="DM28" s="1"/>
      <c r="DN28" s="1"/>
      <c r="DO28" s="1"/>
      <c r="DP28" s="1"/>
      <c r="DQ28" s="1"/>
      <c r="DR28" s="1"/>
      <c r="DS28" s="1"/>
      <c r="DT28" s="1"/>
      <c r="DU28" s="1"/>
      <c r="DV28" s="1"/>
      <c r="DW28" s="1"/>
      <c r="DX28" s="1"/>
      <c r="DY28" s="1"/>
      <c r="DZ28" s="1"/>
      <c r="EA28" s="1"/>
      <c r="EB28" s="1"/>
      <c r="EC28" s="1"/>
      <c r="ED28" s="1"/>
      <c r="EE28" s="1"/>
      <c r="EF28" s="1"/>
      <c r="EG28" s="1"/>
      <c r="EH28" s="1"/>
      <c r="EI28" s="1"/>
      <c r="EJ28" s="1"/>
      <c r="EK28" s="1"/>
      <c r="EL28" s="1"/>
      <c r="EM28" s="1"/>
      <c r="EN28" s="1"/>
      <c r="EO28" s="1"/>
      <c r="EP28" s="1"/>
      <c r="EQ28" s="1"/>
      <c r="ER28" s="1"/>
      <c r="ES28" s="1"/>
      <c r="ET28" s="1"/>
      <c r="EU28" s="1"/>
      <c r="EV28" s="1"/>
      <c r="EW28" s="1"/>
      <c r="EX28" s="1"/>
      <c r="EY28" s="1"/>
      <c r="EZ28" s="1"/>
      <c r="FA28" s="1"/>
      <c r="FB28" s="1"/>
      <c r="FC28" s="1"/>
      <c r="FD28" s="1"/>
      <c r="FE28" s="1"/>
      <c r="FF28" s="1"/>
      <c r="FG28" s="1"/>
      <c r="FH28" s="1"/>
      <c r="FI28" s="1"/>
      <c r="FJ28" s="1"/>
      <c r="FK28" s="1"/>
      <c r="FL28" s="1"/>
      <c r="FM28" s="1"/>
      <c r="FN28" s="1"/>
      <c r="FO28" s="1"/>
      <c r="FP28" s="1"/>
      <c r="FQ28" s="1"/>
      <c r="FR28" s="1"/>
      <c r="FS28" s="1"/>
      <c r="FT28" s="1"/>
      <c r="FU28" s="1"/>
      <c r="FV28" s="1"/>
      <c r="FW28" s="1"/>
      <c r="FX28" s="1"/>
      <c r="FY28" s="1"/>
      <c r="FZ28" s="1"/>
      <c r="GA28" s="1"/>
      <c r="GB28" s="1"/>
      <c r="GC28" s="1"/>
      <c r="GD28" s="1"/>
      <c r="GE28" s="1"/>
      <c r="GF28" s="1"/>
      <c r="GG28" s="1"/>
      <c r="GH28" s="1"/>
      <c r="GI28" s="1"/>
      <c r="GJ28" s="1"/>
      <c r="GK28" s="1"/>
      <c r="GL28" s="1"/>
      <c r="GM28" s="1"/>
      <c r="GN28" s="1"/>
      <c r="GO28" s="1"/>
      <c r="GP28" s="1"/>
      <c r="GQ28" s="1"/>
      <c r="GR28" s="1"/>
      <c r="GS28" s="1"/>
      <c r="GT28" s="1"/>
      <c r="GU28" s="1"/>
      <c r="GV28" s="1"/>
      <c r="GW28" s="1"/>
      <c r="GX28" s="1"/>
      <c r="GY28" s="1"/>
      <c r="GZ28" s="1"/>
      <c r="HA28" s="1"/>
      <c r="HB28" s="1"/>
      <c r="HC28" s="1"/>
      <c r="HD28" s="1"/>
      <c r="HE28" s="1"/>
      <c r="HF28" s="1"/>
      <c r="HG28" s="1"/>
      <c r="HH28" s="1"/>
      <c r="HI28" s="1"/>
      <c r="HJ28" s="1"/>
      <c r="HK28" s="1"/>
      <c r="HL28" s="1"/>
      <c r="HM28" s="1"/>
      <c r="HN28" s="1"/>
      <c r="HO28" s="1"/>
      <c r="HP28" s="1"/>
      <c r="HQ28" s="1"/>
      <c r="HR28" s="1"/>
      <c r="HS28" s="1"/>
      <c r="HT28" s="1"/>
      <c r="HU28" s="1"/>
      <c r="HV28" s="1"/>
      <c r="HW28" s="1"/>
      <c r="HX28" s="1"/>
      <c r="HY28" s="1"/>
      <c r="HZ28" s="1"/>
      <c r="IA28" s="1"/>
      <c r="IB28" s="1"/>
      <c r="IC28" s="1"/>
      <c r="ID28" s="1"/>
      <c r="IE28" s="1"/>
      <c r="IF28" s="1"/>
      <c r="IG28" s="1"/>
      <c r="IH28" s="1"/>
      <c r="II28" s="1"/>
      <c r="IJ28" s="1"/>
      <c r="IK28" s="1"/>
      <c r="IL28" s="1"/>
      <c r="IM28" s="1"/>
      <c r="IN28" s="1"/>
      <c r="IO28" s="1"/>
      <c r="IP28" s="1"/>
      <c r="IQ28" s="1"/>
      <c r="IR28" s="1"/>
      <c r="IS28" s="1"/>
      <c r="IT28" s="1"/>
      <c r="IU28" s="1"/>
      <c r="IV28" s="1"/>
      <c r="IW28" s="1"/>
      <c r="IX28" s="1"/>
      <c r="IY28" s="1"/>
      <c r="IZ28" s="1"/>
      <c r="JA28" s="1"/>
      <c r="JB28" s="1"/>
      <c r="JC28" s="1"/>
      <c r="JD28" s="1"/>
      <c r="JE28" s="1"/>
      <c r="JF28" s="1"/>
      <c r="JG28" s="1"/>
      <c r="JH28" s="1"/>
      <c r="JI28" s="1"/>
      <c r="JJ28" s="1"/>
      <c r="JK28" s="1"/>
      <c r="JL28" s="1"/>
      <c r="JM28" s="1"/>
      <c r="JN28" s="1"/>
      <c r="JO28" s="1"/>
      <c r="JP28" s="1"/>
      <c r="JQ28" s="1"/>
      <c r="JR28" s="1"/>
      <c r="JS28" s="1"/>
      <c r="JT28" s="1"/>
      <c r="JU28" s="1"/>
      <c r="JV28" s="1"/>
      <c r="JW28" s="1"/>
      <c r="JX28" s="1"/>
      <c r="JY28" s="1"/>
      <c r="JZ28" s="1"/>
      <c r="KA28" s="1"/>
      <c r="KB28" s="1"/>
      <c r="KC28" s="1"/>
      <c r="KD28" s="1"/>
      <c r="KE28" s="1"/>
      <c r="KF28" s="1"/>
      <c r="KG28" s="1"/>
      <c r="KH28" s="1"/>
      <c r="KI28" s="1"/>
      <c r="KJ28" s="1"/>
      <c r="KK28" s="1"/>
      <c r="KL28" s="1"/>
      <c r="KM28" s="1"/>
      <c r="KN28" s="1"/>
      <c r="KO28" s="1"/>
      <c r="KP28" s="1"/>
      <c r="KQ28" s="1"/>
      <c r="KR28" s="1"/>
      <c r="KS28" s="1"/>
      <c r="KT28" s="1"/>
      <c r="KU28" s="1"/>
      <c r="KV28" s="1"/>
      <c r="KW28" s="1"/>
      <c r="KX28" s="1"/>
      <c r="KY28" s="1"/>
      <c r="KZ28" s="1"/>
      <c r="LA28" s="1"/>
      <c r="LB28" s="1"/>
      <c r="LC28" s="1"/>
      <c r="LD28" s="1"/>
      <c r="LE28" s="1"/>
      <c r="LF28" s="1"/>
      <c r="LG28" s="1"/>
      <c r="LH28" s="1"/>
      <c r="LI28" s="1"/>
      <c r="LJ28" s="1"/>
      <c r="LK28" s="1"/>
      <c r="LL28" s="1"/>
      <c r="LM28" s="1"/>
      <c r="LN28" s="1"/>
      <c r="LO28" s="1"/>
      <c r="LP28" s="1"/>
      <c r="LQ28" s="1"/>
      <c r="LR28" s="1"/>
      <c r="LS28" s="1"/>
    </row>
    <row r="29" spans="1:331" s="40" customFormat="1" x14ac:dyDescent="0.25">
      <c r="A29" s="40" t="s">
        <v>159</v>
      </c>
      <c r="B29" s="40" t="s">
        <v>160</v>
      </c>
      <c r="C29" s="96" t="s">
        <v>1646</v>
      </c>
      <c r="D29" s="40">
        <v>0</v>
      </c>
      <c r="H29" s="40" t="s">
        <v>161</v>
      </c>
      <c r="I29" s="40" t="s">
        <v>162</v>
      </c>
      <c r="J29" s="40" t="s">
        <v>163</v>
      </c>
      <c r="K29" s="40" t="s">
        <v>1655</v>
      </c>
      <c r="L29" s="40">
        <v>0</v>
      </c>
      <c r="O29" s="40">
        <v>1</v>
      </c>
      <c r="P29" s="40" t="s">
        <v>163</v>
      </c>
      <c r="Q29" s="96" t="s">
        <v>606</v>
      </c>
      <c r="R29" s="96"/>
      <c r="T29" s="40">
        <v>20</v>
      </c>
      <c r="W29" s="96">
        <v>20</v>
      </c>
      <c r="X29" s="96"/>
      <c r="Y29" s="96"/>
      <c r="Z29" s="40">
        <v>8</v>
      </c>
      <c r="AA29" s="94" t="b">
        <v>1</v>
      </c>
      <c r="AB29" s="1" t="s">
        <v>1894</v>
      </c>
      <c r="AC29" s="57" t="s">
        <v>1277</v>
      </c>
      <c r="AD29" s="1"/>
      <c r="AE29" s="57"/>
      <c r="AF29" s="1"/>
      <c r="AG29" s="1"/>
      <c r="AH29" s="1"/>
      <c r="AI29" s="1"/>
      <c r="AJ29" s="1"/>
      <c r="AK29" s="1"/>
      <c r="AL29" s="1"/>
      <c r="AM29" s="1"/>
      <c r="AN29" s="1"/>
      <c r="AO29" s="1"/>
      <c r="AP29" s="1"/>
      <c r="AQ29" s="1"/>
      <c r="AR29" s="1"/>
      <c r="AS29" s="1"/>
      <c r="AT29" s="1"/>
      <c r="AU29" s="1"/>
      <c r="AV29" s="1"/>
      <c r="AW29" s="1"/>
      <c r="AX29" s="1"/>
      <c r="AY29" s="1"/>
      <c r="AZ29" s="1"/>
      <c r="BA29" s="1"/>
      <c r="BB29" s="1"/>
      <c r="BC29" s="1"/>
      <c r="BD29" s="1"/>
      <c r="BE29" s="1"/>
      <c r="BF29" s="1"/>
      <c r="BG29" s="1"/>
      <c r="BH29" s="1"/>
      <c r="BI29" s="1"/>
      <c r="BJ29" s="1"/>
      <c r="BK29" s="1"/>
      <c r="BL29" s="1"/>
      <c r="BM29" s="1"/>
      <c r="BN29" s="1"/>
      <c r="BO29" s="1"/>
      <c r="BP29" s="1"/>
      <c r="BQ29" s="1"/>
      <c r="BR29" s="1"/>
      <c r="BS29" s="1"/>
      <c r="BT29" s="1"/>
      <c r="BU29" s="1"/>
      <c r="BV29" s="1"/>
      <c r="BW29" s="1"/>
      <c r="BX29" s="1"/>
      <c r="BY29" s="1"/>
      <c r="BZ29" s="1"/>
      <c r="CA29" s="1"/>
      <c r="CB29" s="1"/>
      <c r="CC29" s="1"/>
      <c r="CD29" s="1"/>
      <c r="CE29" s="1"/>
      <c r="CF29" s="1"/>
      <c r="CG29" s="1"/>
      <c r="CH29" s="1"/>
      <c r="CI29" s="1"/>
      <c r="CJ29" s="1"/>
      <c r="CK29" s="1"/>
      <c r="CL29" s="1"/>
      <c r="CM29" s="1"/>
      <c r="CN29" s="1"/>
      <c r="CO29" s="1"/>
      <c r="CP29" s="1"/>
      <c r="CQ29" s="1"/>
      <c r="CR29" s="1"/>
      <c r="CS29" s="1"/>
      <c r="CT29" s="1"/>
      <c r="CU29" s="1"/>
      <c r="CV29" s="1"/>
      <c r="CW29" s="1"/>
      <c r="CX29" s="1"/>
      <c r="CY29" s="1"/>
      <c r="CZ29" s="1"/>
      <c r="DA29" s="1"/>
      <c r="DB29" s="1"/>
      <c r="DC29" s="1"/>
      <c r="DD29" s="1"/>
      <c r="DE29" s="1"/>
      <c r="DF29" s="1"/>
      <c r="DG29" s="1"/>
      <c r="DH29" s="1"/>
      <c r="DI29" s="1"/>
      <c r="DJ29" s="1"/>
      <c r="DK29" s="1"/>
      <c r="DL29" s="1"/>
      <c r="DM29" s="1"/>
      <c r="DN29" s="1"/>
      <c r="DO29" s="1"/>
      <c r="DP29" s="1"/>
      <c r="DQ29" s="1"/>
      <c r="DR29" s="1"/>
      <c r="DS29" s="1"/>
      <c r="DT29" s="1"/>
      <c r="DU29" s="1"/>
      <c r="DV29" s="1"/>
      <c r="DW29" s="1"/>
      <c r="DX29" s="1"/>
      <c r="DY29" s="1"/>
      <c r="DZ29" s="1"/>
      <c r="EA29" s="1"/>
      <c r="EB29" s="1"/>
      <c r="EC29" s="1"/>
      <c r="ED29" s="1"/>
      <c r="EE29" s="1"/>
      <c r="EF29" s="1"/>
      <c r="EG29" s="1"/>
      <c r="EH29" s="1"/>
      <c r="EI29" s="1"/>
      <c r="EJ29" s="1"/>
      <c r="EK29" s="1"/>
      <c r="EL29" s="1"/>
      <c r="EM29" s="1"/>
      <c r="EN29" s="1"/>
      <c r="EO29" s="1"/>
      <c r="EP29" s="1"/>
      <c r="EQ29" s="1"/>
      <c r="ER29" s="1"/>
      <c r="ES29" s="1"/>
      <c r="ET29" s="1"/>
      <c r="EU29" s="1"/>
      <c r="EV29" s="1"/>
      <c r="EW29" s="1"/>
      <c r="EX29" s="1"/>
      <c r="EY29" s="1"/>
      <c r="EZ29" s="1"/>
      <c r="FA29" s="1"/>
      <c r="FB29" s="1"/>
      <c r="FC29" s="1"/>
      <c r="FD29" s="1"/>
      <c r="FE29" s="1"/>
      <c r="FF29" s="1"/>
      <c r="FG29" s="1"/>
      <c r="FH29" s="1"/>
      <c r="FI29" s="1"/>
      <c r="FJ29" s="1"/>
      <c r="FK29" s="1"/>
      <c r="FL29" s="1"/>
      <c r="FM29" s="1"/>
      <c r="FN29" s="1"/>
      <c r="FO29" s="1"/>
      <c r="FP29" s="1"/>
      <c r="FQ29" s="1"/>
      <c r="FR29" s="1"/>
      <c r="FS29" s="1"/>
      <c r="FT29" s="1"/>
      <c r="FU29" s="1"/>
      <c r="FV29" s="1"/>
      <c r="FW29" s="1"/>
      <c r="FX29" s="1"/>
      <c r="FY29" s="1"/>
      <c r="FZ29" s="1"/>
      <c r="GA29" s="1"/>
      <c r="GB29" s="1"/>
      <c r="GC29" s="1"/>
      <c r="GD29" s="1"/>
      <c r="GE29" s="1"/>
      <c r="GF29" s="1"/>
      <c r="GG29" s="1"/>
      <c r="GH29" s="1"/>
      <c r="GI29" s="1"/>
      <c r="GJ29" s="1"/>
      <c r="GK29" s="1"/>
      <c r="GL29" s="1"/>
      <c r="GM29" s="1"/>
      <c r="GN29" s="1"/>
      <c r="GO29" s="1"/>
      <c r="GP29" s="1"/>
      <c r="GQ29" s="1"/>
      <c r="GR29" s="1"/>
      <c r="GS29" s="1"/>
      <c r="GT29" s="1"/>
      <c r="GU29" s="1"/>
      <c r="GV29" s="1"/>
      <c r="GW29" s="1"/>
      <c r="GX29" s="1"/>
      <c r="GY29" s="1"/>
      <c r="GZ29" s="1"/>
      <c r="HA29" s="1"/>
      <c r="HB29" s="1"/>
      <c r="HC29" s="1"/>
      <c r="HD29" s="1"/>
      <c r="HE29" s="1"/>
      <c r="HF29" s="1"/>
      <c r="HG29" s="1"/>
      <c r="HH29" s="1"/>
      <c r="HI29" s="1"/>
      <c r="HJ29" s="1"/>
      <c r="HK29" s="1"/>
      <c r="HL29" s="1"/>
      <c r="HM29" s="1"/>
      <c r="HN29" s="1"/>
      <c r="HO29" s="1"/>
      <c r="HP29" s="1"/>
      <c r="HQ29" s="1"/>
      <c r="HR29" s="1"/>
      <c r="HS29" s="1"/>
      <c r="HT29" s="1"/>
      <c r="HU29" s="1"/>
      <c r="HV29" s="1"/>
      <c r="HW29" s="1"/>
      <c r="HX29" s="1"/>
      <c r="HY29" s="1"/>
      <c r="HZ29" s="1"/>
      <c r="IA29" s="1"/>
      <c r="IB29" s="1"/>
      <c r="IC29" s="1"/>
      <c r="ID29" s="1"/>
      <c r="IE29" s="1"/>
      <c r="IF29" s="1"/>
      <c r="IG29" s="1"/>
      <c r="IH29" s="1"/>
      <c r="II29" s="1"/>
      <c r="IJ29" s="1"/>
      <c r="IK29" s="1"/>
      <c r="IL29" s="1"/>
      <c r="IM29" s="1"/>
      <c r="IN29" s="1"/>
      <c r="IO29" s="1"/>
      <c r="IP29" s="1"/>
      <c r="IQ29" s="1"/>
      <c r="IR29" s="1"/>
      <c r="IS29" s="1"/>
      <c r="IT29" s="1"/>
      <c r="IU29" s="1"/>
      <c r="IV29" s="1"/>
      <c r="IW29" s="1"/>
      <c r="IX29" s="1"/>
      <c r="IY29" s="1"/>
      <c r="IZ29" s="1"/>
      <c r="JA29" s="1"/>
      <c r="JB29" s="1"/>
      <c r="JC29" s="1"/>
      <c r="JD29" s="1"/>
      <c r="JE29" s="1"/>
      <c r="JF29" s="1"/>
      <c r="JG29" s="1"/>
      <c r="JH29" s="1"/>
      <c r="JI29" s="1"/>
      <c r="JJ29" s="1"/>
      <c r="JK29" s="1"/>
      <c r="JL29" s="1"/>
      <c r="JM29" s="1"/>
      <c r="JN29" s="1"/>
      <c r="JO29" s="1"/>
      <c r="JP29" s="1"/>
      <c r="JQ29" s="1"/>
      <c r="JR29" s="1"/>
      <c r="JS29" s="1"/>
      <c r="JT29" s="1"/>
      <c r="JU29" s="1"/>
      <c r="JV29" s="1"/>
      <c r="JW29" s="1"/>
      <c r="JX29" s="1"/>
      <c r="JY29" s="1"/>
      <c r="JZ29" s="1"/>
      <c r="KA29" s="1"/>
      <c r="KB29" s="1"/>
      <c r="KC29" s="1"/>
      <c r="KD29" s="1"/>
      <c r="KE29" s="1"/>
      <c r="KF29" s="1"/>
      <c r="KG29" s="1"/>
      <c r="KH29" s="1"/>
      <c r="KI29" s="1"/>
      <c r="KJ29" s="1"/>
      <c r="KK29" s="1"/>
      <c r="KL29" s="1"/>
      <c r="KM29" s="1"/>
      <c r="KN29" s="1"/>
      <c r="KO29" s="1"/>
      <c r="KP29" s="1"/>
      <c r="KQ29" s="1"/>
      <c r="KR29" s="1"/>
      <c r="KS29" s="1"/>
      <c r="KT29" s="1"/>
      <c r="KU29" s="1"/>
      <c r="KV29" s="1"/>
      <c r="KW29" s="1"/>
      <c r="KX29" s="1"/>
      <c r="KY29" s="1"/>
      <c r="KZ29" s="1"/>
      <c r="LA29" s="1"/>
      <c r="LB29" s="1"/>
      <c r="LC29" s="1"/>
      <c r="LD29" s="1"/>
      <c r="LE29" s="1"/>
      <c r="LF29" s="1"/>
      <c r="LG29" s="1"/>
      <c r="LH29" s="1"/>
      <c r="LI29" s="1"/>
      <c r="LJ29" s="1"/>
      <c r="LK29" s="1"/>
      <c r="LL29" s="1"/>
      <c r="LM29" s="1"/>
      <c r="LN29" s="1"/>
      <c r="LO29" s="1"/>
      <c r="LP29" s="1"/>
      <c r="LQ29" s="1"/>
      <c r="LR29" s="1"/>
      <c r="LS29" s="1"/>
    </row>
    <row r="30" spans="1:331" s="40" customFormat="1" x14ac:dyDescent="0.25">
      <c r="A30" s="40" t="s">
        <v>164</v>
      </c>
      <c r="B30" s="40" t="s">
        <v>165</v>
      </c>
      <c r="C30" s="96" t="s">
        <v>1646</v>
      </c>
      <c r="D30" s="40">
        <v>0</v>
      </c>
      <c r="H30" s="40" t="s">
        <v>166</v>
      </c>
      <c r="I30" s="40" t="s">
        <v>167</v>
      </c>
      <c r="J30" s="40" t="s">
        <v>168</v>
      </c>
      <c r="K30" s="40" t="s">
        <v>166</v>
      </c>
      <c r="L30" s="40">
        <v>0</v>
      </c>
      <c r="O30" s="40">
        <v>1</v>
      </c>
      <c r="P30" s="40" t="s">
        <v>169</v>
      </c>
      <c r="Q30" s="96"/>
      <c r="R30" s="96" t="s">
        <v>170</v>
      </c>
      <c r="S30" s="40">
        <v>15</v>
      </c>
      <c r="U30" s="40">
        <v>15</v>
      </c>
      <c r="W30" s="96">
        <v>15</v>
      </c>
      <c r="X30" s="96"/>
      <c r="Y30" s="96"/>
      <c r="Z30" s="40">
        <v>8</v>
      </c>
      <c r="AA30" s="94" t="b">
        <v>1</v>
      </c>
      <c r="AB30" s="1"/>
      <c r="AC30" s="57" t="s">
        <v>1278</v>
      </c>
      <c r="AD30" s="1"/>
      <c r="AE30" s="57"/>
      <c r="AF30" s="1"/>
      <c r="AG30" s="1"/>
      <c r="AH30" s="1"/>
      <c r="AI30" s="1"/>
      <c r="AJ30" s="1"/>
      <c r="AK30" s="1"/>
      <c r="AL30" s="1"/>
      <c r="AM30" s="1"/>
      <c r="AN30" s="1"/>
      <c r="AO30" s="1"/>
      <c r="AP30" s="1"/>
      <c r="AQ30" s="1"/>
      <c r="AR30" s="1"/>
      <c r="AS30" s="1"/>
      <c r="AT30" s="1"/>
      <c r="AU30" s="1"/>
      <c r="AV30" s="1"/>
      <c r="AW30" s="1"/>
      <c r="AX30" s="1"/>
      <c r="AY30" s="1"/>
      <c r="AZ30" s="1"/>
      <c r="BA30" s="1"/>
      <c r="BB30" s="1"/>
      <c r="BC30" s="1"/>
      <c r="BD30" s="1"/>
      <c r="BE30" s="1"/>
      <c r="BF30" s="1"/>
      <c r="BG30" s="1"/>
      <c r="BH30" s="1"/>
      <c r="BI30" s="1"/>
      <c r="BJ30" s="1"/>
      <c r="BK30" s="1"/>
      <c r="BL30" s="1"/>
      <c r="BM30" s="1"/>
      <c r="BN30" s="1"/>
      <c r="BO30" s="1"/>
      <c r="BP30" s="1"/>
      <c r="BQ30" s="1"/>
      <c r="BR30" s="1"/>
      <c r="BS30" s="1"/>
      <c r="BT30" s="1"/>
      <c r="BU30" s="1"/>
      <c r="BV30" s="1"/>
      <c r="BW30" s="1"/>
      <c r="BX30" s="1"/>
      <c r="BY30" s="1"/>
      <c r="BZ30" s="1"/>
      <c r="CA30" s="1"/>
      <c r="CB30" s="1"/>
      <c r="CC30" s="1"/>
      <c r="CD30" s="1"/>
      <c r="CE30" s="1"/>
      <c r="CF30" s="1"/>
      <c r="CG30" s="1"/>
      <c r="CH30" s="1"/>
      <c r="CI30" s="1"/>
      <c r="CJ30" s="1"/>
      <c r="CK30" s="1"/>
      <c r="CL30" s="1"/>
      <c r="CM30" s="1"/>
      <c r="CN30" s="1"/>
      <c r="CO30" s="1"/>
      <c r="CP30" s="1"/>
      <c r="CQ30" s="1"/>
      <c r="CR30" s="1"/>
      <c r="CS30" s="1"/>
      <c r="CT30" s="1"/>
      <c r="CU30" s="1"/>
      <c r="CV30" s="1"/>
      <c r="CW30" s="1"/>
      <c r="CX30" s="1"/>
      <c r="CY30" s="1"/>
      <c r="CZ30" s="1"/>
      <c r="DA30" s="1"/>
      <c r="DB30" s="1"/>
      <c r="DC30" s="1"/>
      <c r="DD30" s="1"/>
      <c r="DE30" s="1"/>
      <c r="DF30" s="1"/>
      <c r="DG30" s="1"/>
      <c r="DH30" s="1"/>
      <c r="DI30" s="1"/>
      <c r="DJ30" s="1"/>
      <c r="DK30" s="1"/>
      <c r="DL30" s="1"/>
      <c r="DM30" s="1"/>
      <c r="DN30" s="1"/>
      <c r="DO30" s="1"/>
      <c r="DP30" s="1"/>
      <c r="DQ30" s="1"/>
      <c r="DR30" s="1"/>
      <c r="DS30" s="1"/>
      <c r="DT30" s="1"/>
      <c r="DU30" s="1"/>
      <c r="DV30" s="1"/>
      <c r="DW30" s="1"/>
      <c r="DX30" s="1"/>
      <c r="DY30" s="1"/>
      <c r="DZ30" s="1"/>
      <c r="EA30" s="1"/>
      <c r="EB30" s="1"/>
      <c r="EC30" s="1"/>
      <c r="ED30" s="1"/>
      <c r="EE30" s="1"/>
      <c r="EF30" s="1"/>
      <c r="EG30" s="1"/>
      <c r="EH30" s="1"/>
      <c r="EI30" s="1"/>
      <c r="EJ30" s="1"/>
      <c r="EK30" s="1"/>
      <c r="EL30" s="1"/>
      <c r="EM30" s="1"/>
      <c r="EN30" s="1"/>
      <c r="EO30" s="1"/>
      <c r="EP30" s="1"/>
      <c r="EQ30" s="1"/>
      <c r="ER30" s="1"/>
      <c r="ES30" s="1"/>
      <c r="ET30" s="1"/>
      <c r="EU30" s="1"/>
      <c r="EV30" s="1"/>
      <c r="EW30" s="1"/>
      <c r="EX30" s="1"/>
      <c r="EY30" s="1"/>
      <c r="EZ30" s="1"/>
      <c r="FA30" s="1"/>
      <c r="FB30" s="1"/>
      <c r="FC30" s="1"/>
      <c r="FD30" s="1"/>
      <c r="FE30" s="1"/>
      <c r="FF30" s="1"/>
      <c r="FG30" s="1"/>
      <c r="FH30" s="1"/>
      <c r="FI30" s="1"/>
      <c r="FJ30" s="1"/>
      <c r="FK30" s="1"/>
      <c r="FL30" s="1"/>
      <c r="FM30" s="1"/>
      <c r="FN30" s="1"/>
      <c r="FO30" s="1"/>
      <c r="FP30" s="1"/>
      <c r="FQ30" s="1"/>
      <c r="FR30" s="1"/>
      <c r="FS30" s="1"/>
      <c r="FT30" s="1"/>
      <c r="FU30" s="1"/>
      <c r="FV30" s="1"/>
      <c r="FW30" s="1"/>
      <c r="FX30" s="1"/>
      <c r="FY30" s="1"/>
      <c r="FZ30" s="1"/>
      <c r="GA30" s="1"/>
      <c r="GB30" s="1"/>
      <c r="GC30" s="1"/>
      <c r="GD30" s="1"/>
      <c r="GE30" s="1"/>
      <c r="GF30" s="1"/>
      <c r="GG30" s="1"/>
      <c r="GH30" s="1"/>
      <c r="GI30" s="1"/>
      <c r="GJ30" s="1"/>
      <c r="GK30" s="1"/>
      <c r="GL30" s="1"/>
      <c r="GM30" s="1"/>
      <c r="GN30" s="1"/>
      <c r="GO30" s="1"/>
      <c r="GP30" s="1"/>
      <c r="GQ30" s="1"/>
      <c r="GR30" s="1"/>
      <c r="GS30" s="1"/>
      <c r="GT30" s="1"/>
      <c r="GU30" s="1"/>
      <c r="GV30" s="1"/>
      <c r="GW30" s="1"/>
      <c r="GX30" s="1"/>
      <c r="GY30" s="1"/>
      <c r="GZ30" s="1"/>
      <c r="HA30" s="1"/>
      <c r="HB30" s="1"/>
      <c r="HC30" s="1"/>
      <c r="HD30" s="1"/>
      <c r="HE30" s="1"/>
      <c r="HF30" s="1"/>
      <c r="HG30" s="1"/>
      <c r="HH30" s="1"/>
      <c r="HI30" s="1"/>
      <c r="HJ30" s="1"/>
      <c r="HK30" s="1"/>
      <c r="HL30" s="1"/>
      <c r="HM30" s="1"/>
      <c r="HN30" s="1"/>
      <c r="HO30" s="1"/>
      <c r="HP30" s="1"/>
      <c r="HQ30" s="1"/>
      <c r="HR30" s="1"/>
      <c r="HS30" s="1"/>
      <c r="HT30" s="1"/>
      <c r="HU30" s="1"/>
      <c r="HV30" s="1"/>
      <c r="HW30" s="1"/>
      <c r="HX30" s="1"/>
      <c r="HY30" s="1"/>
      <c r="HZ30" s="1"/>
      <c r="IA30" s="1"/>
      <c r="IB30" s="1"/>
      <c r="IC30" s="1"/>
      <c r="ID30" s="1"/>
      <c r="IE30" s="1"/>
      <c r="IF30" s="1"/>
      <c r="IG30" s="1"/>
      <c r="IH30" s="1"/>
      <c r="II30" s="1"/>
      <c r="IJ30" s="1"/>
      <c r="IK30" s="1"/>
      <c r="IL30" s="1"/>
      <c r="IM30" s="1"/>
      <c r="IN30" s="1"/>
      <c r="IO30" s="1"/>
      <c r="IP30" s="1"/>
      <c r="IQ30" s="1"/>
      <c r="IR30" s="1"/>
      <c r="IS30" s="1"/>
      <c r="IT30" s="1"/>
      <c r="IU30" s="1"/>
      <c r="IV30" s="1"/>
      <c r="IW30" s="1"/>
      <c r="IX30" s="1"/>
      <c r="IY30" s="1"/>
      <c r="IZ30" s="1"/>
      <c r="JA30" s="1"/>
      <c r="JB30" s="1"/>
      <c r="JC30" s="1"/>
      <c r="JD30" s="1"/>
      <c r="JE30" s="1"/>
      <c r="JF30" s="1"/>
      <c r="JG30" s="1"/>
      <c r="JH30" s="1"/>
      <c r="JI30" s="1"/>
      <c r="JJ30" s="1"/>
      <c r="JK30" s="1"/>
      <c r="JL30" s="1"/>
      <c r="JM30" s="1"/>
      <c r="JN30" s="1"/>
      <c r="JO30" s="1"/>
      <c r="JP30" s="1"/>
      <c r="JQ30" s="1"/>
      <c r="JR30" s="1"/>
      <c r="JS30" s="1"/>
      <c r="JT30" s="1"/>
      <c r="JU30" s="1"/>
      <c r="JV30" s="1"/>
      <c r="JW30" s="1"/>
      <c r="JX30" s="1"/>
      <c r="JY30" s="1"/>
      <c r="JZ30" s="1"/>
      <c r="KA30" s="1"/>
      <c r="KB30" s="1"/>
      <c r="KC30" s="1"/>
      <c r="KD30" s="1"/>
      <c r="KE30" s="1"/>
      <c r="KF30" s="1"/>
      <c r="KG30" s="1"/>
      <c r="KH30" s="1"/>
      <c r="KI30" s="1"/>
      <c r="KJ30" s="1"/>
      <c r="KK30" s="1"/>
      <c r="KL30" s="1"/>
      <c r="KM30" s="1"/>
      <c r="KN30" s="1"/>
      <c r="KO30" s="1"/>
      <c r="KP30" s="1"/>
      <c r="KQ30" s="1"/>
      <c r="KR30" s="1"/>
      <c r="KS30" s="1"/>
      <c r="KT30" s="1"/>
      <c r="KU30" s="1"/>
      <c r="KV30" s="1"/>
      <c r="KW30" s="1"/>
      <c r="KX30" s="1"/>
      <c r="KY30" s="1"/>
      <c r="KZ30" s="1"/>
      <c r="LA30" s="1"/>
      <c r="LB30" s="1"/>
      <c r="LC30" s="1"/>
      <c r="LD30" s="1"/>
      <c r="LE30" s="1"/>
      <c r="LF30" s="1"/>
      <c r="LG30" s="1"/>
      <c r="LH30" s="1"/>
      <c r="LI30" s="1"/>
      <c r="LJ30" s="1"/>
      <c r="LK30" s="1"/>
      <c r="LL30" s="1"/>
      <c r="LM30" s="1"/>
      <c r="LN30" s="1"/>
      <c r="LO30" s="1"/>
      <c r="LP30" s="1"/>
      <c r="LQ30" s="1"/>
      <c r="LR30" s="1"/>
      <c r="LS30" s="1"/>
    </row>
    <row r="31" spans="1:331" s="40" customFormat="1" x14ac:dyDescent="0.25">
      <c r="A31" s="40" t="s">
        <v>171</v>
      </c>
      <c r="B31" s="40" t="s">
        <v>172</v>
      </c>
      <c r="C31" s="96" t="s">
        <v>1646</v>
      </c>
      <c r="D31" s="40">
        <v>0</v>
      </c>
      <c r="H31" s="40" t="s">
        <v>173</v>
      </c>
      <c r="I31" s="40" t="s">
        <v>174</v>
      </c>
      <c r="J31" s="40" t="s">
        <v>173</v>
      </c>
      <c r="K31" s="40" t="s">
        <v>173</v>
      </c>
      <c r="L31" s="40">
        <v>0</v>
      </c>
      <c r="O31" s="40">
        <v>1</v>
      </c>
      <c r="P31" s="40" t="s">
        <v>175</v>
      </c>
      <c r="Q31" s="96" t="s">
        <v>509</v>
      </c>
      <c r="R31" s="96"/>
      <c r="S31" s="40">
        <v>6</v>
      </c>
      <c r="T31" s="40">
        <v>22</v>
      </c>
      <c r="V31" s="40">
        <v>21</v>
      </c>
      <c r="W31" s="96">
        <v>22</v>
      </c>
      <c r="X31" s="96"/>
      <c r="Y31" s="96"/>
      <c r="Z31" s="40">
        <v>8</v>
      </c>
      <c r="AA31" s="94" t="b">
        <v>1</v>
      </c>
      <c r="AB31" s="1"/>
      <c r="AC31" s="57" t="s">
        <v>1279</v>
      </c>
      <c r="AD31" s="1"/>
      <c r="AE31" s="57"/>
      <c r="AF31" s="1"/>
      <c r="AG31" s="1"/>
      <c r="AH31" s="1"/>
      <c r="AI31" s="1"/>
      <c r="AJ31" s="1"/>
      <c r="AK31" s="1"/>
      <c r="AL31" s="1"/>
      <c r="AM31" s="1"/>
      <c r="AN31" s="1"/>
      <c r="AO31" s="1"/>
      <c r="AP31" s="1"/>
      <c r="AQ31" s="1"/>
      <c r="AR31" s="1"/>
      <c r="AS31" s="1"/>
      <c r="AT31" s="1"/>
      <c r="AU31" s="1"/>
      <c r="AV31" s="1"/>
      <c r="AW31" s="1"/>
      <c r="AX31" s="1"/>
      <c r="AY31" s="1"/>
      <c r="AZ31" s="1"/>
      <c r="BA31" s="1"/>
      <c r="BB31" s="1"/>
      <c r="BC31" s="1"/>
      <c r="BD31" s="1"/>
      <c r="BE31" s="1"/>
      <c r="BF31" s="1"/>
      <c r="BG31" s="1"/>
      <c r="BH31" s="1"/>
      <c r="BI31" s="1"/>
      <c r="BJ31" s="1"/>
      <c r="BK31" s="1"/>
      <c r="BL31" s="1"/>
      <c r="BM31" s="1"/>
      <c r="BN31" s="1"/>
      <c r="BO31" s="1"/>
      <c r="BP31" s="1"/>
      <c r="BQ31" s="1"/>
      <c r="BR31" s="1"/>
      <c r="BS31" s="1"/>
      <c r="BT31" s="1"/>
      <c r="BU31" s="1"/>
      <c r="BV31" s="1"/>
      <c r="BW31" s="1"/>
      <c r="BX31" s="1"/>
      <c r="BY31" s="1"/>
      <c r="BZ31" s="1"/>
      <c r="CA31" s="1"/>
      <c r="CB31" s="1"/>
      <c r="CC31" s="1"/>
      <c r="CD31" s="1"/>
      <c r="CE31" s="1"/>
      <c r="CF31" s="1"/>
      <c r="CG31" s="1"/>
      <c r="CH31" s="1"/>
      <c r="CI31" s="1"/>
      <c r="CJ31" s="1"/>
      <c r="CK31" s="1"/>
      <c r="CL31" s="1"/>
      <c r="CM31" s="1"/>
      <c r="CN31" s="1"/>
      <c r="CO31" s="1"/>
      <c r="CP31" s="1"/>
      <c r="CQ31" s="1"/>
      <c r="CR31" s="1"/>
      <c r="CS31" s="1"/>
      <c r="CT31" s="1"/>
      <c r="CU31" s="1"/>
      <c r="CV31" s="1"/>
      <c r="CW31" s="1"/>
      <c r="CX31" s="1"/>
      <c r="CY31" s="1"/>
      <c r="CZ31" s="1"/>
      <c r="DA31" s="1"/>
      <c r="DB31" s="1"/>
      <c r="DC31" s="1"/>
      <c r="DD31" s="1"/>
      <c r="DE31" s="1"/>
      <c r="DF31" s="1"/>
      <c r="DG31" s="1"/>
      <c r="DH31" s="1"/>
      <c r="DI31" s="1"/>
      <c r="DJ31" s="1"/>
      <c r="DK31" s="1"/>
      <c r="DL31" s="1"/>
      <c r="DM31" s="1"/>
      <c r="DN31" s="1"/>
      <c r="DO31" s="1"/>
      <c r="DP31" s="1"/>
      <c r="DQ31" s="1"/>
      <c r="DR31" s="1"/>
      <c r="DS31" s="1"/>
      <c r="DT31" s="1"/>
      <c r="DU31" s="1"/>
      <c r="DV31" s="1"/>
      <c r="DW31" s="1"/>
      <c r="DX31" s="1"/>
      <c r="DY31" s="1"/>
      <c r="DZ31" s="1"/>
      <c r="EA31" s="1"/>
      <c r="EB31" s="1"/>
      <c r="EC31" s="1"/>
      <c r="ED31" s="1"/>
      <c r="EE31" s="1"/>
      <c r="EF31" s="1"/>
      <c r="EG31" s="1"/>
      <c r="EH31" s="1"/>
      <c r="EI31" s="1"/>
      <c r="EJ31" s="1"/>
      <c r="EK31" s="1"/>
      <c r="EL31" s="1"/>
      <c r="EM31" s="1"/>
      <c r="EN31" s="1"/>
      <c r="EO31" s="1"/>
      <c r="EP31" s="1"/>
      <c r="EQ31" s="1"/>
      <c r="ER31" s="1"/>
      <c r="ES31" s="1"/>
      <c r="ET31" s="1"/>
      <c r="EU31" s="1"/>
      <c r="EV31" s="1"/>
      <c r="EW31" s="1"/>
      <c r="EX31" s="1"/>
      <c r="EY31" s="1"/>
      <c r="EZ31" s="1"/>
      <c r="FA31" s="1"/>
      <c r="FB31" s="1"/>
      <c r="FC31" s="1"/>
      <c r="FD31" s="1"/>
      <c r="FE31" s="1"/>
      <c r="FF31" s="1"/>
      <c r="FG31" s="1"/>
      <c r="FH31" s="1"/>
      <c r="FI31" s="1"/>
      <c r="FJ31" s="1"/>
      <c r="FK31" s="1"/>
      <c r="FL31" s="1"/>
      <c r="FM31" s="1"/>
      <c r="FN31" s="1"/>
      <c r="FO31" s="1"/>
      <c r="FP31" s="1"/>
      <c r="FQ31" s="1"/>
      <c r="FR31" s="1"/>
      <c r="FS31" s="1"/>
      <c r="FT31" s="1"/>
      <c r="FU31" s="1"/>
      <c r="FV31" s="1"/>
      <c r="FW31" s="1"/>
      <c r="FX31" s="1"/>
      <c r="FY31" s="1"/>
      <c r="FZ31" s="1"/>
      <c r="GA31" s="1"/>
      <c r="GB31" s="1"/>
      <c r="GC31" s="1"/>
      <c r="GD31" s="1"/>
      <c r="GE31" s="1"/>
      <c r="GF31" s="1"/>
      <c r="GG31" s="1"/>
      <c r="GH31" s="1"/>
      <c r="GI31" s="1"/>
      <c r="GJ31" s="1"/>
      <c r="GK31" s="1"/>
      <c r="GL31" s="1"/>
      <c r="GM31" s="1"/>
      <c r="GN31" s="1"/>
      <c r="GO31" s="1"/>
      <c r="GP31" s="1"/>
      <c r="GQ31" s="1"/>
      <c r="GR31" s="1"/>
      <c r="GS31" s="1"/>
      <c r="GT31" s="1"/>
      <c r="GU31" s="1"/>
      <c r="GV31" s="1"/>
      <c r="GW31" s="1"/>
      <c r="GX31" s="1"/>
      <c r="GY31" s="1"/>
      <c r="GZ31" s="1"/>
      <c r="HA31" s="1"/>
      <c r="HB31" s="1"/>
      <c r="HC31" s="1"/>
      <c r="HD31" s="1"/>
      <c r="HE31" s="1"/>
      <c r="HF31" s="1"/>
      <c r="HG31" s="1"/>
      <c r="HH31" s="1"/>
      <c r="HI31" s="1"/>
      <c r="HJ31" s="1"/>
      <c r="HK31" s="1"/>
      <c r="HL31" s="1"/>
      <c r="HM31" s="1"/>
      <c r="HN31" s="1"/>
      <c r="HO31" s="1"/>
      <c r="HP31" s="1"/>
      <c r="HQ31" s="1"/>
      <c r="HR31" s="1"/>
      <c r="HS31" s="1"/>
      <c r="HT31" s="1"/>
      <c r="HU31" s="1"/>
      <c r="HV31" s="1"/>
      <c r="HW31" s="1"/>
      <c r="HX31" s="1"/>
      <c r="HY31" s="1"/>
      <c r="HZ31" s="1"/>
      <c r="IA31" s="1"/>
      <c r="IB31" s="1"/>
      <c r="IC31" s="1"/>
      <c r="ID31" s="1"/>
      <c r="IE31" s="1"/>
      <c r="IF31" s="1"/>
      <c r="IG31" s="1"/>
      <c r="IH31" s="1"/>
      <c r="II31" s="1"/>
      <c r="IJ31" s="1"/>
      <c r="IK31" s="1"/>
      <c r="IL31" s="1"/>
      <c r="IM31" s="1"/>
      <c r="IN31" s="1"/>
      <c r="IO31" s="1"/>
      <c r="IP31" s="1"/>
      <c r="IQ31" s="1"/>
      <c r="IR31" s="1"/>
      <c r="IS31" s="1"/>
      <c r="IT31" s="1"/>
      <c r="IU31" s="1"/>
      <c r="IV31" s="1"/>
      <c r="IW31" s="1"/>
      <c r="IX31" s="1"/>
      <c r="IY31" s="1"/>
      <c r="IZ31" s="1"/>
      <c r="JA31" s="1"/>
      <c r="JB31" s="1"/>
      <c r="JC31" s="1"/>
      <c r="JD31" s="1"/>
      <c r="JE31" s="1"/>
      <c r="JF31" s="1"/>
      <c r="JG31" s="1"/>
      <c r="JH31" s="1"/>
      <c r="JI31" s="1"/>
      <c r="JJ31" s="1"/>
      <c r="JK31" s="1"/>
      <c r="JL31" s="1"/>
      <c r="JM31" s="1"/>
      <c r="JN31" s="1"/>
      <c r="JO31" s="1"/>
      <c r="JP31" s="1"/>
      <c r="JQ31" s="1"/>
      <c r="JR31" s="1"/>
      <c r="JS31" s="1"/>
      <c r="JT31" s="1"/>
      <c r="JU31" s="1"/>
      <c r="JV31" s="1"/>
      <c r="JW31" s="1"/>
      <c r="JX31" s="1"/>
      <c r="JY31" s="1"/>
      <c r="JZ31" s="1"/>
      <c r="KA31" s="1"/>
      <c r="KB31" s="1"/>
      <c r="KC31" s="1"/>
      <c r="KD31" s="1"/>
      <c r="KE31" s="1"/>
      <c r="KF31" s="1"/>
      <c r="KG31" s="1"/>
      <c r="KH31" s="1"/>
      <c r="KI31" s="1"/>
      <c r="KJ31" s="1"/>
      <c r="KK31" s="1"/>
      <c r="KL31" s="1"/>
      <c r="KM31" s="1"/>
      <c r="KN31" s="1"/>
      <c r="KO31" s="1"/>
      <c r="KP31" s="1"/>
      <c r="KQ31" s="1"/>
      <c r="KR31" s="1"/>
      <c r="KS31" s="1"/>
      <c r="KT31" s="1"/>
      <c r="KU31" s="1"/>
      <c r="KV31" s="1"/>
      <c r="KW31" s="1"/>
      <c r="KX31" s="1"/>
      <c r="KY31" s="1"/>
      <c r="KZ31" s="1"/>
      <c r="LA31" s="1"/>
      <c r="LB31" s="1"/>
      <c r="LC31" s="1"/>
      <c r="LD31" s="1"/>
      <c r="LE31" s="1"/>
      <c r="LF31" s="1"/>
      <c r="LG31" s="1"/>
      <c r="LH31" s="1"/>
      <c r="LI31" s="1"/>
      <c r="LJ31" s="1"/>
      <c r="LK31" s="1"/>
      <c r="LL31" s="1"/>
      <c r="LM31" s="1"/>
      <c r="LN31" s="1"/>
      <c r="LO31" s="1"/>
      <c r="LP31" s="1"/>
      <c r="LQ31" s="1"/>
      <c r="LR31" s="1"/>
      <c r="LS31" s="1"/>
    </row>
    <row r="32" spans="1:331" s="45" customFormat="1" x14ac:dyDescent="0.25">
      <c r="A32" s="45" t="s">
        <v>176</v>
      </c>
      <c r="B32" s="45" t="s">
        <v>177</v>
      </c>
      <c r="C32" s="96" t="s">
        <v>1646</v>
      </c>
      <c r="D32" s="45">
        <v>0</v>
      </c>
      <c r="H32" s="45" t="s">
        <v>178</v>
      </c>
      <c r="I32" s="45" t="s">
        <v>179</v>
      </c>
      <c r="J32" s="45" t="s">
        <v>180</v>
      </c>
      <c r="K32" s="45" t="s">
        <v>179</v>
      </c>
      <c r="L32" s="45">
        <v>0</v>
      </c>
      <c r="O32" s="45">
        <v>1</v>
      </c>
      <c r="P32" s="45" t="s">
        <v>180</v>
      </c>
      <c r="Q32" s="96" t="s">
        <v>174</v>
      </c>
      <c r="R32" s="96"/>
      <c r="S32" s="45">
        <v>18</v>
      </c>
      <c r="W32" s="96"/>
      <c r="X32" s="96"/>
      <c r="Y32" s="96"/>
      <c r="Z32" s="45">
        <v>-1</v>
      </c>
      <c r="AA32" s="94" t="b">
        <v>0</v>
      </c>
      <c r="AB32" s="1" t="s">
        <v>1890</v>
      </c>
      <c r="AC32" s="57" t="s">
        <v>1923</v>
      </c>
      <c r="AD32" s="1"/>
      <c r="AE32" s="57"/>
      <c r="AF32" s="1"/>
      <c r="AG32" s="1"/>
      <c r="AH32" s="1"/>
      <c r="AI32" s="1"/>
      <c r="AJ32" s="1"/>
      <c r="AK32" s="1"/>
      <c r="AL32" s="1"/>
      <c r="AM32" s="1"/>
      <c r="AN32" s="1"/>
      <c r="AO32" s="1"/>
      <c r="AP32" s="1"/>
      <c r="AQ32" s="1"/>
      <c r="AR32" s="1"/>
      <c r="AS32" s="1"/>
      <c r="AT32" s="1"/>
      <c r="AU32" s="1"/>
      <c r="AV32" s="1"/>
      <c r="AW32" s="1"/>
      <c r="AX32" s="1"/>
      <c r="AY32" s="1"/>
      <c r="AZ32" s="1"/>
      <c r="BA32" s="1"/>
      <c r="BB32" s="1"/>
      <c r="BC32" s="1"/>
      <c r="BD32" s="1"/>
      <c r="BE32" s="1"/>
      <c r="BF32" s="1"/>
      <c r="BG32" s="1"/>
      <c r="BH32" s="1"/>
      <c r="BI32" s="1"/>
      <c r="BJ32" s="1"/>
      <c r="BK32" s="1"/>
      <c r="BL32" s="1"/>
      <c r="BM32" s="1"/>
      <c r="BN32" s="1"/>
      <c r="BO32" s="1"/>
      <c r="BP32" s="1"/>
      <c r="BQ32" s="1"/>
      <c r="BR32" s="1"/>
      <c r="BS32" s="1"/>
      <c r="BT32" s="1"/>
      <c r="BU32" s="1"/>
      <c r="BV32" s="1"/>
      <c r="BW32" s="1"/>
      <c r="BX32" s="1"/>
      <c r="BY32" s="1"/>
      <c r="BZ32" s="1"/>
      <c r="CA32" s="1"/>
      <c r="CB32" s="1"/>
      <c r="CC32" s="1"/>
      <c r="CD32" s="1"/>
      <c r="CE32" s="1"/>
      <c r="CF32" s="1"/>
      <c r="CG32" s="1"/>
      <c r="CH32" s="1"/>
      <c r="CI32" s="1"/>
      <c r="CJ32" s="1"/>
      <c r="CK32" s="1"/>
      <c r="CL32" s="1"/>
      <c r="CM32" s="1"/>
      <c r="CN32" s="1"/>
      <c r="CO32" s="1"/>
      <c r="CP32" s="1"/>
      <c r="CQ32" s="1"/>
      <c r="CR32" s="1"/>
      <c r="CS32" s="1"/>
      <c r="CT32" s="1"/>
      <c r="CU32" s="1"/>
      <c r="CV32" s="1"/>
      <c r="CW32" s="1"/>
      <c r="CX32" s="1"/>
      <c r="CY32" s="1"/>
      <c r="CZ32" s="1"/>
      <c r="DA32" s="1"/>
      <c r="DB32" s="1"/>
      <c r="DC32" s="1"/>
      <c r="DD32" s="1"/>
      <c r="DE32" s="1"/>
      <c r="DF32" s="1"/>
      <c r="DG32" s="1"/>
      <c r="DH32" s="1"/>
      <c r="DI32" s="1"/>
      <c r="DJ32" s="1"/>
      <c r="DK32" s="1"/>
      <c r="DL32" s="1"/>
      <c r="DM32" s="1"/>
      <c r="DN32" s="1"/>
      <c r="DO32" s="1"/>
      <c r="DP32" s="1"/>
      <c r="DQ32" s="1"/>
      <c r="DR32" s="1"/>
      <c r="DS32" s="1"/>
      <c r="DT32" s="1"/>
      <c r="DU32" s="1"/>
      <c r="DV32" s="1"/>
      <c r="DW32" s="1"/>
      <c r="DX32" s="1"/>
      <c r="DY32" s="1"/>
      <c r="DZ32" s="1"/>
      <c r="EA32" s="1"/>
      <c r="EB32" s="1"/>
      <c r="EC32" s="1"/>
      <c r="ED32" s="1"/>
      <c r="EE32" s="1"/>
      <c r="EF32" s="1"/>
      <c r="EG32" s="1"/>
      <c r="EH32" s="1"/>
      <c r="EI32" s="1"/>
      <c r="EJ32" s="1"/>
      <c r="EK32" s="1"/>
      <c r="EL32" s="1"/>
      <c r="EM32" s="1"/>
      <c r="EN32" s="1"/>
      <c r="EO32" s="1"/>
      <c r="EP32" s="1"/>
      <c r="EQ32" s="1"/>
      <c r="ER32" s="1"/>
      <c r="ES32" s="1"/>
      <c r="ET32" s="1"/>
      <c r="EU32" s="1"/>
      <c r="EV32" s="1"/>
      <c r="EW32" s="1"/>
      <c r="EX32" s="1"/>
      <c r="EY32" s="1"/>
      <c r="EZ32" s="1"/>
      <c r="FA32" s="1"/>
      <c r="FB32" s="1"/>
      <c r="FC32" s="1"/>
      <c r="FD32" s="1"/>
      <c r="FE32" s="1"/>
      <c r="FF32" s="1"/>
      <c r="FG32" s="1"/>
      <c r="FH32" s="1"/>
      <c r="FI32" s="1"/>
      <c r="FJ32" s="1"/>
      <c r="FK32" s="1"/>
      <c r="FL32" s="1"/>
      <c r="FM32" s="1"/>
      <c r="FN32" s="1"/>
      <c r="FO32" s="1"/>
      <c r="FP32" s="1"/>
      <c r="FQ32" s="1"/>
      <c r="FR32" s="1"/>
      <c r="FS32" s="1"/>
      <c r="FT32" s="1"/>
      <c r="FU32" s="1"/>
      <c r="FV32" s="1"/>
      <c r="FW32" s="1"/>
      <c r="FX32" s="1"/>
      <c r="FY32" s="1"/>
      <c r="FZ32" s="1"/>
      <c r="GA32" s="1"/>
      <c r="GB32" s="1"/>
      <c r="GC32" s="1"/>
      <c r="GD32" s="1"/>
      <c r="GE32" s="1"/>
      <c r="GF32" s="1"/>
      <c r="GG32" s="1"/>
      <c r="GH32" s="1"/>
      <c r="GI32" s="1"/>
      <c r="GJ32" s="1"/>
      <c r="GK32" s="1"/>
      <c r="GL32" s="1"/>
      <c r="GM32" s="1"/>
      <c r="GN32" s="1"/>
      <c r="GO32" s="1"/>
      <c r="GP32" s="1"/>
      <c r="GQ32" s="1"/>
      <c r="GR32" s="1"/>
      <c r="GS32" s="1"/>
      <c r="GT32" s="1"/>
      <c r="GU32" s="1"/>
      <c r="GV32" s="1"/>
      <c r="GW32" s="1"/>
      <c r="GX32" s="1"/>
      <c r="GY32" s="1"/>
      <c r="GZ32" s="1"/>
      <c r="HA32" s="1"/>
      <c r="HB32" s="1"/>
      <c r="HC32" s="1"/>
      <c r="HD32" s="1"/>
      <c r="HE32" s="1"/>
      <c r="HF32" s="1"/>
      <c r="HG32" s="1"/>
      <c r="HH32" s="1"/>
      <c r="HI32" s="1"/>
      <c r="HJ32" s="1"/>
      <c r="HK32" s="1"/>
      <c r="HL32" s="1"/>
      <c r="HM32" s="1"/>
      <c r="HN32" s="1"/>
      <c r="HO32" s="1"/>
      <c r="HP32" s="1"/>
      <c r="HQ32" s="1"/>
      <c r="HR32" s="1"/>
      <c r="HS32" s="1"/>
      <c r="HT32" s="1"/>
      <c r="HU32" s="1"/>
      <c r="HV32" s="1"/>
      <c r="HW32" s="1"/>
      <c r="HX32" s="1"/>
      <c r="HY32" s="1"/>
      <c r="HZ32" s="1"/>
      <c r="IA32" s="1"/>
      <c r="IB32" s="1"/>
      <c r="IC32" s="1"/>
      <c r="ID32" s="1"/>
      <c r="IE32" s="1"/>
      <c r="IF32" s="1"/>
      <c r="IG32" s="1"/>
      <c r="IH32" s="1"/>
      <c r="II32" s="1"/>
      <c r="IJ32" s="1"/>
      <c r="IK32" s="1"/>
      <c r="IL32" s="1"/>
      <c r="IM32" s="1"/>
      <c r="IN32" s="1"/>
      <c r="IO32" s="1"/>
      <c r="IP32" s="1"/>
      <c r="IQ32" s="1"/>
      <c r="IR32" s="1"/>
      <c r="IS32" s="1"/>
      <c r="IT32" s="1"/>
      <c r="IU32" s="1"/>
      <c r="IV32" s="1"/>
      <c r="IW32" s="1"/>
      <c r="IX32" s="1"/>
      <c r="IY32" s="1"/>
      <c r="IZ32" s="1"/>
      <c r="JA32" s="1"/>
      <c r="JB32" s="1"/>
      <c r="JC32" s="1"/>
      <c r="JD32" s="1"/>
      <c r="JE32" s="1"/>
      <c r="JF32" s="1"/>
      <c r="JG32" s="1"/>
      <c r="JH32" s="1"/>
      <c r="JI32" s="1"/>
      <c r="JJ32" s="1"/>
      <c r="JK32" s="1"/>
      <c r="JL32" s="1"/>
      <c r="JM32" s="1"/>
      <c r="JN32" s="1"/>
      <c r="JO32" s="1"/>
      <c r="JP32" s="1"/>
      <c r="JQ32" s="1"/>
      <c r="JR32" s="1"/>
      <c r="JS32" s="1"/>
      <c r="JT32" s="1"/>
      <c r="JU32" s="1"/>
      <c r="JV32" s="1"/>
      <c r="JW32" s="1"/>
      <c r="JX32" s="1"/>
      <c r="JY32" s="1"/>
      <c r="JZ32" s="1"/>
      <c r="KA32" s="1"/>
      <c r="KB32" s="1"/>
      <c r="KC32" s="1"/>
      <c r="KD32" s="1"/>
      <c r="KE32" s="1"/>
      <c r="KF32" s="1"/>
      <c r="KG32" s="1"/>
      <c r="KH32" s="1"/>
      <c r="KI32" s="1"/>
      <c r="KJ32" s="1"/>
      <c r="KK32" s="1"/>
      <c r="KL32" s="1"/>
      <c r="KM32" s="1"/>
      <c r="KN32" s="1"/>
      <c r="KO32" s="1"/>
      <c r="KP32" s="1"/>
      <c r="KQ32" s="1"/>
      <c r="KR32" s="1"/>
      <c r="KS32" s="1"/>
      <c r="KT32" s="1"/>
      <c r="KU32" s="1"/>
      <c r="KV32" s="1"/>
      <c r="KW32" s="1"/>
      <c r="KX32" s="1"/>
      <c r="KY32" s="1"/>
      <c r="KZ32" s="1"/>
      <c r="LA32" s="1"/>
      <c r="LB32" s="1"/>
      <c r="LC32" s="1"/>
      <c r="LD32" s="1"/>
      <c r="LE32" s="1"/>
      <c r="LF32" s="1"/>
      <c r="LG32" s="1"/>
      <c r="LH32" s="1"/>
      <c r="LI32" s="1"/>
      <c r="LJ32" s="1"/>
      <c r="LK32" s="1"/>
      <c r="LL32" s="1"/>
      <c r="LM32" s="1"/>
      <c r="LN32" s="1"/>
      <c r="LO32" s="1"/>
      <c r="LP32" s="1"/>
      <c r="LQ32" s="1"/>
      <c r="LR32" s="1"/>
      <c r="LS32" s="1"/>
    </row>
    <row r="33" spans="1:331" s="40" customFormat="1" x14ac:dyDescent="0.25">
      <c r="A33" s="40" t="s">
        <v>181</v>
      </c>
      <c r="B33" s="40" t="s">
        <v>182</v>
      </c>
      <c r="C33" s="96" t="s">
        <v>1646</v>
      </c>
      <c r="D33" s="40">
        <v>0</v>
      </c>
      <c r="H33" s="40" t="s">
        <v>183</v>
      </c>
      <c r="I33" s="40" t="s">
        <v>184</v>
      </c>
      <c r="J33" s="40" t="s">
        <v>185</v>
      </c>
      <c r="K33" s="40" t="s">
        <v>184</v>
      </c>
      <c r="L33" s="40">
        <v>0</v>
      </c>
      <c r="O33" s="40">
        <v>1</v>
      </c>
      <c r="P33" s="40" t="s">
        <v>186</v>
      </c>
      <c r="Q33" s="96" t="s">
        <v>1496</v>
      </c>
      <c r="R33" s="96"/>
      <c r="S33" s="40">
        <v>12</v>
      </c>
      <c r="U33" s="40">
        <v>14</v>
      </c>
      <c r="W33" s="96">
        <v>12</v>
      </c>
      <c r="X33" s="96"/>
      <c r="Y33" s="96"/>
      <c r="Z33" s="40">
        <v>8</v>
      </c>
      <c r="AA33" s="94" t="b">
        <v>1</v>
      </c>
      <c r="AB33" s="1"/>
      <c r="AC33" s="57" t="s">
        <v>1280</v>
      </c>
      <c r="AD33" s="1"/>
      <c r="AE33" s="57"/>
      <c r="AF33" s="1"/>
      <c r="AG33" s="1"/>
      <c r="AH33" s="1"/>
      <c r="AI33" s="1"/>
      <c r="AJ33" s="1"/>
      <c r="AK33" s="1"/>
      <c r="AL33" s="1"/>
      <c r="AM33" s="1"/>
      <c r="AN33" s="1"/>
      <c r="AO33" s="1"/>
      <c r="AP33" s="1"/>
      <c r="AQ33" s="1"/>
      <c r="AR33" s="1"/>
      <c r="AS33" s="1"/>
      <c r="AT33" s="1"/>
      <c r="AU33" s="1"/>
      <c r="AV33" s="1"/>
      <c r="AW33" s="1"/>
      <c r="AX33" s="1"/>
      <c r="AY33" s="1"/>
      <c r="AZ33" s="1"/>
      <c r="BA33" s="1"/>
      <c r="BB33" s="1"/>
      <c r="BC33" s="1"/>
      <c r="BD33" s="1"/>
      <c r="BE33" s="1"/>
      <c r="BF33" s="1"/>
      <c r="BG33" s="1"/>
      <c r="BH33" s="1"/>
      <c r="BI33" s="1"/>
      <c r="BJ33" s="1"/>
      <c r="BK33" s="1"/>
      <c r="BL33" s="1"/>
      <c r="BM33" s="1"/>
      <c r="BN33" s="1"/>
      <c r="BO33" s="1"/>
      <c r="BP33" s="1"/>
      <c r="BQ33" s="1"/>
      <c r="BR33" s="1"/>
      <c r="BS33" s="1"/>
      <c r="BT33" s="1"/>
      <c r="BU33" s="1"/>
      <c r="BV33" s="1"/>
      <c r="BW33" s="1"/>
      <c r="BX33" s="1"/>
      <c r="BY33" s="1"/>
      <c r="BZ33" s="1"/>
      <c r="CA33" s="1"/>
      <c r="CB33" s="1"/>
      <c r="CC33" s="1"/>
      <c r="CD33" s="1"/>
      <c r="CE33" s="1"/>
      <c r="CF33" s="1"/>
      <c r="CG33" s="1"/>
      <c r="CH33" s="1"/>
      <c r="CI33" s="1"/>
      <c r="CJ33" s="1"/>
      <c r="CK33" s="1"/>
      <c r="CL33" s="1"/>
      <c r="CM33" s="1"/>
      <c r="CN33" s="1"/>
      <c r="CO33" s="1"/>
      <c r="CP33" s="1"/>
      <c r="CQ33" s="1"/>
      <c r="CR33" s="1"/>
      <c r="CS33" s="1"/>
      <c r="CT33" s="1"/>
      <c r="CU33" s="1"/>
      <c r="CV33" s="1"/>
      <c r="CW33" s="1"/>
      <c r="CX33" s="1"/>
      <c r="CY33" s="1"/>
      <c r="CZ33" s="1"/>
      <c r="DA33" s="1"/>
      <c r="DB33" s="1"/>
      <c r="DC33" s="1"/>
      <c r="DD33" s="1"/>
      <c r="DE33" s="1"/>
      <c r="DF33" s="1"/>
      <c r="DG33" s="1"/>
      <c r="DH33" s="1"/>
      <c r="DI33" s="1"/>
      <c r="DJ33" s="1"/>
      <c r="DK33" s="1"/>
      <c r="DL33" s="1"/>
      <c r="DM33" s="1"/>
      <c r="DN33" s="1"/>
      <c r="DO33" s="1"/>
      <c r="DP33" s="1"/>
      <c r="DQ33" s="1"/>
      <c r="DR33" s="1"/>
      <c r="DS33" s="1"/>
      <c r="DT33" s="1"/>
      <c r="DU33" s="1"/>
      <c r="DV33" s="1"/>
      <c r="DW33" s="1"/>
      <c r="DX33" s="1"/>
      <c r="DY33" s="1"/>
      <c r="DZ33" s="1"/>
      <c r="EA33" s="1"/>
      <c r="EB33" s="1"/>
      <c r="EC33" s="1"/>
      <c r="ED33" s="1"/>
      <c r="EE33" s="1"/>
      <c r="EF33" s="1"/>
      <c r="EG33" s="1"/>
      <c r="EH33" s="1"/>
      <c r="EI33" s="1"/>
      <c r="EJ33" s="1"/>
      <c r="EK33" s="1"/>
      <c r="EL33" s="1"/>
      <c r="EM33" s="1"/>
      <c r="EN33" s="1"/>
      <c r="EO33" s="1"/>
      <c r="EP33" s="1"/>
      <c r="EQ33" s="1"/>
      <c r="ER33" s="1"/>
      <c r="ES33" s="1"/>
      <c r="ET33" s="1"/>
      <c r="EU33" s="1"/>
      <c r="EV33" s="1"/>
      <c r="EW33" s="1"/>
      <c r="EX33" s="1"/>
      <c r="EY33" s="1"/>
      <c r="EZ33" s="1"/>
      <c r="FA33" s="1"/>
      <c r="FB33" s="1"/>
      <c r="FC33" s="1"/>
      <c r="FD33" s="1"/>
      <c r="FE33" s="1"/>
      <c r="FF33" s="1"/>
      <c r="FG33" s="1"/>
      <c r="FH33" s="1"/>
      <c r="FI33" s="1"/>
      <c r="FJ33" s="1"/>
      <c r="FK33" s="1"/>
      <c r="FL33" s="1"/>
      <c r="FM33" s="1"/>
      <c r="FN33" s="1"/>
      <c r="FO33" s="1"/>
      <c r="FP33" s="1"/>
      <c r="FQ33" s="1"/>
      <c r="FR33" s="1"/>
      <c r="FS33" s="1"/>
      <c r="FT33" s="1"/>
      <c r="FU33" s="1"/>
      <c r="FV33" s="1"/>
      <c r="FW33" s="1"/>
      <c r="FX33" s="1"/>
      <c r="FY33" s="1"/>
      <c r="FZ33" s="1"/>
      <c r="GA33" s="1"/>
      <c r="GB33" s="1"/>
      <c r="GC33" s="1"/>
      <c r="GD33" s="1"/>
      <c r="GE33" s="1"/>
      <c r="GF33" s="1"/>
      <c r="GG33" s="1"/>
      <c r="GH33" s="1"/>
      <c r="GI33" s="1"/>
      <c r="GJ33" s="1"/>
      <c r="GK33" s="1"/>
      <c r="GL33" s="1"/>
      <c r="GM33" s="1"/>
      <c r="GN33" s="1"/>
      <c r="GO33" s="1"/>
      <c r="GP33" s="1"/>
      <c r="GQ33" s="1"/>
      <c r="GR33" s="1"/>
      <c r="GS33" s="1"/>
      <c r="GT33" s="1"/>
      <c r="GU33" s="1"/>
      <c r="GV33" s="1"/>
      <c r="GW33" s="1"/>
      <c r="GX33" s="1"/>
      <c r="GY33" s="1"/>
      <c r="GZ33" s="1"/>
      <c r="HA33" s="1"/>
      <c r="HB33" s="1"/>
      <c r="HC33" s="1"/>
      <c r="HD33" s="1"/>
      <c r="HE33" s="1"/>
      <c r="HF33" s="1"/>
      <c r="HG33" s="1"/>
      <c r="HH33" s="1"/>
      <c r="HI33" s="1"/>
      <c r="HJ33" s="1"/>
      <c r="HK33" s="1"/>
      <c r="HL33" s="1"/>
      <c r="HM33" s="1"/>
      <c r="HN33" s="1"/>
      <c r="HO33" s="1"/>
      <c r="HP33" s="1"/>
      <c r="HQ33" s="1"/>
      <c r="HR33" s="1"/>
      <c r="HS33" s="1"/>
      <c r="HT33" s="1"/>
      <c r="HU33" s="1"/>
      <c r="HV33" s="1"/>
      <c r="HW33" s="1"/>
      <c r="HX33" s="1"/>
      <c r="HY33" s="1"/>
      <c r="HZ33" s="1"/>
      <c r="IA33" s="1"/>
      <c r="IB33" s="1"/>
      <c r="IC33" s="1"/>
      <c r="ID33" s="1"/>
      <c r="IE33" s="1"/>
      <c r="IF33" s="1"/>
      <c r="IG33" s="1"/>
      <c r="IH33" s="1"/>
      <c r="II33" s="1"/>
      <c r="IJ33" s="1"/>
      <c r="IK33" s="1"/>
      <c r="IL33" s="1"/>
      <c r="IM33" s="1"/>
      <c r="IN33" s="1"/>
      <c r="IO33" s="1"/>
      <c r="IP33" s="1"/>
      <c r="IQ33" s="1"/>
      <c r="IR33" s="1"/>
      <c r="IS33" s="1"/>
      <c r="IT33" s="1"/>
      <c r="IU33" s="1"/>
      <c r="IV33" s="1"/>
      <c r="IW33" s="1"/>
      <c r="IX33" s="1"/>
      <c r="IY33" s="1"/>
      <c r="IZ33" s="1"/>
      <c r="JA33" s="1"/>
      <c r="JB33" s="1"/>
      <c r="JC33" s="1"/>
      <c r="JD33" s="1"/>
      <c r="JE33" s="1"/>
      <c r="JF33" s="1"/>
      <c r="JG33" s="1"/>
      <c r="JH33" s="1"/>
      <c r="JI33" s="1"/>
      <c r="JJ33" s="1"/>
      <c r="JK33" s="1"/>
      <c r="JL33" s="1"/>
      <c r="JM33" s="1"/>
      <c r="JN33" s="1"/>
      <c r="JO33" s="1"/>
      <c r="JP33" s="1"/>
      <c r="JQ33" s="1"/>
      <c r="JR33" s="1"/>
      <c r="JS33" s="1"/>
      <c r="JT33" s="1"/>
      <c r="JU33" s="1"/>
      <c r="JV33" s="1"/>
      <c r="JW33" s="1"/>
      <c r="JX33" s="1"/>
      <c r="JY33" s="1"/>
      <c r="JZ33" s="1"/>
      <c r="KA33" s="1"/>
      <c r="KB33" s="1"/>
      <c r="KC33" s="1"/>
      <c r="KD33" s="1"/>
      <c r="KE33" s="1"/>
      <c r="KF33" s="1"/>
      <c r="KG33" s="1"/>
      <c r="KH33" s="1"/>
      <c r="KI33" s="1"/>
      <c r="KJ33" s="1"/>
      <c r="KK33" s="1"/>
      <c r="KL33" s="1"/>
      <c r="KM33" s="1"/>
      <c r="KN33" s="1"/>
      <c r="KO33" s="1"/>
      <c r="KP33" s="1"/>
      <c r="KQ33" s="1"/>
      <c r="KR33" s="1"/>
      <c r="KS33" s="1"/>
      <c r="KT33" s="1"/>
      <c r="KU33" s="1"/>
      <c r="KV33" s="1"/>
      <c r="KW33" s="1"/>
      <c r="KX33" s="1"/>
      <c r="KY33" s="1"/>
      <c r="KZ33" s="1"/>
      <c r="LA33" s="1"/>
      <c r="LB33" s="1"/>
      <c r="LC33" s="1"/>
      <c r="LD33" s="1"/>
      <c r="LE33" s="1"/>
      <c r="LF33" s="1"/>
      <c r="LG33" s="1"/>
      <c r="LH33" s="1"/>
      <c r="LI33" s="1"/>
      <c r="LJ33" s="1"/>
      <c r="LK33" s="1"/>
      <c r="LL33" s="1"/>
      <c r="LM33" s="1"/>
      <c r="LN33" s="1"/>
      <c r="LO33" s="1"/>
      <c r="LP33" s="1"/>
      <c r="LQ33" s="1"/>
      <c r="LR33" s="1"/>
      <c r="LS33" s="1"/>
    </row>
    <row r="34" spans="1:331" s="49" customFormat="1" x14ac:dyDescent="0.25">
      <c r="A34" s="49" t="s">
        <v>187</v>
      </c>
      <c r="B34" s="49" t="s">
        <v>188</v>
      </c>
      <c r="C34" s="96" t="s">
        <v>1646</v>
      </c>
      <c r="D34" s="49">
        <v>0</v>
      </c>
      <c r="H34" s="49" t="s">
        <v>189</v>
      </c>
      <c r="I34" s="49" t="s">
        <v>189</v>
      </c>
      <c r="J34" s="49" t="s">
        <v>189</v>
      </c>
      <c r="K34" s="49" t="s">
        <v>189</v>
      </c>
      <c r="L34" s="49">
        <v>0</v>
      </c>
      <c r="O34" s="49">
        <v>1</v>
      </c>
      <c r="Q34" s="96"/>
      <c r="R34" s="96" t="s">
        <v>190</v>
      </c>
      <c r="S34" s="49">
        <v>10</v>
      </c>
      <c r="U34" s="49">
        <v>10</v>
      </c>
      <c r="W34" s="96">
        <v>10</v>
      </c>
      <c r="X34" s="96"/>
      <c r="Y34" s="96"/>
      <c r="Z34" s="49">
        <v>9</v>
      </c>
      <c r="AA34" s="94" t="b">
        <v>1</v>
      </c>
      <c r="AB34" s="1"/>
      <c r="AC34" s="57" t="s">
        <v>1281</v>
      </c>
      <c r="AD34" s="1"/>
      <c r="AE34" s="57"/>
      <c r="AF34" s="1"/>
      <c r="AG34" s="1"/>
      <c r="AH34" s="1"/>
      <c r="AI34" s="1"/>
      <c r="AJ34" s="1"/>
      <c r="AK34" s="1"/>
      <c r="AL34" s="1"/>
      <c r="AM34" s="1"/>
      <c r="AN34" s="1"/>
      <c r="AO34" s="1"/>
      <c r="AP34" s="1"/>
      <c r="AQ34" s="1"/>
      <c r="AR34" s="1"/>
      <c r="AS34" s="1"/>
      <c r="AT34" s="1"/>
      <c r="AU34" s="1"/>
      <c r="AV34" s="1"/>
      <c r="AW34" s="1"/>
      <c r="AX34" s="1"/>
      <c r="AY34" s="1"/>
      <c r="AZ34" s="1"/>
      <c r="BA34" s="1"/>
      <c r="BB34" s="1"/>
      <c r="BC34" s="1"/>
      <c r="BD34" s="1"/>
      <c r="BE34" s="1"/>
      <c r="BF34" s="1"/>
      <c r="BG34" s="1"/>
      <c r="BH34" s="1"/>
      <c r="BI34" s="1"/>
      <c r="BJ34" s="1"/>
      <c r="BK34" s="1"/>
      <c r="BL34" s="1"/>
      <c r="BM34" s="1"/>
      <c r="BN34" s="1"/>
      <c r="BO34" s="1"/>
      <c r="BP34" s="1"/>
      <c r="BQ34" s="1"/>
      <c r="BR34" s="1"/>
      <c r="BS34" s="1"/>
      <c r="BT34" s="1"/>
      <c r="BU34" s="1"/>
      <c r="BV34" s="1"/>
      <c r="BW34" s="1"/>
      <c r="BX34" s="1"/>
      <c r="BY34" s="1"/>
      <c r="BZ34" s="1"/>
      <c r="CA34" s="1"/>
      <c r="CB34" s="1"/>
      <c r="CC34" s="1"/>
      <c r="CD34" s="1"/>
      <c r="CE34" s="1"/>
      <c r="CF34" s="1"/>
      <c r="CG34" s="1"/>
      <c r="CH34" s="1"/>
      <c r="CI34" s="1"/>
      <c r="CJ34" s="1"/>
      <c r="CK34" s="1"/>
      <c r="CL34" s="1"/>
      <c r="CM34" s="1"/>
      <c r="CN34" s="1"/>
      <c r="CO34" s="1"/>
      <c r="CP34" s="1"/>
      <c r="CQ34" s="1"/>
      <c r="CR34" s="1"/>
      <c r="CS34" s="1"/>
      <c r="CT34" s="1"/>
      <c r="CU34" s="1"/>
      <c r="CV34" s="1"/>
      <c r="CW34" s="1"/>
      <c r="CX34" s="1"/>
      <c r="CY34" s="1"/>
      <c r="CZ34" s="1"/>
      <c r="DA34" s="1"/>
      <c r="DB34" s="1"/>
      <c r="DC34" s="1"/>
      <c r="DD34" s="1"/>
      <c r="DE34" s="1"/>
      <c r="DF34" s="1"/>
      <c r="DG34" s="1"/>
      <c r="DH34" s="1"/>
      <c r="DI34" s="1"/>
      <c r="DJ34" s="1"/>
      <c r="DK34" s="1"/>
      <c r="DL34" s="1"/>
      <c r="DM34" s="1"/>
      <c r="DN34" s="1"/>
      <c r="DO34" s="1"/>
      <c r="DP34" s="1"/>
      <c r="DQ34" s="1"/>
      <c r="DR34" s="1"/>
      <c r="DS34" s="1"/>
      <c r="DT34" s="1"/>
      <c r="DU34" s="1"/>
      <c r="DV34" s="1"/>
      <c r="DW34" s="1"/>
      <c r="DX34" s="1"/>
      <c r="DY34" s="1"/>
      <c r="DZ34" s="1"/>
      <c r="EA34" s="1"/>
      <c r="EB34" s="1"/>
      <c r="EC34" s="1"/>
      <c r="ED34" s="1"/>
      <c r="EE34" s="1"/>
      <c r="EF34" s="1"/>
      <c r="EG34" s="1"/>
      <c r="EH34" s="1"/>
      <c r="EI34" s="1"/>
      <c r="EJ34" s="1"/>
      <c r="EK34" s="1"/>
      <c r="EL34" s="1"/>
      <c r="EM34" s="1"/>
      <c r="EN34" s="1"/>
      <c r="EO34" s="1"/>
      <c r="EP34" s="1"/>
      <c r="EQ34" s="1"/>
      <c r="ER34" s="1"/>
      <c r="ES34" s="1"/>
      <c r="ET34" s="1"/>
      <c r="EU34" s="1"/>
      <c r="EV34" s="1"/>
      <c r="EW34" s="1"/>
      <c r="EX34" s="1"/>
      <c r="EY34" s="1"/>
      <c r="EZ34" s="1"/>
      <c r="FA34" s="1"/>
      <c r="FB34" s="1"/>
      <c r="FC34" s="1"/>
      <c r="FD34" s="1"/>
      <c r="FE34" s="1"/>
      <c r="FF34" s="1"/>
      <c r="FG34" s="1"/>
      <c r="FH34" s="1"/>
      <c r="FI34" s="1"/>
      <c r="FJ34" s="1"/>
      <c r="FK34" s="1"/>
      <c r="FL34" s="1"/>
      <c r="FM34" s="1"/>
      <c r="FN34" s="1"/>
      <c r="FO34" s="1"/>
      <c r="FP34" s="1"/>
      <c r="FQ34" s="1"/>
      <c r="FR34" s="1"/>
      <c r="FS34" s="1"/>
      <c r="FT34" s="1"/>
      <c r="FU34" s="1"/>
      <c r="FV34" s="1"/>
      <c r="FW34" s="1"/>
      <c r="FX34" s="1"/>
      <c r="FY34" s="1"/>
      <c r="FZ34" s="1"/>
      <c r="GA34" s="1"/>
      <c r="GB34" s="1"/>
      <c r="GC34" s="1"/>
      <c r="GD34" s="1"/>
      <c r="GE34" s="1"/>
      <c r="GF34" s="1"/>
      <c r="GG34" s="1"/>
      <c r="GH34" s="1"/>
      <c r="GI34" s="1"/>
      <c r="GJ34" s="1"/>
      <c r="GK34" s="1"/>
      <c r="GL34" s="1"/>
      <c r="GM34" s="1"/>
      <c r="GN34" s="1"/>
      <c r="GO34" s="1"/>
      <c r="GP34" s="1"/>
      <c r="GQ34" s="1"/>
      <c r="GR34" s="1"/>
      <c r="GS34" s="1"/>
      <c r="GT34" s="1"/>
      <c r="GU34" s="1"/>
      <c r="GV34" s="1"/>
      <c r="GW34" s="1"/>
      <c r="GX34" s="1"/>
      <c r="GY34" s="1"/>
      <c r="GZ34" s="1"/>
      <c r="HA34" s="1"/>
      <c r="HB34" s="1"/>
      <c r="HC34" s="1"/>
      <c r="HD34" s="1"/>
      <c r="HE34" s="1"/>
      <c r="HF34" s="1"/>
      <c r="HG34" s="1"/>
      <c r="HH34" s="1"/>
      <c r="HI34" s="1"/>
      <c r="HJ34" s="1"/>
      <c r="HK34" s="1"/>
      <c r="HL34" s="1"/>
      <c r="HM34" s="1"/>
      <c r="HN34" s="1"/>
      <c r="HO34" s="1"/>
      <c r="HP34" s="1"/>
      <c r="HQ34" s="1"/>
      <c r="HR34" s="1"/>
      <c r="HS34" s="1"/>
      <c r="HT34" s="1"/>
      <c r="HU34" s="1"/>
      <c r="HV34" s="1"/>
      <c r="HW34" s="1"/>
      <c r="HX34" s="1"/>
      <c r="HY34" s="1"/>
      <c r="HZ34" s="1"/>
      <c r="IA34" s="1"/>
      <c r="IB34" s="1"/>
      <c r="IC34" s="1"/>
      <c r="ID34" s="1"/>
      <c r="IE34" s="1"/>
      <c r="IF34" s="1"/>
      <c r="IG34" s="1"/>
      <c r="IH34" s="1"/>
      <c r="II34" s="1"/>
      <c r="IJ34" s="1"/>
      <c r="IK34" s="1"/>
      <c r="IL34" s="1"/>
      <c r="IM34" s="1"/>
      <c r="IN34" s="1"/>
      <c r="IO34" s="1"/>
      <c r="IP34" s="1"/>
      <c r="IQ34" s="1"/>
      <c r="IR34" s="1"/>
      <c r="IS34" s="1"/>
      <c r="IT34" s="1"/>
      <c r="IU34" s="1"/>
      <c r="IV34" s="1"/>
      <c r="IW34" s="1"/>
      <c r="IX34" s="1"/>
      <c r="IY34" s="1"/>
      <c r="IZ34" s="1"/>
      <c r="JA34" s="1"/>
      <c r="JB34" s="1"/>
      <c r="JC34" s="1"/>
      <c r="JD34" s="1"/>
      <c r="JE34" s="1"/>
      <c r="JF34" s="1"/>
      <c r="JG34" s="1"/>
      <c r="JH34" s="1"/>
      <c r="JI34" s="1"/>
      <c r="JJ34" s="1"/>
      <c r="JK34" s="1"/>
      <c r="JL34" s="1"/>
      <c r="JM34" s="1"/>
      <c r="JN34" s="1"/>
      <c r="JO34" s="1"/>
      <c r="JP34" s="1"/>
      <c r="JQ34" s="1"/>
      <c r="JR34" s="1"/>
      <c r="JS34" s="1"/>
      <c r="JT34" s="1"/>
      <c r="JU34" s="1"/>
      <c r="JV34" s="1"/>
      <c r="JW34" s="1"/>
      <c r="JX34" s="1"/>
      <c r="JY34" s="1"/>
      <c r="JZ34" s="1"/>
      <c r="KA34" s="1"/>
      <c r="KB34" s="1"/>
      <c r="KC34" s="1"/>
      <c r="KD34" s="1"/>
      <c r="KE34" s="1"/>
      <c r="KF34" s="1"/>
      <c r="KG34" s="1"/>
      <c r="KH34" s="1"/>
      <c r="KI34" s="1"/>
      <c r="KJ34" s="1"/>
      <c r="KK34" s="1"/>
      <c r="KL34" s="1"/>
      <c r="KM34" s="1"/>
      <c r="KN34" s="1"/>
      <c r="KO34" s="1"/>
      <c r="KP34" s="1"/>
      <c r="KQ34" s="1"/>
      <c r="KR34" s="1"/>
      <c r="KS34" s="1"/>
      <c r="KT34" s="1"/>
      <c r="KU34" s="1"/>
      <c r="KV34" s="1"/>
      <c r="KW34" s="1"/>
      <c r="KX34" s="1"/>
      <c r="KY34" s="1"/>
      <c r="KZ34" s="1"/>
      <c r="LA34" s="1"/>
      <c r="LB34" s="1"/>
      <c r="LC34" s="1"/>
      <c r="LD34" s="1"/>
      <c r="LE34" s="1"/>
      <c r="LF34" s="1"/>
      <c r="LG34" s="1"/>
      <c r="LH34" s="1"/>
      <c r="LI34" s="1"/>
      <c r="LJ34" s="1"/>
      <c r="LK34" s="1"/>
      <c r="LL34" s="1"/>
      <c r="LM34" s="1"/>
      <c r="LN34" s="1"/>
      <c r="LO34" s="1"/>
      <c r="LP34" s="1"/>
      <c r="LQ34" s="1"/>
      <c r="LR34" s="1"/>
      <c r="LS34" s="1"/>
    </row>
    <row r="35" spans="1:331" s="40" customFormat="1" x14ac:dyDescent="0.25">
      <c r="A35" s="40" t="s">
        <v>191</v>
      </c>
      <c r="B35" s="40" t="s">
        <v>192</v>
      </c>
      <c r="C35" s="96" t="s">
        <v>1646</v>
      </c>
      <c r="D35" s="40">
        <v>0</v>
      </c>
      <c r="H35" s="40" t="s">
        <v>193</v>
      </c>
      <c r="I35" s="40" t="s">
        <v>193</v>
      </c>
      <c r="J35" s="40" t="s">
        <v>194</v>
      </c>
      <c r="K35" s="40" t="s">
        <v>193</v>
      </c>
      <c r="L35" s="40">
        <v>0</v>
      </c>
      <c r="O35" s="40">
        <v>1</v>
      </c>
      <c r="P35" s="40" t="s">
        <v>194</v>
      </c>
      <c r="Q35" s="96" t="s">
        <v>178</v>
      </c>
      <c r="R35" s="96"/>
      <c r="S35" s="40">
        <v>8</v>
      </c>
      <c r="U35" s="40">
        <v>18</v>
      </c>
      <c r="W35" s="96">
        <v>8</v>
      </c>
      <c r="X35" s="96"/>
      <c r="Y35" s="96"/>
      <c r="Z35" s="40">
        <v>8</v>
      </c>
      <c r="AA35" s="94" t="b">
        <v>1</v>
      </c>
      <c r="AB35" s="1" t="s">
        <v>1898</v>
      </c>
      <c r="AC35" s="57" t="s">
        <v>1303</v>
      </c>
      <c r="AD35" s="1"/>
      <c r="AE35" s="57"/>
      <c r="AF35" s="1"/>
      <c r="AG35" s="1"/>
      <c r="AH35" s="1"/>
      <c r="AI35" s="1"/>
      <c r="AJ35" s="1"/>
      <c r="AK35" s="1"/>
      <c r="AL35" s="1"/>
      <c r="AM35" s="1"/>
      <c r="AN35" s="1"/>
      <c r="AO35" s="1"/>
      <c r="AP35" s="1"/>
      <c r="AQ35" s="1"/>
      <c r="AR35" s="1"/>
      <c r="AS35" s="1"/>
      <c r="AT35" s="1"/>
      <c r="AU35" s="1"/>
      <c r="AV35" s="1"/>
      <c r="AW35" s="1"/>
      <c r="AX35" s="1"/>
      <c r="AY35" s="1"/>
      <c r="AZ35" s="1"/>
      <c r="BA35" s="1"/>
      <c r="BB35" s="1"/>
      <c r="BC35" s="1"/>
      <c r="BD35" s="1"/>
      <c r="BE35" s="1"/>
      <c r="BF35" s="1"/>
      <c r="BG35" s="1"/>
      <c r="BH35" s="1"/>
      <c r="BI35" s="1"/>
      <c r="BJ35" s="1"/>
      <c r="BK35" s="1"/>
      <c r="BL35" s="1"/>
      <c r="BM35" s="1"/>
      <c r="BN35" s="1"/>
      <c r="BO35" s="1"/>
      <c r="BP35" s="1"/>
      <c r="BQ35" s="1"/>
      <c r="BR35" s="1"/>
      <c r="BS35" s="1"/>
      <c r="BT35" s="1"/>
      <c r="BU35" s="1"/>
      <c r="BV35" s="1"/>
      <c r="BW35" s="1"/>
      <c r="BX35" s="1"/>
      <c r="BY35" s="1"/>
      <c r="BZ35" s="1"/>
      <c r="CA35" s="1"/>
      <c r="CB35" s="1"/>
      <c r="CC35" s="1"/>
      <c r="CD35" s="1"/>
      <c r="CE35" s="1"/>
      <c r="CF35" s="1"/>
      <c r="CG35" s="1"/>
      <c r="CH35" s="1"/>
      <c r="CI35" s="1"/>
      <c r="CJ35" s="1"/>
      <c r="CK35" s="1"/>
      <c r="CL35" s="1"/>
      <c r="CM35" s="1"/>
      <c r="CN35" s="1"/>
      <c r="CO35" s="1"/>
      <c r="CP35" s="1"/>
      <c r="CQ35" s="1"/>
      <c r="CR35" s="1"/>
      <c r="CS35" s="1"/>
      <c r="CT35" s="1"/>
      <c r="CU35" s="1"/>
      <c r="CV35" s="1"/>
      <c r="CW35" s="1"/>
      <c r="CX35" s="1"/>
      <c r="CY35" s="1"/>
      <c r="CZ35" s="1"/>
      <c r="DA35" s="1"/>
      <c r="DB35" s="1"/>
      <c r="DC35" s="1"/>
      <c r="DD35" s="1"/>
      <c r="DE35" s="1"/>
      <c r="DF35" s="1"/>
      <c r="DG35" s="1"/>
      <c r="DH35" s="1"/>
      <c r="DI35" s="1"/>
      <c r="DJ35" s="1"/>
      <c r="DK35" s="1"/>
      <c r="DL35" s="1"/>
      <c r="DM35" s="1"/>
      <c r="DN35" s="1"/>
      <c r="DO35" s="1"/>
      <c r="DP35" s="1"/>
      <c r="DQ35" s="1"/>
      <c r="DR35" s="1"/>
      <c r="DS35" s="1"/>
      <c r="DT35" s="1"/>
      <c r="DU35" s="1"/>
      <c r="DV35" s="1"/>
      <c r="DW35" s="1"/>
      <c r="DX35" s="1"/>
      <c r="DY35" s="1"/>
      <c r="DZ35" s="1"/>
      <c r="EA35" s="1"/>
      <c r="EB35" s="1"/>
      <c r="EC35" s="1"/>
      <c r="ED35" s="1"/>
      <c r="EE35" s="1"/>
      <c r="EF35" s="1"/>
      <c r="EG35" s="1"/>
      <c r="EH35" s="1"/>
      <c r="EI35" s="1"/>
      <c r="EJ35" s="1"/>
      <c r="EK35" s="1"/>
      <c r="EL35" s="1"/>
      <c r="EM35" s="1"/>
      <c r="EN35" s="1"/>
      <c r="EO35" s="1"/>
      <c r="EP35" s="1"/>
      <c r="EQ35" s="1"/>
      <c r="ER35" s="1"/>
      <c r="ES35" s="1"/>
      <c r="ET35" s="1"/>
      <c r="EU35" s="1"/>
      <c r="EV35" s="1"/>
      <c r="EW35" s="1"/>
      <c r="EX35" s="1"/>
      <c r="EY35" s="1"/>
      <c r="EZ35" s="1"/>
      <c r="FA35" s="1"/>
      <c r="FB35" s="1"/>
      <c r="FC35" s="1"/>
      <c r="FD35" s="1"/>
      <c r="FE35" s="1"/>
      <c r="FF35" s="1"/>
      <c r="FG35" s="1"/>
      <c r="FH35" s="1"/>
      <c r="FI35" s="1"/>
      <c r="FJ35" s="1"/>
      <c r="FK35" s="1"/>
      <c r="FL35" s="1"/>
      <c r="FM35" s="1"/>
      <c r="FN35" s="1"/>
      <c r="FO35" s="1"/>
      <c r="FP35" s="1"/>
      <c r="FQ35" s="1"/>
      <c r="FR35" s="1"/>
      <c r="FS35" s="1"/>
      <c r="FT35" s="1"/>
      <c r="FU35" s="1"/>
      <c r="FV35" s="1"/>
      <c r="FW35" s="1"/>
      <c r="FX35" s="1"/>
      <c r="FY35" s="1"/>
      <c r="FZ35" s="1"/>
      <c r="GA35" s="1"/>
      <c r="GB35" s="1"/>
      <c r="GC35" s="1"/>
      <c r="GD35" s="1"/>
      <c r="GE35" s="1"/>
      <c r="GF35" s="1"/>
      <c r="GG35" s="1"/>
      <c r="GH35" s="1"/>
      <c r="GI35" s="1"/>
      <c r="GJ35" s="1"/>
      <c r="GK35" s="1"/>
      <c r="GL35" s="1"/>
      <c r="GM35" s="1"/>
      <c r="GN35" s="1"/>
      <c r="GO35" s="1"/>
      <c r="GP35" s="1"/>
      <c r="GQ35" s="1"/>
      <c r="GR35" s="1"/>
      <c r="GS35" s="1"/>
      <c r="GT35" s="1"/>
      <c r="GU35" s="1"/>
      <c r="GV35" s="1"/>
      <c r="GW35" s="1"/>
      <c r="GX35" s="1"/>
      <c r="GY35" s="1"/>
      <c r="GZ35" s="1"/>
      <c r="HA35" s="1"/>
      <c r="HB35" s="1"/>
      <c r="HC35" s="1"/>
      <c r="HD35" s="1"/>
      <c r="HE35" s="1"/>
      <c r="HF35" s="1"/>
      <c r="HG35" s="1"/>
      <c r="HH35" s="1"/>
      <c r="HI35" s="1"/>
      <c r="HJ35" s="1"/>
      <c r="HK35" s="1"/>
      <c r="HL35" s="1"/>
      <c r="HM35" s="1"/>
      <c r="HN35" s="1"/>
      <c r="HO35" s="1"/>
      <c r="HP35" s="1"/>
      <c r="HQ35" s="1"/>
      <c r="HR35" s="1"/>
      <c r="HS35" s="1"/>
      <c r="HT35" s="1"/>
      <c r="HU35" s="1"/>
      <c r="HV35" s="1"/>
      <c r="HW35" s="1"/>
      <c r="HX35" s="1"/>
      <c r="HY35" s="1"/>
      <c r="HZ35" s="1"/>
      <c r="IA35" s="1"/>
      <c r="IB35" s="1"/>
      <c r="IC35" s="1"/>
      <c r="ID35" s="1"/>
      <c r="IE35" s="1"/>
      <c r="IF35" s="1"/>
      <c r="IG35" s="1"/>
      <c r="IH35" s="1"/>
      <c r="II35" s="1"/>
      <c r="IJ35" s="1"/>
      <c r="IK35" s="1"/>
      <c r="IL35" s="1"/>
      <c r="IM35" s="1"/>
      <c r="IN35" s="1"/>
      <c r="IO35" s="1"/>
      <c r="IP35" s="1"/>
      <c r="IQ35" s="1"/>
      <c r="IR35" s="1"/>
      <c r="IS35" s="1"/>
      <c r="IT35" s="1"/>
      <c r="IU35" s="1"/>
      <c r="IV35" s="1"/>
      <c r="IW35" s="1"/>
      <c r="IX35" s="1"/>
      <c r="IY35" s="1"/>
      <c r="IZ35" s="1"/>
      <c r="JA35" s="1"/>
      <c r="JB35" s="1"/>
      <c r="JC35" s="1"/>
      <c r="JD35" s="1"/>
      <c r="JE35" s="1"/>
      <c r="JF35" s="1"/>
      <c r="JG35" s="1"/>
      <c r="JH35" s="1"/>
      <c r="JI35" s="1"/>
      <c r="JJ35" s="1"/>
      <c r="JK35" s="1"/>
      <c r="JL35" s="1"/>
      <c r="JM35" s="1"/>
      <c r="JN35" s="1"/>
      <c r="JO35" s="1"/>
      <c r="JP35" s="1"/>
      <c r="JQ35" s="1"/>
      <c r="JR35" s="1"/>
      <c r="JS35" s="1"/>
      <c r="JT35" s="1"/>
      <c r="JU35" s="1"/>
      <c r="JV35" s="1"/>
      <c r="JW35" s="1"/>
      <c r="JX35" s="1"/>
      <c r="JY35" s="1"/>
      <c r="JZ35" s="1"/>
      <c r="KA35" s="1"/>
      <c r="KB35" s="1"/>
      <c r="KC35" s="1"/>
      <c r="KD35" s="1"/>
      <c r="KE35" s="1"/>
      <c r="KF35" s="1"/>
      <c r="KG35" s="1"/>
      <c r="KH35" s="1"/>
      <c r="KI35" s="1"/>
      <c r="KJ35" s="1"/>
      <c r="KK35" s="1"/>
      <c r="KL35" s="1"/>
      <c r="KM35" s="1"/>
      <c r="KN35" s="1"/>
      <c r="KO35" s="1"/>
      <c r="KP35" s="1"/>
      <c r="KQ35" s="1"/>
      <c r="KR35" s="1"/>
      <c r="KS35" s="1"/>
      <c r="KT35" s="1"/>
      <c r="KU35" s="1"/>
      <c r="KV35" s="1"/>
      <c r="KW35" s="1"/>
      <c r="KX35" s="1"/>
      <c r="KY35" s="1"/>
      <c r="KZ35" s="1"/>
      <c r="LA35" s="1"/>
      <c r="LB35" s="1"/>
      <c r="LC35" s="1"/>
      <c r="LD35" s="1"/>
      <c r="LE35" s="1"/>
      <c r="LF35" s="1"/>
      <c r="LG35" s="1"/>
      <c r="LH35" s="1"/>
      <c r="LI35" s="1"/>
      <c r="LJ35" s="1"/>
      <c r="LK35" s="1"/>
      <c r="LL35" s="1"/>
      <c r="LM35" s="1"/>
      <c r="LN35" s="1"/>
      <c r="LO35" s="1"/>
      <c r="LP35" s="1"/>
      <c r="LQ35" s="1"/>
      <c r="LR35" s="1"/>
      <c r="LS35" s="1"/>
    </row>
    <row r="36" spans="1:331" s="40" customFormat="1" x14ac:dyDescent="0.25">
      <c r="A36" s="40" t="s">
        <v>195</v>
      </c>
      <c r="B36" s="40" t="s">
        <v>196</v>
      </c>
      <c r="C36" s="96" t="s">
        <v>1646</v>
      </c>
      <c r="D36" s="40">
        <v>0</v>
      </c>
      <c r="H36" s="40" t="s">
        <v>197</v>
      </c>
      <c r="I36" s="40" t="s">
        <v>197</v>
      </c>
      <c r="J36" s="40" t="s">
        <v>197</v>
      </c>
      <c r="K36" s="40" t="s">
        <v>197</v>
      </c>
      <c r="L36" s="40">
        <v>0</v>
      </c>
      <c r="O36" s="40">
        <v>1</v>
      </c>
      <c r="P36" s="40" t="s">
        <v>198</v>
      </c>
      <c r="Q36" s="96" t="s">
        <v>1497</v>
      </c>
      <c r="R36" s="96"/>
      <c r="S36" s="40">
        <v>18</v>
      </c>
      <c r="U36" s="40">
        <v>15</v>
      </c>
      <c r="W36" s="96">
        <v>18</v>
      </c>
      <c r="X36" s="96"/>
      <c r="Y36" s="96"/>
      <c r="Z36" s="40">
        <v>8</v>
      </c>
      <c r="AA36" s="94" t="b">
        <v>1</v>
      </c>
      <c r="AB36" s="1"/>
      <c r="AC36" s="57" t="s">
        <v>1285</v>
      </c>
      <c r="AD36" s="1"/>
      <c r="AE36" s="57"/>
      <c r="AF36" s="1"/>
      <c r="AG36" s="1"/>
      <c r="AH36" s="1"/>
      <c r="AI36" s="1"/>
      <c r="AJ36" s="1"/>
      <c r="AK36" s="1"/>
      <c r="AL36" s="1"/>
      <c r="AM36" s="1"/>
      <c r="AN36" s="1"/>
      <c r="AO36" s="1"/>
      <c r="AP36" s="1"/>
      <c r="AQ36" s="1"/>
      <c r="AR36" s="1"/>
      <c r="AS36" s="1"/>
      <c r="AT36" s="1"/>
      <c r="AU36" s="1"/>
      <c r="AV36" s="1"/>
      <c r="AW36" s="1"/>
      <c r="AX36" s="1"/>
      <c r="AY36" s="1"/>
      <c r="AZ36" s="1"/>
      <c r="BA36" s="1"/>
      <c r="BB36" s="1"/>
      <c r="BC36" s="1"/>
      <c r="BD36" s="1"/>
      <c r="BE36" s="1"/>
      <c r="BF36" s="1"/>
      <c r="BG36" s="1"/>
      <c r="BH36" s="1"/>
      <c r="BI36" s="1"/>
      <c r="BJ36" s="1"/>
      <c r="BK36" s="1"/>
      <c r="BL36" s="1"/>
      <c r="BM36" s="1"/>
      <c r="BN36" s="1"/>
      <c r="BO36" s="1"/>
      <c r="BP36" s="1"/>
      <c r="BQ36" s="1"/>
      <c r="BR36" s="1"/>
      <c r="BS36" s="1"/>
      <c r="BT36" s="1"/>
      <c r="BU36" s="1"/>
      <c r="BV36" s="1"/>
      <c r="BW36" s="1"/>
      <c r="BX36" s="1"/>
      <c r="BY36" s="1"/>
      <c r="BZ36" s="1"/>
      <c r="CA36" s="1"/>
      <c r="CB36" s="1"/>
      <c r="CC36" s="1"/>
      <c r="CD36" s="1"/>
      <c r="CE36" s="1"/>
      <c r="CF36" s="1"/>
      <c r="CG36" s="1"/>
      <c r="CH36" s="1"/>
      <c r="CI36" s="1"/>
      <c r="CJ36" s="1"/>
      <c r="CK36" s="1"/>
      <c r="CL36" s="1"/>
      <c r="CM36" s="1"/>
      <c r="CN36" s="1"/>
      <c r="CO36" s="1"/>
      <c r="CP36" s="1"/>
      <c r="CQ36" s="1"/>
      <c r="CR36" s="1"/>
      <c r="CS36" s="1"/>
      <c r="CT36" s="1"/>
      <c r="CU36" s="1"/>
      <c r="CV36" s="1"/>
      <c r="CW36" s="1"/>
      <c r="CX36" s="1"/>
      <c r="CY36" s="1"/>
      <c r="CZ36" s="1"/>
      <c r="DA36" s="1"/>
      <c r="DB36" s="1"/>
      <c r="DC36" s="1"/>
      <c r="DD36" s="1"/>
      <c r="DE36" s="1"/>
      <c r="DF36" s="1"/>
      <c r="DG36" s="1"/>
      <c r="DH36" s="1"/>
      <c r="DI36" s="1"/>
      <c r="DJ36" s="1"/>
      <c r="DK36" s="1"/>
      <c r="DL36" s="1"/>
      <c r="DM36" s="1"/>
      <c r="DN36" s="1"/>
      <c r="DO36" s="1"/>
      <c r="DP36" s="1"/>
      <c r="DQ36" s="1"/>
      <c r="DR36" s="1"/>
      <c r="DS36" s="1"/>
      <c r="DT36" s="1"/>
      <c r="DU36" s="1"/>
      <c r="DV36" s="1"/>
      <c r="DW36" s="1"/>
      <c r="DX36" s="1"/>
      <c r="DY36" s="1"/>
      <c r="DZ36" s="1"/>
      <c r="EA36" s="1"/>
      <c r="EB36" s="1"/>
      <c r="EC36" s="1"/>
      <c r="ED36" s="1"/>
      <c r="EE36" s="1"/>
      <c r="EF36" s="1"/>
      <c r="EG36" s="1"/>
      <c r="EH36" s="1"/>
      <c r="EI36" s="1"/>
      <c r="EJ36" s="1"/>
      <c r="EK36" s="1"/>
      <c r="EL36" s="1"/>
      <c r="EM36" s="1"/>
      <c r="EN36" s="1"/>
      <c r="EO36" s="1"/>
      <c r="EP36" s="1"/>
      <c r="EQ36" s="1"/>
      <c r="ER36" s="1"/>
      <c r="ES36" s="1"/>
      <c r="ET36" s="1"/>
      <c r="EU36" s="1"/>
      <c r="EV36" s="1"/>
      <c r="EW36" s="1"/>
      <c r="EX36" s="1"/>
      <c r="EY36" s="1"/>
      <c r="EZ36" s="1"/>
      <c r="FA36" s="1"/>
      <c r="FB36" s="1"/>
      <c r="FC36" s="1"/>
      <c r="FD36" s="1"/>
      <c r="FE36" s="1"/>
      <c r="FF36" s="1"/>
      <c r="FG36" s="1"/>
      <c r="FH36" s="1"/>
      <c r="FI36" s="1"/>
      <c r="FJ36" s="1"/>
      <c r="FK36" s="1"/>
      <c r="FL36" s="1"/>
      <c r="FM36" s="1"/>
      <c r="FN36" s="1"/>
      <c r="FO36" s="1"/>
      <c r="FP36" s="1"/>
      <c r="FQ36" s="1"/>
      <c r="FR36" s="1"/>
      <c r="FS36" s="1"/>
      <c r="FT36" s="1"/>
      <c r="FU36" s="1"/>
      <c r="FV36" s="1"/>
      <c r="FW36" s="1"/>
      <c r="FX36" s="1"/>
      <c r="FY36" s="1"/>
      <c r="FZ36" s="1"/>
      <c r="GA36" s="1"/>
      <c r="GB36" s="1"/>
      <c r="GC36" s="1"/>
      <c r="GD36" s="1"/>
      <c r="GE36" s="1"/>
      <c r="GF36" s="1"/>
      <c r="GG36" s="1"/>
      <c r="GH36" s="1"/>
      <c r="GI36" s="1"/>
      <c r="GJ36" s="1"/>
      <c r="GK36" s="1"/>
      <c r="GL36" s="1"/>
      <c r="GM36" s="1"/>
      <c r="GN36" s="1"/>
      <c r="GO36" s="1"/>
      <c r="GP36" s="1"/>
      <c r="GQ36" s="1"/>
      <c r="GR36" s="1"/>
      <c r="GS36" s="1"/>
      <c r="GT36" s="1"/>
      <c r="GU36" s="1"/>
      <c r="GV36" s="1"/>
      <c r="GW36" s="1"/>
      <c r="GX36" s="1"/>
      <c r="GY36" s="1"/>
      <c r="GZ36" s="1"/>
      <c r="HA36" s="1"/>
      <c r="HB36" s="1"/>
      <c r="HC36" s="1"/>
      <c r="HD36" s="1"/>
      <c r="HE36" s="1"/>
      <c r="HF36" s="1"/>
      <c r="HG36" s="1"/>
      <c r="HH36" s="1"/>
      <c r="HI36" s="1"/>
      <c r="HJ36" s="1"/>
      <c r="HK36" s="1"/>
      <c r="HL36" s="1"/>
      <c r="HM36" s="1"/>
      <c r="HN36" s="1"/>
      <c r="HO36" s="1"/>
      <c r="HP36" s="1"/>
      <c r="HQ36" s="1"/>
      <c r="HR36" s="1"/>
      <c r="HS36" s="1"/>
      <c r="HT36" s="1"/>
      <c r="HU36" s="1"/>
      <c r="HV36" s="1"/>
      <c r="HW36" s="1"/>
      <c r="HX36" s="1"/>
      <c r="HY36" s="1"/>
      <c r="HZ36" s="1"/>
      <c r="IA36" s="1"/>
      <c r="IB36" s="1"/>
      <c r="IC36" s="1"/>
      <c r="ID36" s="1"/>
      <c r="IE36" s="1"/>
      <c r="IF36" s="1"/>
      <c r="IG36" s="1"/>
      <c r="IH36" s="1"/>
      <c r="II36" s="1"/>
      <c r="IJ36" s="1"/>
      <c r="IK36" s="1"/>
      <c r="IL36" s="1"/>
      <c r="IM36" s="1"/>
      <c r="IN36" s="1"/>
      <c r="IO36" s="1"/>
      <c r="IP36" s="1"/>
      <c r="IQ36" s="1"/>
      <c r="IR36" s="1"/>
      <c r="IS36" s="1"/>
      <c r="IT36" s="1"/>
      <c r="IU36" s="1"/>
      <c r="IV36" s="1"/>
      <c r="IW36" s="1"/>
      <c r="IX36" s="1"/>
      <c r="IY36" s="1"/>
      <c r="IZ36" s="1"/>
      <c r="JA36" s="1"/>
      <c r="JB36" s="1"/>
      <c r="JC36" s="1"/>
      <c r="JD36" s="1"/>
      <c r="JE36" s="1"/>
      <c r="JF36" s="1"/>
      <c r="JG36" s="1"/>
      <c r="JH36" s="1"/>
      <c r="JI36" s="1"/>
      <c r="JJ36" s="1"/>
      <c r="JK36" s="1"/>
      <c r="JL36" s="1"/>
      <c r="JM36" s="1"/>
      <c r="JN36" s="1"/>
      <c r="JO36" s="1"/>
      <c r="JP36" s="1"/>
      <c r="JQ36" s="1"/>
      <c r="JR36" s="1"/>
      <c r="JS36" s="1"/>
      <c r="JT36" s="1"/>
      <c r="JU36" s="1"/>
      <c r="JV36" s="1"/>
      <c r="JW36" s="1"/>
      <c r="JX36" s="1"/>
      <c r="JY36" s="1"/>
      <c r="JZ36" s="1"/>
      <c r="KA36" s="1"/>
      <c r="KB36" s="1"/>
      <c r="KC36" s="1"/>
      <c r="KD36" s="1"/>
      <c r="KE36" s="1"/>
      <c r="KF36" s="1"/>
      <c r="KG36" s="1"/>
      <c r="KH36" s="1"/>
      <c r="KI36" s="1"/>
      <c r="KJ36" s="1"/>
      <c r="KK36" s="1"/>
      <c r="KL36" s="1"/>
      <c r="KM36" s="1"/>
      <c r="KN36" s="1"/>
      <c r="KO36" s="1"/>
      <c r="KP36" s="1"/>
      <c r="KQ36" s="1"/>
      <c r="KR36" s="1"/>
      <c r="KS36" s="1"/>
      <c r="KT36" s="1"/>
      <c r="KU36" s="1"/>
      <c r="KV36" s="1"/>
      <c r="KW36" s="1"/>
      <c r="KX36" s="1"/>
      <c r="KY36" s="1"/>
      <c r="KZ36" s="1"/>
      <c r="LA36" s="1"/>
      <c r="LB36" s="1"/>
      <c r="LC36" s="1"/>
      <c r="LD36" s="1"/>
      <c r="LE36" s="1"/>
      <c r="LF36" s="1"/>
      <c r="LG36" s="1"/>
      <c r="LH36" s="1"/>
      <c r="LI36" s="1"/>
      <c r="LJ36" s="1"/>
      <c r="LK36" s="1"/>
      <c r="LL36" s="1"/>
      <c r="LM36" s="1"/>
      <c r="LN36" s="1"/>
      <c r="LO36" s="1"/>
      <c r="LP36" s="1"/>
      <c r="LQ36" s="1"/>
      <c r="LR36" s="1"/>
      <c r="LS36" s="1"/>
    </row>
    <row r="37" spans="1:331" s="40" customFormat="1" x14ac:dyDescent="0.25">
      <c r="A37" s="40" t="s">
        <v>199</v>
      </c>
      <c r="B37" s="40" t="s">
        <v>200</v>
      </c>
      <c r="C37" s="96" t="s">
        <v>1646</v>
      </c>
      <c r="D37" s="40">
        <v>0</v>
      </c>
      <c r="H37" s="40" t="s">
        <v>201</v>
      </c>
      <c r="I37" s="40" t="s">
        <v>201</v>
      </c>
      <c r="J37" s="40" t="s">
        <v>201</v>
      </c>
      <c r="K37" s="40" t="s">
        <v>201</v>
      </c>
      <c r="L37" s="40">
        <v>0</v>
      </c>
      <c r="O37" s="40">
        <v>1</v>
      </c>
      <c r="P37" s="40" t="s">
        <v>202</v>
      </c>
      <c r="Q37" s="96" t="s">
        <v>1498</v>
      </c>
      <c r="R37" s="96"/>
      <c r="S37" s="40">
        <v>16</v>
      </c>
      <c r="U37" s="40">
        <v>8</v>
      </c>
      <c r="W37" s="96">
        <v>16</v>
      </c>
      <c r="X37" s="96"/>
      <c r="Y37" s="96"/>
      <c r="Z37" s="40">
        <v>8</v>
      </c>
      <c r="AA37" s="94" t="b">
        <v>1</v>
      </c>
      <c r="AB37" s="1" t="s">
        <v>1898</v>
      </c>
      <c r="AC37" s="57" t="s">
        <v>1305</v>
      </c>
      <c r="AD37" s="1"/>
      <c r="AE37" s="57"/>
      <c r="AF37" s="1"/>
      <c r="AG37" s="1"/>
      <c r="AH37" s="1"/>
      <c r="AI37" s="1"/>
      <c r="AJ37" s="1"/>
      <c r="AK37" s="1"/>
      <c r="AL37" s="1"/>
      <c r="AM37" s="1"/>
      <c r="AN37" s="1"/>
      <c r="AO37" s="1"/>
      <c r="AP37" s="1"/>
      <c r="AQ37" s="1"/>
      <c r="AR37" s="1"/>
      <c r="AS37" s="1"/>
      <c r="AT37" s="1"/>
      <c r="AU37" s="1"/>
      <c r="AV37" s="1"/>
      <c r="AW37" s="1"/>
      <c r="AX37" s="1"/>
      <c r="AY37" s="1"/>
      <c r="AZ37" s="1"/>
      <c r="BA37" s="1"/>
      <c r="BB37" s="1"/>
      <c r="BC37" s="1"/>
      <c r="BD37" s="1"/>
      <c r="BE37" s="1"/>
      <c r="BF37" s="1"/>
      <c r="BG37" s="1"/>
      <c r="BH37" s="1"/>
      <c r="BI37" s="1"/>
      <c r="BJ37" s="1"/>
      <c r="BK37" s="1"/>
      <c r="BL37" s="1"/>
      <c r="BM37" s="1"/>
      <c r="BN37" s="1"/>
      <c r="BO37" s="1"/>
      <c r="BP37" s="1"/>
      <c r="BQ37" s="1"/>
      <c r="BR37" s="1"/>
      <c r="BS37" s="1"/>
      <c r="BT37" s="1"/>
      <c r="BU37" s="1"/>
      <c r="BV37" s="1"/>
      <c r="BW37" s="1"/>
      <c r="BX37" s="1"/>
      <c r="BY37" s="1"/>
      <c r="BZ37" s="1"/>
      <c r="CA37" s="1"/>
      <c r="CB37" s="1"/>
      <c r="CC37" s="1"/>
      <c r="CD37" s="1"/>
      <c r="CE37" s="1"/>
      <c r="CF37" s="1"/>
      <c r="CG37" s="1"/>
      <c r="CH37" s="1"/>
      <c r="CI37" s="1"/>
      <c r="CJ37" s="1"/>
      <c r="CK37" s="1"/>
      <c r="CL37" s="1"/>
      <c r="CM37" s="1"/>
      <c r="CN37" s="1"/>
      <c r="CO37" s="1"/>
      <c r="CP37" s="1"/>
      <c r="CQ37" s="1"/>
      <c r="CR37" s="1"/>
      <c r="CS37" s="1"/>
      <c r="CT37" s="1"/>
      <c r="CU37" s="1"/>
      <c r="CV37" s="1"/>
      <c r="CW37" s="1"/>
      <c r="CX37" s="1"/>
      <c r="CY37" s="1"/>
      <c r="CZ37" s="1"/>
      <c r="DA37" s="1"/>
      <c r="DB37" s="1"/>
      <c r="DC37" s="1"/>
      <c r="DD37" s="1"/>
      <c r="DE37" s="1"/>
      <c r="DF37" s="1"/>
      <c r="DG37" s="1"/>
      <c r="DH37" s="1"/>
      <c r="DI37" s="1"/>
      <c r="DJ37" s="1"/>
      <c r="DK37" s="1"/>
      <c r="DL37" s="1"/>
      <c r="DM37" s="1"/>
      <c r="DN37" s="1"/>
      <c r="DO37" s="1"/>
      <c r="DP37" s="1"/>
      <c r="DQ37" s="1"/>
      <c r="DR37" s="1"/>
      <c r="DS37" s="1"/>
      <c r="DT37" s="1"/>
      <c r="DU37" s="1"/>
      <c r="DV37" s="1"/>
      <c r="DW37" s="1"/>
      <c r="DX37" s="1"/>
      <c r="DY37" s="1"/>
      <c r="DZ37" s="1"/>
      <c r="EA37" s="1"/>
      <c r="EB37" s="1"/>
      <c r="EC37" s="1"/>
      <c r="ED37" s="1"/>
      <c r="EE37" s="1"/>
      <c r="EF37" s="1"/>
      <c r="EG37" s="1"/>
      <c r="EH37" s="1"/>
      <c r="EI37" s="1"/>
      <c r="EJ37" s="1"/>
      <c r="EK37" s="1"/>
      <c r="EL37" s="1"/>
      <c r="EM37" s="1"/>
      <c r="EN37" s="1"/>
      <c r="EO37" s="1"/>
      <c r="EP37" s="1"/>
      <c r="EQ37" s="1"/>
      <c r="ER37" s="1"/>
      <c r="ES37" s="1"/>
      <c r="ET37" s="1"/>
      <c r="EU37" s="1"/>
      <c r="EV37" s="1"/>
      <c r="EW37" s="1"/>
      <c r="EX37" s="1"/>
      <c r="EY37" s="1"/>
      <c r="EZ37" s="1"/>
      <c r="FA37" s="1"/>
      <c r="FB37" s="1"/>
      <c r="FC37" s="1"/>
      <c r="FD37" s="1"/>
      <c r="FE37" s="1"/>
      <c r="FF37" s="1"/>
      <c r="FG37" s="1"/>
      <c r="FH37" s="1"/>
      <c r="FI37" s="1"/>
      <c r="FJ37" s="1"/>
      <c r="FK37" s="1"/>
      <c r="FL37" s="1"/>
      <c r="FM37" s="1"/>
      <c r="FN37" s="1"/>
      <c r="FO37" s="1"/>
      <c r="FP37" s="1"/>
      <c r="FQ37" s="1"/>
      <c r="FR37" s="1"/>
      <c r="FS37" s="1"/>
      <c r="FT37" s="1"/>
      <c r="FU37" s="1"/>
      <c r="FV37" s="1"/>
      <c r="FW37" s="1"/>
      <c r="FX37" s="1"/>
      <c r="FY37" s="1"/>
      <c r="FZ37" s="1"/>
      <c r="GA37" s="1"/>
      <c r="GB37" s="1"/>
      <c r="GC37" s="1"/>
      <c r="GD37" s="1"/>
      <c r="GE37" s="1"/>
      <c r="GF37" s="1"/>
      <c r="GG37" s="1"/>
      <c r="GH37" s="1"/>
      <c r="GI37" s="1"/>
      <c r="GJ37" s="1"/>
      <c r="GK37" s="1"/>
      <c r="GL37" s="1"/>
      <c r="GM37" s="1"/>
      <c r="GN37" s="1"/>
      <c r="GO37" s="1"/>
      <c r="GP37" s="1"/>
      <c r="GQ37" s="1"/>
      <c r="GR37" s="1"/>
      <c r="GS37" s="1"/>
      <c r="GT37" s="1"/>
      <c r="GU37" s="1"/>
      <c r="GV37" s="1"/>
      <c r="GW37" s="1"/>
      <c r="GX37" s="1"/>
      <c r="GY37" s="1"/>
      <c r="GZ37" s="1"/>
      <c r="HA37" s="1"/>
      <c r="HB37" s="1"/>
      <c r="HC37" s="1"/>
      <c r="HD37" s="1"/>
      <c r="HE37" s="1"/>
      <c r="HF37" s="1"/>
      <c r="HG37" s="1"/>
      <c r="HH37" s="1"/>
      <c r="HI37" s="1"/>
      <c r="HJ37" s="1"/>
      <c r="HK37" s="1"/>
      <c r="HL37" s="1"/>
      <c r="HM37" s="1"/>
      <c r="HN37" s="1"/>
      <c r="HO37" s="1"/>
      <c r="HP37" s="1"/>
      <c r="HQ37" s="1"/>
      <c r="HR37" s="1"/>
      <c r="HS37" s="1"/>
      <c r="HT37" s="1"/>
      <c r="HU37" s="1"/>
      <c r="HV37" s="1"/>
      <c r="HW37" s="1"/>
      <c r="HX37" s="1"/>
      <c r="HY37" s="1"/>
      <c r="HZ37" s="1"/>
      <c r="IA37" s="1"/>
      <c r="IB37" s="1"/>
      <c r="IC37" s="1"/>
      <c r="ID37" s="1"/>
      <c r="IE37" s="1"/>
      <c r="IF37" s="1"/>
      <c r="IG37" s="1"/>
      <c r="IH37" s="1"/>
      <c r="II37" s="1"/>
      <c r="IJ37" s="1"/>
      <c r="IK37" s="1"/>
      <c r="IL37" s="1"/>
      <c r="IM37" s="1"/>
      <c r="IN37" s="1"/>
      <c r="IO37" s="1"/>
      <c r="IP37" s="1"/>
      <c r="IQ37" s="1"/>
      <c r="IR37" s="1"/>
      <c r="IS37" s="1"/>
      <c r="IT37" s="1"/>
      <c r="IU37" s="1"/>
      <c r="IV37" s="1"/>
      <c r="IW37" s="1"/>
      <c r="IX37" s="1"/>
      <c r="IY37" s="1"/>
      <c r="IZ37" s="1"/>
      <c r="JA37" s="1"/>
      <c r="JB37" s="1"/>
      <c r="JC37" s="1"/>
      <c r="JD37" s="1"/>
      <c r="JE37" s="1"/>
      <c r="JF37" s="1"/>
      <c r="JG37" s="1"/>
      <c r="JH37" s="1"/>
      <c r="JI37" s="1"/>
      <c r="JJ37" s="1"/>
      <c r="JK37" s="1"/>
      <c r="JL37" s="1"/>
      <c r="JM37" s="1"/>
      <c r="JN37" s="1"/>
      <c r="JO37" s="1"/>
      <c r="JP37" s="1"/>
      <c r="JQ37" s="1"/>
      <c r="JR37" s="1"/>
      <c r="JS37" s="1"/>
      <c r="JT37" s="1"/>
      <c r="JU37" s="1"/>
      <c r="JV37" s="1"/>
      <c r="JW37" s="1"/>
      <c r="JX37" s="1"/>
      <c r="JY37" s="1"/>
      <c r="JZ37" s="1"/>
      <c r="KA37" s="1"/>
      <c r="KB37" s="1"/>
      <c r="KC37" s="1"/>
      <c r="KD37" s="1"/>
      <c r="KE37" s="1"/>
      <c r="KF37" s="1"/>
      <c r="KG37" s="1"/>
      <c r="KH37" s="1"/>
      <c r="KI37" s="1"/>
      <c r="KJ37" s="1"/>
      <c r="KK37" s="1"/>
      <c r="KL37" s="1"/>
      <c r="KM37" s="1"/>
      <c r="KN37" s="1"/>
      <c r="KO37" s="1"/>
      <c r="KP37" s="1"/>
      <c r="KQ37" s="1"/>
      <c r="KR37" s="1"/>
      <c r="KS37" s="1"/>
      <c r="KT37" s="1"/>
      <c r="KU37" s="1"/>
      <c r="KV37" s="1"/>
      <c r="KW37" s="1"/>
      <c r="KX37" s="1"/>
      <c r="KY37" s="1"/>
      <c r="KZ37" s="1"/>
      <c r="LA37" s="1"/>
      <c r="LB37" s="1"/>
      <c r="LC37" s="1"/>
      <c r="LD37" s="1"/>
      <c r="LE37" s="1"/>
      <c r="LF37" s="1"/>
      <c r="LG37" s="1"/>
      <c r="LH37" s="1"/>
      <c r="LI37" s="1"/>
      <c r="LJ37" s="1"/>
      <c r="LK37" s="1"/>
      <c r="LL37" s="1"/>
      <c r="LM37" s="1"/>
      <c r="LN37" s="1"/>
      <c r="LO37" s="1"/>
      <c r="LP37" s="1"/>
      <c r="LQ37" s="1"/>
      <c r="LR37" s="1"/>
      <c r="LS37" s="1"/>
    </row>
    <row r="38" spans="1:331" s="40" customFormat="1" x14ac:dyDescent="0.25">
      <c r="A38" s="40" t="s">
        <v>203</v>
      </c>
      <c r="B38" s="40" t="s">
        <v>204</v>
      </c>
      <c r="C38" s="96" t="s">
        <v>1646</v>
      </c>
      <c r="D38" s="40">
        <v>0</v>
      </c>
      <c r="H38" s="40" t="s">
        <v>205</v>
      </c>
      <c r="I38" s="40" t="s">
        <v>205</v>
      </c>
      <c r="J38" s="40" t="s">
        <v>206</v>
      </c>
      <c r="K38" s="40" t="s">
        <v>205</v>
      </c>
      <c r="L38" s="40">
        <v>0</v>
      </c>
      <c r="O38" s="40">
        <v>1</v>
      </c>
      <c r="P38" s="40" t="s">
        <v>207</v>
      </c>
      <c r="Q38" s="96" t="s">
        <v>1499</v>
      </c>
      <c r="R38" s="96"/>
      <c r="S38" s="40">
        <v>16</v>
      </c>
      <c r="U38" s="40">
        <v>10</v>
      </c>
      <c r="W38" s="96">
        <v>16</v>
      </c>
      <c r="X38" s="96"/>
      <c r="Y38" s="96"/>
      <c r="Z38" s="40">
        <v>8</v>
      </c>
      <c r="AA38" s="94" t="b">
        <v>1</v>
      </c>
      <c r="AB38" s="1" t="s">
        <v>1898</v>
      </c>
      <c r="AC38" s="57" t="s">
        <v>1306</v>
      </c>
      <c r="AD38" s="1"/>
      <c r="AE38" s="57"/>
      <c r="AF38" s="1"/>
      <c r="AG38" s="1"/>
      <c r="AH38" s="1"/>
      <c r="AI38" s="1"/>
      <c r="AJ38" s="1"/>
      <c r="AK38" s="1"/>
      <c r="AL38" s="1"/>
      <c r="AM38" s="1"/>
      <c r="AN38" s="1"/>
      <c r="AO38" s="1"/>
      <c r="AP38" s="1"/>
      <c r="AQ38" s="1"/>
      <c r="AR38" s="1"/>
      <c r="AS38" s="1"/>
      <c r="AT38" s="1"/>
      <c r="AU38" s="1"/>
      <c r="AV38" s="1"/>
      <c r="AW38" s="1"/>
      <c r="AX38" s="1"/>
      <c r="AY38" s="1"/>
      <c r="AZ38" s="1"/>
      <c r="BA38" s="1"/>
      <c r="BB38" s="1"/>
      <c r="BC38" s="1"/>
      <c r="BD38" s="1"/>
      <c r="BE38" s="1"/>
      <c r="BF38" s="1"/>
      <c r="BG38" s="1"/>
      <c r="BH38" s="1"/>
      <c r="BI38" s="1"/>
      <c r="BJ38" s="1"/>
      <c r="BK38" s="1"/>
      <c r="BL38" s="1"/>
      <c r="BM38" s="1"/>
      <c r="BN38" s="1"/>
      <c r="BO38" s="1"/>
      <c r="BP38" s="1"/>
      <c r="BQ38" s="1"/>
      <c r="BR38" s="1"/>
      <c r="BS38" s="1"/>
      <c r="BT38" s="1"/>
      <c r="BU38" s="1"/>
      <c r="BV38" s="1"/>
      <c r="BW38" s="1"/>
      <c r="BX38" s="1"/>
      <c r="BY38" s="1"/>
      <c r="BZ38" s="1"/>
      <c r="CA38" s="1"/>
      <c r="CB38" s="1"/>
      <c r="CC38" s="1"/>
      <c r="CD38" s="1"/>
      <c r="CE38" s="1"/>
      <c r="CF38" s="1"/>
      <c r="CG38" s="1"/>
      <c r="CH38" s="1"/>
      <c r="CI38" s="1"/>
      <c r="CJ38" s="1"/>
      <c r="CK38" s="1"/>
      <c r="CL38" s="1"/>
      <c r="CM38" s="1"/>
      <c r="CN38" s="1"/>
      <c r="CO38" s="1"/>
      <c r="CP38" s="1"/>
      <c r="CQ38" s="1"/>
      <c r="CR38" s="1"/>
      <c r="CS38" s="1"/>
      <c r="CT38" s="1"/>
      <c r="CU38" s="1"/>
      <c r="CV38" s="1"/>
      <c r="CW38" s="1"/>
      <c r="CX38" s="1"/>
      <c r="CY38" s="1"/>
      <c r="CZ38" s="1"/>
      <c r="DA38" s="1"/>
      <c r="DB38" s="1"/>
      <c r="DC38" s="1"/>
      <c r="DD38" s="1"/>
      <c r="DE38" s="1"/>
      <c r="DF38" s="1"/>
      <c r="DG38" s="1"/>
      <c r="DH38" s="1"/>
      <c r="DI38" s="1"/>
      <c r="DJ38" s="1"/>
      <c r="DK38" s="1"/>
      <c r="DL38" s="1"/>
      <c r="DM38" s="1"/>
      <c r="DN38" s="1"/>
      <c r="DO38" s="1"/>
      <c r="DP38" s="1"/>
      <c r="DQ38" s="1"/>
      <c r="DR38" s="1"/>
      <c r="DS38" s="1"/>
      <c r="DT38" s="1"/>
      <c r="DU38" s="1"/>
      <c r="DV38" s="1"/>
      <c r="DW38" s="1"/>
      <c r="DX38" s="1"/>
      <c r="DY38" s="1"/>
      <c r="DZ38" s="1"/>
      <c r="EA38" s="1"/>
      <c r="EB38" s="1"/>
      <c r="EC38" s="1"/>
      <c r="ED38" s="1"/>
      <c r="EE38" s="1"/>
      <c r="EF38" s="1"/>
      <c r="EG38" s="1"/>
      <c r="EH38" s="1"/>
      <c r="EI38" s="1"/>
      <c r="EJ38" s="1"/>
      <c r="EK38" s="1"/>
      <c r="EL38" s="1"/>
      <c r="EM38" s="1"/>
      <c r="EN38" s="1"/>
      <c r="EO38" s="1"/>
      <c r="EP38" s="1"/>
      <c r="EQ38" s="1"/>
      <c r="ER38" s="1"/>
      <c r="ES38" s="1"/>
      <c r="ET38" s="1"/>
      <c r="EU38" s="1"/>
      <c r="EV38" s="1"/>
      <c r="EW38" s="1"/>
      <c r="EX38" s="1"/>
      <c r="EY38" s="1"/>
      <c r="EZ38" s="1"/>
      <c r="FA38" s="1"/>
      <c r="FB38" s="1"/>
      <c r="FC38" s="1"/>
      <c r="FD38" s="1"/>
      <c r="FE38" s="1"/>
      <c r="FF38" s="1"/>
      <c r="FG38" s="1"/>
      <c r="FH38" s="1"/>
      <c r="FI38" s="1"/>
      <c r="FJ38" s="1"/>
      <c r="FK38" s="1"/>
      <c r="FL38" s="1"/>
      <c r="FM38" s="1"/>
      <c r="FN38" s="1"/>
      <c r="FO38" s="1"/>
      <c r="FP38" s="1"/>
      <c r="FQ38" s="1"/>
      <c r="FR38" s="1"/>
      <c r="FS38" s="1"/>
      <c r="FT38" s="1"/>
      <c r="FU38" s="1"/>
      <c r="FV38" s="1"/>
      <c r="FW38" s="1"/>
      <c r="FX38" s="1"/>
      <c r="FY38" s="1"/>
      <c r="FZ38" s="1"/>
      <c r="GA38" s="1"/>
      <c r="GB38" s="1"/>
      <c r="GC38" s="1"/>
      <c r="GD38" s="1"/>
      <c r="GE38" s="1"/>
      <c r="GF38" s="1"/>
      <c r="GG38" s="1"/>
      <c r="GH38" s="1"/>
      <c r="GI38" s="1"/>
      <c r="GJ38" s="1"/>
      <c r="GK38" s="1"/>
      <c r="GL38" s="1"/>
      <c r="GM38" s="1"/>
      <c r="GN38" s="1"/>
      <c r="GO38" s="1"/>
      <c r="GP38" s="1"/>
      <c r="GQ38" s="1"/>
      <c r="GR38" s="1"/>
      <c r="GS38" s="1"/>
      <c r="GT38" s="1"/>
      <c r="GU38" s="1"/>
      <c r="GV38" s="1"/>
      <c r="GW38" s="1"/>
      <c r="GX38" s="1"/>
      <c r="GY38" s="1"/>
      <c r="GZ38" s="1"/>
      <c r="HA38" s="1"/>
      <c r="HB38" s="1"/>
      <c r="HC38" s="1"/>
      <c r="HD38" s="1"/>
      <c r="HE38" s="1"/>
      <c r="HF38" s="1"/>
      <c r="HG38" s="1"/>
      <c r="HH38" s="1"/>
      <c r="HI38" s="1"/>
      <c r="HJ38" s="1"/>
      <c r="HK38" s="1"/>
      <c r="HL38" s="1"/>
      <c r="HM38" s="1"/>
      <c r="HN38" s="1"/>
      <c r="HO38" s="1"/>
      <c r="HP38" s="1"/>
      <c r="HQ38" s="1"/>
      <c r="HR38" s="1"/>
      <c r="HS38" s="1"/>
      <c r="HT38" s="1"/>
      <c r="HU38" s="1"/>
      <c r="HV38" s="1"/>
      <c r="HW38" s="1"/>
      <c r="HX38" s="1"/>
      <c r="HY38" s="1"/>
      <c r="HZ38" s="1"/>
      <c r="IA38" s="1"/>
      <c r="IB38" s="1"/>
      <c r="IC38" s="1"/>
      <c r="ID38" s="1"/>
      <c r="IE38" s="1"/>
      <c r="IF38" s="1"/>
      <c r="IG38" s="1"/>
      <c r="IH38" s="1"/>
      <c r="II38" s="1"/>
      <c r="IJ38" s="1"/>
      <c r="IK38" s="1"/>
      <c r="IL38" s="1"/>
      <c r="IM38" s="1"/>
      <c r="IN38" s="1"/>
      <c r="IO38" s="1"/>
      <c r="IP38" s="1"/>
      <c r="IQ38" s="1"/>
      <c r="IR38" s="1"/>
      <c r="IS38" s="1"/>
      <c r="IT38" s="1"/>
      <c r="IU38" s="1"/>
      <c r="IV38" s="1"/>
      <c r="IW38" s="1"/>
      <c r="IX38" s="1"/>
      <c r="IY38" s="1"/>
      <c r="IZ38" s="1"/>
      <c r="JA38" s="1"/>
      <c r="JB38" s="1"/>
      <c r="JC38" s="1"/>
      <c r="JD38" s="1"/>
      <c r="JE38" s="1"/>
      <c r="JF38" s="1"/>
      <c r="JG38" s="1"/>
      <c r="JH38" s="1"/>
      <c r="JI38" s="1"/>
      <c r="JJ38" s="1"/>
      <c r="JK38" s="1"/>
      <c r="JL38" s="1"/>
      <c r="JM38" s="1"/>
      <c r="JN38" s="1"/>
      <c r="JO38" s="1"/>
      <c r="JP38" s="1"/>
      <c r="JQ38" s="1"/>
      <c r="JR38" s="1"/>
      <c r="JS38" s="1"/>
      <c r="JT38" s="1"/>
      <c r="JU38" s="1"/>
      <c r="JV38" s="1"/>
      <c r="JW38" s="1"/>
      <c r="JX38" s="1"/>
      <c r="JY38" s="1"/>
      <c r="JZ38" s="1"/>
      <c r="KA38" s="1"/>
      <c r="KB38" s="1"/>
      <c r="KC38" s="1"/>
      <c r="KD38" s="1"/>
      <c r="KE38" s="1"/>
      <c r="KF38" s="1"/>
      <c r="KG38" s="1"/>
      <c r="KH38" s="1"/>
      <c r="KI38" s="1"/>
      <c r="KJ38" s="1"/>
      <c r="KK38" s="1"/>
      <c r="KL38" s="1"/>
      <c r="KM38" s="1"/>
      <c r="KN38" s="1"/>
      <c r="KO38" s="1"/>
      <c r="KP38" s="1"/>
      <c r="KQ38" s="1"/>
      <c r="KR38" s="1"/>
      <c r="KS38" s="1"/>
      <c r="KT38" s="1"/>
      <c r="KU38" s="1"/>
      <c r="KV38" s="1"/>
      <c r="KW38" s="1"/>
      <c r="KX38" s="1"/>
      <c r="KY38" s="1"/>
      <c r="KZ38" s="1"/>
      <c r="LA38" s="1"/>
      <c r="LB38" s="1"/>
      <c r="LC38" s="1"/>
      <c r="LD38" s="1"/>
      <c r="LE38" s="1"/>
      <c r="LF38" s="1"/>
      <c r="LG38" s="1"/>
      <c r="LH38" s="1"/>
      <c r="LI38" s="1"/>
      <c r="LJ38" s="1"/>
      <c r="LK38" s="1"/>
      <c r="LL38" s="1"/>
      <c r="LM38" s="1"/>
      <c r="LN38" s="1"/>
      <c r="LO38" s="1"/>
      <c r="LP38" s="1"/>
      <c r="LQ38" s="1"/>
      <c r="LR38" s="1"/>
      <c r="LS38" s="1"/>
    </row>
    <row r="39" spans="1:331" s="25" customFormat="1" x14ac:dyDescent="0.25">
      <c r="A39" s="25" t="s">
        <v>208</v>
      </c>
      <c r="B39" s="29" t="s">
        <v>209</v>
      </c>
      <c r="C39" s="94" t="s">
        <v>1646</v>
      </c>
      <c r="D39" s="25">
        <v>0</v>
      </c>
      <c r="H39" s="25" t="s">
        <v>210</v>
      </c>
      <c r="I39" s="25" t="s">
        <v>211</v>
      </c>
      <c r="J39" s="25" t="s">
        <v>210</v>
      </c>
      <c r="K39" s="25" t="s">
        <v>775</v>
      </c>
      <c r="L39" s="25">
        <v>0</v>
      </c>
      <c r="O39" s="25">
        <v>1</v>
      </c>
      <c r="Q39" s="96" t="s">
        <v>1500</v>
      </c>
      <c r="R39" s="96"/>
      <c r="T39" s="25">
        <v>10</v>
      </c>
      <c r="V39" s="25">
        <v>11</v>
      </c>
      <c r="W39" s="96">
        <v>10</v>
      </c>
      <c r="X39" s="96"/>
      <c r="Y39" s="96"/>
      <c r="Z39" s="25">
        <v>5</v>
      </c>
      <c r="AA39" s="94" t="b">
        <v>1</v>
      </c>
      <c r="AB39" s="1"/>
      <c r="AC39" s="57" t="s">
        <v>1307</v>
      </c>
      <c r="AD39" s="1"/>
      <c r="AE39" s="57"/>
      <c r="AF39" s="1"/>
      <c r="AG39" s="1"/>
      <c r="AH39" s="1"/>
      <c r="AI39" s="1"/>
      <c r="AJ39" s="1"/>
      <c r="AK39" s="1"/>
      <c r="AL39" s="1"/>
      <c r="AM39" s="1"/>
      <c r="AN39" s="1"/>
      <c r="AO39" s="1"/>
      <c r="AP39" s="1"/>
      <c r="AQ39" s="1"/>
      <c r="AR39" s="1"/>
      <c r="AS39" s="1"/>
      <c r="AT39" s="1"/>
      <c r="AU39" s="1"/>
      <c r="AV39" s="1"/>
      <c r="AW39" s="1"/>
      <c r="AX39" s="1"/>
      <c r="AY39" s="1"/>
      <c r="AZ39" s="1"/>
      <c r="BA39" s="1"/>
      <c r="BB39" s="1"/>
      <c r="BC39" s="1"/>
      <c r="BD39" s="1"/>
      <c r="BE39" s="1"/>
      <c r="BF39" s="1"/>
      <c r="BG39" s="1"/>
      <c r="BH39" s="1"/>
      <c r="BI39" s="1"/>
      <c r="BJ39" s="1"/>
      <c r="BK39" s="1"/>
      <c r="BL39" s="1"/>
      <c r="BM39" s="1"/>
      <c r="BN39" s="1"/>
      <c r="BO39" s="1"/>
      <c r="BP39" s="1"/>
      <c r="BQ39" s="1"/>
      <c r="BR39" s="1"/>
      <c r="BS39" s="1"/>
      <c r="BT39" s="1"/>
      <c r="BU39" s="1"/>
      <c r="BV39" s="1"/>
      <c r="BW39" s="1"/>
      <c r="BX39" s="1"/>
      <c r="BY39" s="1"/>
      <c r="BZ39" s="1"/>
      <c r="CA39" s="1"/>
      <c r="CB39" s="1"/>
      <c r="CC39" s="1"/>
      <c r="CD39" s="1"/>
      <c r="CE39" s="1"/>
      <c r="CF39" s="1"/>
      <c r="CG39" s="1"/>
      <c r="CH39" s="1"/>
      <c r="CI39" s="1"/>
      <c r="CJ39" s="1"/>
      <c r="CK39" s="1"/>
      <c r="CL39" s="1"/>
      <c r="CM39" s="1"/>
      <c r="CN39" s="1"/>
      <c r="CO39" s="1"/>
      <c r="CP39" s="1"/>
      <c r="CQ39" s="1"/>
      <c r="CR39" s="1"/>
      <c r="CS39" s="1"/>
      <c r="CT39" s="1"/>
      <c r="CU39" s="1"/>
      <c r="CV39" s="1"/>
      <c r="CW39" s="1"/>
      <c r="CX39" s="1"/>
      <c r="CY39" s="1"/>
      <c r="CZ39" s="1"/>
      <c r="DA39" s="1"/>
      <c r="DB39" s="1"/>
      <c r="DC39" s="1"/>
      <c r="DD39" s="1"/>
      <c r="DE39" s="1"/>
      <c r="DF39" s="1"/>
      <c r="DG39" s="1"/>
      <c r="DH39" s="1"/>
      <c r="DI39" s="1"/>
      <c r="DJ39" s="1"/>
      <c r="DK39" s="1"/>
      <c r="DL39" s="1"/>
      <c r="DM39" s="1"/>
      <c r="DN39" s="1"/>
      <c r="DO39" s="1"/>
      <c r="DP39" s="1"/>
      <c r="DQ39" s="1"/>
      <c r="DR39" s="1"/>
      <c r="DS39" s="1"/>
      <c r="DT39" s="1"/>
      <c r="DU39" s="1"/>
      <c r="DV39" s="1"/>
      <c r="DW39" s="1"/>
      <c r="DX39" s="1"/>
      <c r="DY39" s="1"/>
      <c r="DZ39" s="1"/>
      <c r="EA39" s="1"/>
      <c r="EB39" s="1"/>
      <c r="EC39" s="1"/>
      <c r="ED39" s="1"/>
      <c r="EE39" s="1"/>
      <c r="EF39" s="1"/>
      <c r="EG39" s="1"/>
      <c r="EH39" s="1"/>
      <c r="EI39" s="1"/>
      <c r="EJ39" s="1"/>
      <c r="EK39" s="1"/>
      <c r="EL39" s="1"/>
      <c r="EM39" s="1"/>
      <c r="EN39" s="1"/>
      <c r="EO39" s="1"/>
      <c r="EP39" s="1"/>
      <c r="EQ39" s="1"/>
      <c r="ER39" s="1"/>
      <c r="ES39" s="1"/>
      <c r="ET39" s="1"/>
      <c r="EU39" s="1"/>
      <c r="EV39" s="1"/>
      <c r="EW39" s="1"/>
      <c r="EX39" s="1"/>
      <c r="EY39" s="1"/>
      <c r="EZ39" s="1"/>
      <c r="FA39" s="1"/>
      <c r="FB39" s="1"/>
      <c r="FC39" s="1"/>
      <c r="FD39" s="1"/>
      <c r="FE39" s="1"/>
      <c r="FF39" s="1"/>
      <c r="FG39" s="1"/>
      <c r="FH39" s="1"/>
      <c r="FI39" s="1"/>
      <c r="FJ39" s="1"/>
      <c r="FK39" s="1"/>
      <c r="FL39" s="1"/>
      <c r="FM39" s="1"/>
      <c r="FN39" s="1"/>
      <c r="FO39" s="1"/>
      <c r="FP39" s="1"/>
      <c r="FQ39" s="1"/>
      <c r="FR39" s="1"/>
      <c r="FS39" s="1"/>
      <c r="FT39" s="1"/>
      <c r="FU39" s="1"/>
      <c r="FV39" s="1"/>
      <c r="FW39" s="1"/>
      <c r="FX39" s="1"/>
      <c r="FY39" s="1"/>
      <c r="FZ39" s="1"/>
      <c r="GA39" s="1"/>
      <c r="GB39" s="1"/>
      <c r="GC39" s="1"/>
      <c r="GD39" s="1"/>
      <c r="GE39" s="1"/>
      <c r="GF39" s="1"/>
      <c r="GG39" s="1"/>
      <c r="GH39" s="1"/>
      <c r="GI39" s="1"/>
      <c r="GJ39" s="1"/>
      <c r="GK39" s="1"/>
      <c r="GL39" s="1"/>
      <c r="GM39" s="1"/>
      <c r="GN39" s="1"/>
      <c r="GO39" s="1"/>
      <c r="GP39" s="1"/>
      <c r="GQ39" s="1"/>
      <c r="GR39" s="1"/>
      <c r="GS39" s="1"/>
      <c r="GT39" s="1"/>
      <c r="GU39" s="1"/>
      <c r="GV39" s="1"/>
      <c r="GW39" s="1"/>
      <c r="GX39" s="1"/>
      <c r="GY39" s="1"/>
      <c r="GZ39" s="1"/>
      <c r="HA39" s="1"/>
      <c r="HB39" s="1"/>
      <c r="HC39" s="1"/>
      <c r="HD39" s="1"/>
      <c r="HE39" s="1"/>
      <c r="HF39" s="1"/>
      <c r="HG39" s="1"/>
      <c r="HH39" s="1"/>
      <c r="HI39" s="1"/>
      <c r="HJ39" s="1"/>
      <c r="HK39" s="1"/>
      <c r="HL39" s="1"/>
      <c r="HM39" s="1"/>
      <c r="HN39" s="1"/>
      <c r="HO39" s="1"/>
      <c r="HP39" s="1"/>
      <c r="HQ39" s="1"/>
      <c r="HR39" s="1"/>
      <c r="HS39" s="1"/>
      <c r="HT39" s="1"/>
      <c r="HU39" s="1"/>
      <c r="HV39" s="1"/>
      <c r="HW39" s="1"/>
      <c r="HX39" s="1"/>
      <c r="HY39" s="1"/>
      <c r="HZ39" s="1"/>
      <c r="IA39" s="1"/>
      <c r="IB39" s="1"/>
      <c r="IC39" s="1"/>
      <c r="ID39" s="1"/>
      <c r="IE39" s="1"/>
      <c r="IF39" s="1"/>
      <c r="IG39" s="1"/>
      <c r="IH39" s="1"/>
      <c r="II39" s="1"/>
      <c r="IJ39" s="1"/>
      <c r="IK39" s="1"/>
      <c r="IL39" s="1"/>
      <c r="IM39" s="1"/>
      <c r="IN39" s="1"/>
      <c r="IO39" s="1"/>
      <c r="IP39" s="1"/>
      <c r="IQ39" s="1"/>
      <c r="IR39" s="1"/>
      <c r="IS39" s="1"/>
      <c r="IT39" s="1"/>
      <c r="IU39" s="1"/>
      <c r="IV39" s="1"/>
      <c r="IW39" s="1"/>
      <c r="IX39" s="1"/>
      <c r="IY39" s="1"/>
      <c r="IZ39" s="1"/>
      <c r="JA39" s="1"/>
      <c r="JB39" s="1"/>
      <c r="JC39" s="1"/>
      <c r="JD39" s="1"/>
      <c r="JE39" s="1"/>
      <c r="JF39" s="1"/>
      <c r="JG39" s="1"/>
      <c r="JH39" s="1"/>
      <c r="JI39" s="1"/>
      <c r="JJ39" s="1"/>
      <c r="JK39" s="1"/>
      <c r="JL39" s="1"/>
      <c r="JM39" s="1"/>
      <c r="JN39" s="1"/>
      <c r="JO39" s="1"/>
      <c r="JP39" s="1"/>
      <c r="JQ39" s="1"/>
      <c r="JR39" s="1"/>
      <c r="JS39" s="1"/>
      <c r="JT39" s="1"/>
      <c r="JU39" s="1"/>
      <c r="JV39" s="1"/>
      <c r="JW39" s="1"/>
      <c r="JX39" s="1"/>
      <c r="JY39" s="1"/>
      <c r="JZ39" s="1"/>
      <c r="KA39" s="1"/>
      <c r="KB39" s="1"/>
      <c r="KC39" s="1"/>
      <c r="KD39" s="1"/>
      <c r="KE39" s="1"/>
      <c r="KF39" s="1"/>
      <c r="KG39" s="1"/>
      <c r="KH39" s="1"/>
      <c r="KI39" s="1"/>
      <c r="KJ39" s="1"/>
      <c r="KK39" s="1"/>
      <c r="KL39" s="1"/>
      <c r="KM39" s="1"/>
      <c r="KN39" s="1"/>
      <c r="KO39" s="1"/>
      <c r="KP39" s="1"/>
      <c r="KQ39" s="1"/>
      <c r="KR39" s="1"/>
      <c r="KS39" s="1"/>
      <c r="KT39" s="1"/>
      <c r="KU39" s="1"/>
      <c r="KV39" s="1"/>
      <c r="KW39" s="1"/>
      <c r="KX39" s="1"/>
      <c r="KY39" s="1"/>
      <c r="KZ39" s="1"/>
      <c r="LA39" s="1"/>
      <c r="LB39" s="1"/>
      <c r="LC39" s="1"/>
      <c r="LD39" s="1"/>
      <c r="LE39" s="1"/>
      <c r="LF39" s="1"/>
      <c r="LG39" s="1"/>
      <c r="LH39" s="1"/>
      <c r="LI39" s="1"/>
      <c r="LJ39" s="1"/>
      <c r="LK39" s="1"/>
      <c r="LL39" s="1"/>
      <c r="LM39" s="1"/>
      <c r="LN39" s="1"/>
      <c r="LO39" s="1"/>
      <c r="LP39" s="1"/>
      <c r="LQ39" s="1"/>
      <c r="LR39" s="1"/>
      <c r="LS39" s="1"/>
    </row>
    <row r="40" spans="1:331" s="25" customFormat="1" x14ac:dyDescent="0.25">
      <c r="A40" s="25" t="s">
        <v>212</v>
      </c>
      <c r="B40" s="29" t="s">
        <v>213</v>
      </c>
      <c r="C40" s="94" t="s">
        <v>1646</v>
      </c>
      <c r="D40" s="25">
        <v>0</v>
      </c>
      <c r="H40" s="25" t="s">
        <v>214</v>
      </c>
      <c r="I40" s="25" t="s">
        <v>214</v>
      </c>
      <c r="J40" s="25" t="s">
        <v>214</v>
      </c>
      <c r="K40" s="25" t="s">
        <v>214</v>
      </c>
      <c r="L40" s="25">
        <v>0</v>
      </c>
      <c r="O40" s="25">
        <v>0</v>
      </c>
      <c r="Q40" s="96" t="s">
        <v>1501</v>
      </c>
      <c r="R40" s="96"/>
      <c r="S40" s="25">
        <v>28</v>
      </c>
      <c r="W40" s="96">
        <v>28</v>
      </c>
      <c r="X40" s="96"/>
      <c r="Y40" s="96"/>
      <c r="Z40" s="25">
        <v>5</v>
      </c>
      <c r="AA40" s="94" t="b">
        <v>1</v>
      </c>
      <c r="AB40" s="1" t="s">
        <v>1901</v>
      </c>
      <c r="AC40" s="57" t="s">
        <v>1304</v>
      </c>
      <c r="AD40" s="1"/>
      <c r="AE40" s="57"/>
      <c r="AF40" s="1"/>
      <c r="AG40" s="1"/>
      <c r="AH40" s="1"/>
      <c r="AI40" s="1"/>
      <c r="AJ40" s="1"/>
      <c r="AK40" s="1"/>
      <c r="AL40" s="1"/>
      <c r="AM40" s="1"/>
      <c r="AN40" s="1"/>
      <c r="AO40" s="1"/>
      <c r="AP40" s="1"/>
      <c r="AQ40" s="1"/>
      <c r="AR40" s="1"/>
      <c r="AS40" s="1"/>
      <c r="AT40" s="1"/>
      <c r="AU40" s="1"/>
      <c r="AV40" s="1"/>
      <c r="AW40" s="1"/>
      <c r="AX40" s="1"/>
      <c r="AY40" s="1"/>
      <c r="AZ40" s="1"/>
      <c r="BA40" s="1"/>
      <c r="BB40" s="1"/>
      <c r="BC40" s="1"/>
      <c r="BD40" s="1"/>
      <c r="BE40" s="1"/>
      <c r="BF40" s="1"/>
      <c r="BG40" s="1"/>
      <c r="BH40" s="1"/>
      <c r="BI40" s="1"/>
      <c r="BJ40" s="1"/>
      <c r="BK40" s="1"/>
      <c r="BL40" s="1"/>
      <c r="BM40" s="1"/>
      <c r="BN40" s="1"/>
      <c r="BO40" s="1"/>
      <c r="BP40" s="1"/>
      <c r="BQ40" s="1"/>
      <c r="BR40" s="1"/>
      <c r="BS40" s="1"/>
      <c r="BT40" s="1"/>
      <c r="BU40" s="1"/>
      <c r="BV40" s="1"/>
      <c r="BW40" s="1"/>
      <c r="BX40" s="1"/>
      <c r="BY40" s="1"/>
      <c r="BZ40" s="1"/>
      <c r="CA40" s="1"/>
      <c r="CB40" s="1"/>
      <c r="CC40" s="1"/>
      <c r="CD40" s="1"/>
      <c r="CE40" s="1"/>
      <c r="CF40" s="1"/>
      <c r="CG40" s="1"/>
      <c r="CH40" s="1"/>
      <c r="CI40" s="1"/>
      <c r="CJ40" s="1"/>
      <c r="CK40" s="1"/>
      <c r="CL40" s="1"/>
      <c r="CM40" s="1"/>
      <c r="CN40" s="1"/>
      <c r="CO40" s="1"/>
      <c r="CP40" s="1"/>
      <c r="CQ40" s="1"/>
      <c r="CR40" s="1"/>
      <c r="CS40" s="1"/>
      <c r="CT40" s="1"/>
      <c r="CU40" s="1"/>
      <c r="CV40" s="1"/>
      <c r="CW40" s="1"/>
      <c r="CX40" s="1"/>
      <c r="CY40" s="1"/>
      <c r="CZ40" s="1"/>
      <c r="DA40" s="1"/>
      <c r="DB40" s="1"/>
      <c r="DC40" s="1"/>
      <c r="DD40" s="1"/>
      <c r="DE40" s="1"/>
      <c r="DF40" s="1"/>
      <c r="DG40" s="1"/>
      <c r="DH40" s="1"/>
      <c r="DI40" s="1"/>
      <c r="DJ40" s="1"/>
      <c r="DK40" s="1"/>
      <c r="DL40" s="1"/>
      <c r="DM40" s="1"/>
      <c r="DN40" s="1"/>
      <c r="DO40" s="1"/>
      <c r="DP40" s="1"/>
      <c r="DQ40" s="1"/>
      <c r="DR40" s="1"/>
      <c r="DS40" s="1"/>
      <c r="DT40" s="1"/>
      <c r="DU40" s="1"/>
      <c r="DV40" s="1"/>
      <c r="DW40" s="1"/>
      <c r="DX40" s="1"/>
      <c r="DY40" s="1"/>
      <c r="DZ40" s="1"/>
      <c r="EA40" s="1"/>
      <c r="EB40" s="1"/>
      <c r="EC40" s="1"/>
      <c r="ED40" s="1"/>
      <c r="EE40" s="1"/>
      <c r="EF40" s="1"/>
      <c r="EG40" s="1"/>
      <c r="EH40" s="1"/>
      <c r="EI40" s="1"/>
      <c r="EJ40" s="1"/>
      <c r="EK40" s="1"/>
      <c r="EL40" s="1"/>
      <c r="EM40" s="1"/>
      <c r="EN40" s="1"/>
      <c r="EO40" s="1"/>
      <c r="EP40" s="1"/>
      <c r="EQ40" s="1"/>
      <c r="ER40" s="1"/>
      <c r="ES40" s="1"/>
      <c r="ET40" s="1"/>
      <c r="EU40" s="1"/>
      <c r="EV40" s="1"/>
      <c r="EW40" s="1"/>
      <c r="EX40" s="1"/>
      <c r="EY40" s="1"/>
      <c r="EZ40" s="1"/>
      <c r="FA40" s="1"/>
      <c r="FB40" s="1"/>
      <c r="FC40" s="1"/>
      <c r="FD40" s="1"/>
      <c r="FE40" s="1"/>
      <c r="FF40" s="1"/>
      <c r="FG40" s="1"/>
      <c r="FH40" s="1"/>
      <c r="FI40" s="1"/>
      <c r="FJ40" s="1"/>
      <c r="FK40" s="1"/>
      <c r="FL40" s="1"/>
      <c r="FM40" s="1"/>
      <c r="FN40" s="1"/>
      <c r="FO40" s="1"/>
      <c r="FP40" s="1"/>
      <c r="FQ40" s="1"/>
      <c r="FR40" s="1"/>
      <c r="FS40" s="1"/>
      <c r="FT40" s="1"/>
      <c r="FU40" s="1"/>
      <c r="FV40" s="1"/>
      <c r="FW40" s="1"/>
      <c r="FX40" s="1"/>
      <c r="FY40" s="1"/>
      <c r="FZ40" s="1"/>
      <c r="GA40" s="1"/>
      <c r="GB40" s="1"/>
      <c r="GC40" s="1"/>
      <c r="GD40" s="1"/>
      <c r="GE40" s="1"/>
      <c r="GF40" s="1"/>
      <c r="GG40" s="1"/>
      <c r="GH40" s="1"/>
      <c r="GI40" s="1"/>
      <c r="GJ40" s="1"/>
      <c r="GK40" s="1"/>
      <c r="GL40" s="1"/>
      <c r="GM40" s="1"/>
      <c r="GN40" s="1"/>
      <c r="GO40" s="1"/>
      <c r="GP40" s="1"/>
      <c r="GQ40" s="1"/>
      <c r="GR40" s="1"/>
      <c r="GS40" s="1"/>
      <c r="GT40" s="1"/>
      <c r="GU40" s="1"/>
      <c r="GV40" s="1"/>
      <c r="GW40" s="1"/>
      <c r="GX40" s="1"/>
      <c r="GY40" s="1"/>
      <c r="GZ40" s="1"/>
      <c r="HA40" s="1"/>
      <c r="HB40" s="1"/>
      <c r="HC40" s="1"/>
      <c r="HD40" s="1"/>
      <c r="HE40" s="1"/>
      <c r="HF40" s="1"/>
      <c r="HG40" s="1"/>
      <c r="HH40" s="1"/>
      <c r="HI40" s="1"/>
      <c r="HJ40" s="1"/>
      <c r="HK40" s="1"/>
      <c r="HL40" s="1"/>
      <c r="HM40" s="1"/>
      <c r="HN40" s="1"/>
      <c r="HO40" s="1"/>
      <c r="HP40" s="1"/>
      <c r="HQ40" s="1"/>
      <c r="HR40" s="1"/>
      <c r="HS40" s="1"/>
      <c r="HT40" s="1"/>
      <c r="HU40" s="1"/>
      <c r="HV40" s="1"/>
      <c r="HW40" s="1"/>
      <c r="HX40" s="1"/>
      <c r="HY40" s="1"/>
      <c r="HZ40" s="1"/>
      <c r="IA40" s="1"/>
      <c r="IB40" s="1"/>
      <c r="IC40" s="1"/>
      <c r="ID40" s="1"/>
      <c r="IE40" s="1"/>
      <c r="IF40" s="1"/>
      <c r="IG40" s="1"/>
      <c r="IH40" s="1"/>
      <c r="II40" s="1"/>
      <c r="IJ40" s="1"/>
      <c r="IK40" s="1"/>
      <c r="IL40" s="1"/>
      <c r="IM40" s="1"/>
      <c r="IN40" s="1"/>
      <c r="IO40" s="1"/>
      <c r="IP40" s="1"/>
      <c r="IQ40" s="1"/>
      <c r="IR40" s="1"/>
      <c r="IS40" s="1"/>
      <c r="IT40" s="1"/>
      <c r="IU40" s="1"/>
      <c r="IV40" s="1"/>
      <c r="IW40" s="1"/>
      <c r="IX40" s="1"/>
      <c r="IY40" s="1"/>
      <c r="IZ40" s="1"/>
      <c r="JA40" s="1"/>
      <c r="JB40" s="1"/>
      <c r="JC40" s="1"/>
      <c r="JD40" s="1"/>
      <c r="JE40" s="1"/>
      <c r="JF40" s="1"/>
      <c r="JG40" s="1"/>
      <c r="JH40" s="1"/>
      <c r="JI40" s="1"/>
      <c r="JJ40" s="1"/>
      <c r="JK40" s="1"/>
      <c r="JL40" s="1"/>
      <c r="JM40" s="1"/>
      <c r="JN40" s="1"/>
      <c r="JO40" s="1"/>
      <c r="JP40" s="1"/>
      <c r="JQ40" s="1"/>
      <c r="JR40" s="1"/>
      <c r="JS40" s="1"/>
      <c r="JT40" s="1"/>
      <c r="JU40" s="1"/>
      <c r="JV40" s="1"/>
      <c r="JW40" s="1"/>
      <c r="JX40" s="1"/>
      <c r="JY40" s="1"/>
      <c r="JZ40" s="1"/>
      <c r="KA40" s="1"/>
      <c r="KB40" s="1"/>
      <c r="KC40" s="1"/>
      <c r="KD40" s="1"/>
      <c r="KE40" s="1"/>
      <c r="KF40" s="1"/>
      <c r="KG40" s="1"/>
      <c r="KH40" s="1"/>
      <c r="KI40" s="1"/>
      <c r="KJ40" s="1"/>
      <c r="KK40" s="1"/>
      <c r="KL40" s="1"/>
      <c r="KM40" s="1"/>
      <c r="KN40" s="1"/>
      <c r="KO40" s="1"/>
      <c r="KP40" s="1"/>
      <c r="KQ40" s="1"/>
      <c r="KR40" s="1"/>
      <c r="KS40" s="1"/>
      <c r="KT40" s="1"/>
      <c r="KU40" s="1"/>
      <c r="KV40" s="1"/>
      <c r="KW40" s="1"/>
      <c r="KX40" s="1"/>
      <c r="KY40" s="1"/>
      <c r="KZ40" s="1"/>
      <c r="LA40" s="1"/>
      <c r="LB40" s="1"/>
      <c r="LC40" s="1"/>
      <c r="LD40" s="1"/>
      <c r="LE40" s="1"/>
      <c r="LF40" s="1"/>
      <c r="LG40" s="1"/>
      <c r="LH40" s="1"/>
      <c r="LI40" s="1"/>
      <c r="LJ40" s="1"/>
      <c r="LK40" s="1"/>
      <c r="LL40" s="1"/>
      <c r="LM40" s="1"/>
      <c r="LN40" s="1"/>
      <c r="LO40" s="1"/>
      <c r="LP40" s="1"/>
      <c r="LQ40" s="1"/>
      <c r="LR40" s="1"/>
      <c r="LS40" s="1"/>
    </row>
    <row r="41" spans="1:331" s="25" customFormat="1" x14ac:dyDescent="0.25">
      <c r="A41" s="25" t="s">
        <v>215</v>
      </c>
      <c r="B41" s="29" t="s">
        <v>216</v>
      </c>
      <c r="C41" s="94" t="s">
        <v>1646</v>
      </c>
      <c r="D41" s="25">
        <v>0</v>
      </c>
      <c r="H41" s="25" t="s">
        <v>217</v>
      </c>
      <c r="I41" s="25" t="s">
        <v>218</v>
      </c>
      <c r="J41" s="25" t="s">
        <v>217</v>
      </c>
      <c r="K41" s="25" t="s">
        <v>218</v>
      </c>
      <c r="L41" s="25">
        <v>0</v>
      </c>
      <c r="O41" s="25">
        <v>1</v>
      </c>
      <c r="Q41" s="96" t="s">
        <v>1502</v>
      </c>
      <c r="R41" s="96"/>
      <c r="S41" s="25">
        <v>8</v>
      </c>
      <c r="U41" s="25">
        <v>10</v>
      </c>
      <c r="W41" s="96">
        <v>8</v>
      </c>
      <c r="X41" s="96"/>
      <c r="Y41" s="96"/>
      <c r="Z41" s="25">
        <v>5</v>
      </c>
      <c r="AA41" s="94" t="b">
        <v>1</v>
      </c>
      <c r="AB41" s="1"/>
      <c r="AC41" s="57" t="s">
        <v>1308</v>
      </c>
      <c r="AD41" s="1"/>
      <c r="AE41" s="57"/>
      <c r="AF41" s="1"/>
      <c r="AG41" s="1"/>
      <c r="AH41" s="1"/>
      <c r="AI41" s="1"/>
      <c r="AJ41" s="1"/>
      <c r="AK41" s="1"/>
      <c r="AL41" s="1"/>
      <c r="AM41" s="1"/>
      <c r="AN41" s="1"/>
      <c r="AO41" s="1"/>
      <c r="AP41" s="1"/>
      <c r="AQ41" s="1"/>
      <c r="AR41" s="1"/>
      <c r="AS41" s="1"/>
      <c r="AT41" s="1"/>
      <c r="AU41" s="1"/>
      <c r="AV41" s="1"/>
      <c r="AW41" s="1"/>
      <c r="AX41" s="1"/>
      <c r="AY41" s="1"/>
      <c r="AZ41" s="1"/>
      <c r="BA41" s="1"/>
      <c r="BB41" s="1"/>
      <c r="BC41" s="1"/>
      <c r="BD41" s="1"/>
      <c r="BE41" s="1"/>
      <c r="BF41" s="1"/>
      <c r="BG41" s="1"/>
      <c r="BH41" s="1"/>
      <c r="BI41" s="1"/>
      <c r="BJ41" s="1"/>
      <c r="BK41" s="1"/>
      <c r="BL41" s="1"/>
      <c r="BM41" s="1"/>
      <c r="BN41" s="1"/>
      <c r="BO41" s="1"/>
      <c r="BP41" s="1"/>
      <c r="BQ41" s="1"/>
      <c r="BR41" s="1"/>
      <c r="BS41" s="1"/>
      <c r="BT41" s="1"/>
      <c r="BU41" s="1"/>
      <c r="BV41" s="1"/>
      <c r="BW41" s="1"/>
      <c r="BX41" s="1"/>
      <c r="BY41" s="1"/>
      <c r="BZ41" s="1"/>
      <c r="CA41" s="1"/>
      <c r="CB41" s="1"/>
      <c r="CC41" s="1"/>
      <c r="CD41" s="1"/>
      <c r="CE41" s="1"/>
      <c r="CF41" s="1"/>
      <c r="CG41" s="1"/>
      <c r="CH41" s="1"/>
      <c r="CI41" s="1"/>
      <c r="CJ41" s="1"/>
      <c r="CK41" s="1"/>
      <c r="CL41" s="1"/>
      <c r="CM41" s="1"/>
      <c r="CN41" s="1"/>
      <c r="CO41" s="1"/>
      <c r="CP41" s="1"/>
      <c r="CQ41" s="1"/>
      <c r="CR41" s="1"/>
      <c r="CS41" s="1"/>
      <c r="CT41" s="1"/>
      <c r="CU41" s="1"/>
      <c r="CV41" s="1"/>
      <c r="CW41" s="1"/>
      <c r="CX41" s="1"/>
      <c r="CY41" s="1"/>
      <c r="CZ41" s="1"/>
      <c r="DA41" s="1"/>
      <c r="DB41" s="1"/>
      <c r="DC41" s="1"/>
      <c r="DD41" s="1"/>
      <c r="DE41" s="1"/>
      <c r="DF41" s="1"/>
      <c r="DG41" s="1"/>
      <c r="DH41" s="1"/>
      <c r="DI41" s="1"/>
      <c r="DJ41" s="1"/>
      <c r="DK41" s="1"/>
      <c r="DL41" s="1"/>
      <c r="DM41" s="1"/>
      <c r="DN41" s="1"/>
      <c r="DO41" s="1"/>
      <c r="DP41" s="1"/>
      <c r="DQ41" s="1"/>
      <c r="DR41" s="1"/>
      <c r="DS41" s="1"/>
      <c r="DT41" s="1"/>
      <c r="DU41" s="1"/>
      <c r="DV41" s="1"/>
      <c r="DW41" s="1"/>
      <c r="DX41" s="1"/>
      <c r="DY41" s="1"/>
      <c r="DZ41" s="1"/>
      <c r="EA41" s="1"/>
      <c r="EB41" s="1"/>
      <c r="EC41" s="1"/>
      <c r="ED41" s="1"/>
      <c r="EE41" s="1"/>
      <c r="EF41" s="1"/>
      <c r="EG41" s="1"/>
      <c r="EH41" s="1"/>
      <c r="EI41" s="1"/>
      <c r="EJ41" s="1"/>
      <c r="EK41" s="1"/>
      <c r="EL41" s="1"/>
      <c r="EM41" s="1"/>
      <c r="EN41" s="1"/>
      <c r="EO41" s="1"/>
      <c r="EP41" s="1"/>
      <c r="EQ41" s="1"/>
      <c r="ER41" s="1"/>
      <c r="ES41" s="1"/>
      <c r="ET41" s="1"/>
      <c r="EU41" s="1"/>
      <c r="EV41" s="1"/>
      <c r="EW41" s="1"/>
      <c r="EX41" s="1"/>
      <c r="EY41" s="1"/>
      <c r="EZ41" s="1"/>
      <c r="FA41" s="1"/>
      <c r="FB41" s="1"/>
      <c r="FC41" s="1"/>
      <c r="FD41" s="1"/>
      <c r="FE41" s="1"/>
      <c r="FF41" s="1"/>
      <c r="FG41" s="1"/>
      <c r="FH41" s="1"/>
      <c r="FI41" s="1"/>
      <c r="FJ41" s="1"/>
      <c r="FK41" s="1"/>
      <c r="FL41" s="1"/>
      <c r="FM41" s="1"/>
      <c r="FN41" s="1"/>
      <c r="FO41" s="1"/>
      <c r="FP41" s="1"/>
      <c r="FQ41" s="1"/>
      <c r="FR41" s="1"/>
      <c r="FS41" s="1"/>
      <c r="FT41" s="1"/>
      <c r="FU41" s="1"/>
      <c r="FV41" s="1"/>
      <c r="FW41" s="1"/>
      <c r="FX41" s="1"/>
      <c r="FY41" s="1"/>
      <c r="FZ41" s="1"/>
      <c r="GA41" s="1"/>
      <c r="GB41" s="1"/>
      <c r="GC41" s="1"/>
      <c r="GD41" s="1"/>
      <c r="GE41" s="1"/>
      <c r="GF41" s="1"/>
      <c r="GG41" s="1"/>
      <c r="GH41" s="1"/>
      <c r="GI41" s="1"/>
      <c r="GJ41" s="1"/>
      <c r="GK41" s="1"/>
      <c r="GL41" s="1"/>
      <c r="GM41" s="1"/>
      <c r="GN41" s="1"/>
      <c r="GO41" s="1"/>
      <c r="GP41" s="1"/>
      <c r="GQ41" s="1"/>
      <c r="GR41" s="1"/>
      <c r="GS41" s="1"/>
      <c r="GT41" s="1"/>
      <c r="GU41" s="1"/>
      <c r="GV41" s="1"/>
      <c r="GW41" s="1"/>
      <c r="GX41" s="1"/>
      <c r="GY41" s="1"/>
      <c r="GZ41" s="1"/>
      <c r="HA41" s="1"/>
      <c r="HB41" s="1"/>
      <c r="HC41" s="1"/>
      <c r="HD41" s="1"/>
      <c r="HE41" s="1"/>
      <c r="HF41" s="1"/>
      <c r="HG41" s="1"/>
      <c r="HH41" s="1"/>
      <c r="HI41" s="1"/>
      <c r="HJ41" s="1"/>
      <c r="HK41" s="1"/>
      <c r="HL41" s="1"/>
      <c r="HM41" s="1"/>
      <c r="HN41" s="1"/>
      <c r="HO41" s="1"/>
      <c r="HP41" s="1"/>
      <c r="HQ41" s="1"/>
      <c r="HR41" s="1"/>
      <c r="HS41" s="1"/>
      <c r="HT41" s="1"/>
      <c r="HU41" s="1"/>
      <c r="HV41" s="1"/>
      <c r="HW41" s="1"/>
      <c r="HX41" s="1"/>
      <c r="HY41" s="1"/>
      <c r="HZ41" s="1"/>
      <c r="IA41" s="1"/>
      <c r="IB41" s="1"/>
      <c r="IC41" s="1"/>
      <c r="ID41" s="1"/>
      <c r="IE41" s="1"/>
      <c r="IF41" s="1"/>
      <c r="IG41" s="1"/>
      <c r="IH41" s="1"/>
      <c r="II41" s="1"/>
      <c r="IJ41" s="1"/>
      <c r="IK41" s="1"/>
      <c r="IL41" s="1"/>
      <c r="IM41" s="1"/>
      <c r="IN41" s="1"/>
      <c r="IO41" s="1"/>
      <c r="IP41" s="1"/>
      <c r="IQ41" s="1"/>
      <c r="IR41" s="1"/>
      <c r="IS41" s="1"/>
      <c r="IT41" s="1"/>
      <c r="IU41" s="1"/>
      <c r="IV41" s="1"/>
      <c r="IW41" s="1"/>
      <c r="IX41" s="1"/>
      <c r="IY41" s="1"/>
      <c r="IZ41" s="1"/>
      <c r="JA41" s="1"/>
      <c r="JB41" s="1"/>
      <c r="JC41" s="1"/>
      <c r="JD41" s="1"/>
      <c r="JE41" s="1"/>
      <c r="JF41" s="1"/>
      <c r="JG41" s="1"/>
      <c r="JH41" s="1"/>
      <c r="JI41" s="1"/>
      <c r="JJ41" s="1"/>
      <c r="JK41" s="1"/>
      <c r="JL41" s="1"/>
      <c r="JM41" s="1"/>
      <c r="JN41" s="1"/>
      <c r="JO41" s="1"/>
      <c r="JP41" s="1"/>
      <c r="JQ41" s="1"/>
      <c r="JR41" s="1"/>
      <c r="JS41" s="1"/>
      <c r="JT41" s="1"/>
      <c r="JU41" s="1"/>
      <c r="JV41" s="1"/>
      <c r="JW41" s="1"/>
      <c r="JX41" s="1"/>
      <c r="JY41" s="1"/>
      <c r="JZ41" s="1"/>
      <c r="KA41" s="1"/>
      <c r="KB41" s="1"/>
      <c r="KC41" s="1"/>
      <c r="KD41" s="1"/>
      <c r="KE41" s="1"/>
      <c r="KF41" s="1"/>
      <c r="KG41" s="1"/>
      <c r="KH41" s="1"/>
      <c r="KI41" s="1"/>
      <c r="KJ41" s="1"/>
      <c r="KK41" s="1"/>
      <c r="KL41" s="1"/>
      <c r="KM41" s="1"/>
      <c r="KN41" s="1"/>
      <c r="KO41" s="1"/>
      <c r="KP41" s="1"/>
      <c r="KQ41" s="1"/>
      <c r="KR41" s="1"/>
      <c r="KS41" s="1"/>
      <c r="KT41" s="1"/>
      <c r="KU41" s="1"/>
      <c r="KV41" s="1"/>
      <c r="KW41" s="1"/>
      <c r="KX41" s="1"/>
      <c r="KY41" s="1"/>
      <c r="KZ41" s="1"/>
      <c r="LA41" s="1"/>
      <c r="LB41" s="1"/>
      <c r="LC41" s="1"/>
      <c r="LD41" s="1"/>
      <c r="LE41" s="1"/>
      <c r="LF41" s="1"/>
      <c r="LG41" s="1"/>
      <c r="LH41" s="1"/>
      <c r="LI41" s="1"/>
      <c r="LJ41" s="1"/>
      <c r="LK41" s="1"/>
      <c r="LL41" s="1"/>
      <c r="LM41" s="1"/>
      <c r="LN41" s="1"/>
      <c r="LO41" s="1"/>
      <c r="LP41" s="1"/>
      <c r="LQ41" s="1"/>
      <c r="LR41" s="1"/>
      <c r="LS41" s="1"/>
    </row>
    <row r="42" spans="1:331" s="40" customFormat="1" x14ac:dyDescent="0.25">
      <c r="A42" s="40" t="s">
        <v>219</v>
      </c>
      <c r="B42" s="40">
        <v>2715450</v>
      </c>
      <c r="C42" s="96" t="s">
        <v>1646</v>
      </c>
      <c r="D42" s="40">
        <v>0</v>
      </c>
      <c r="H42" s="40" t="s">
        <v>220</v>
      </c>
      <c r="I42" s="40" t="s">
        <v>221</v>
      </c>
      <c r="J42" s="40" t="s">
        <v>222</v>
      </c>
      <c r="K42" s="40" t="s">
        <v>1656</v>
      </c>
      <c r="L42" s="40">
        <v>0</v>
      </c>
      <c r="O42" s="40">
        <v>1</v>
      </c>
      <c r="P42" s="40" t="s">
        <v>223</v>
      </c>
      <c r="Q42" s="96" t="s">
        <v>1503</v>
      </c>
      <c r="R42" s="96"/>
      <c r="S42" s="40">
        <v>10</v>
      </c>
      <c r="U42" s="40">
        <v>10</v>
      </c>
      <c r="W42" s="96">
        <v>10</v>
      </c>
      <c r="X42" s="96"/>
      <c r="Y42" s="96"/>
      <c r="Z42" s="40">
        <v>8</v>
      </c>
      <c r="AA42" s="94" t="b">
        <v>1</v>
      </c>
      <c r="AB42" s="1"/>
      <c r="AC42" s="57" t="s">
        <v>1309</v>
      </c>
      <c r="AD42" s="1"/>
      <c r="AE42" s="57"/>
      <c r="AF42" s="1"/>
      <c r="AG42" s="1"/>
      <c r="AH42" s="1"/>
      <c r="AI42" s="1"/>
      <c r="AJ42" s="1"/>
      <c r="AK42" s="1"/>
      <c r="AL42" s="1"/>
      <c r="AM42" s="1"/>
      <c r="AN42" s="1"/>
      <c r="AO42" s="1"/>
      <c r="AP42" s="1"/>
      <c r="AQ42" s="1"/>
      <c r="AR42" s="1"/>
      <c r="AS42" s="1"/>
      <c r="AT42" s="1"/>
      <c r="AU42" s="1"/>
      <c r="AV42" s="1"/>
      <c r="AW42" s="1"/>
      <c r="AX42" s="1"/>
      <c r="AY42" s="1"/>
      <c r="AZ42" s="1"/>
      <c r="BA42" s="1"/>
      <c r="BB42" s="1"/>
      <c r="BC42" s="1"/>
      <c r="BD42" s="1"/>
      <c r="BE42" s="1"/>
      <c r="BF42" s="1"/>
      <c r="BG42" s="1"/>
      <c r="BH42" s="1"/>
      <c r="BI42" s="1"/>
      <c r="BJ42" s="1"/>
      <c r="BK42" s="1"/>
      <c r="BL42" s="1"/>
      <c r="BM42" s="1"/>
      <c r="BN42" s="1"/>
      <c r="BO42" s="1"/>
      <c r="BP42" s="1"/>
      <c r="BQ42" s="1"/>
      <c r="BR42" s="1"/>
      <c r="BS42" s="1"/>
      <c r="BT42" s="1"/>
      <c r="BU42" s="1"/>
      <c r="BV42" s="1"/>
      <c r="BW42" s="1"/>
      <c r="BX42" s="1"/>
      <c r="BY42" s="1"/>
      <c r="BZ42" s="1"/>
      <c r="CA42" s="1"/>
      <c r="CB42" s="1"/>
      <c r="CC42" s="1"/>
      <c r="CD42" s="1"/>
      <c r="CE42" s="1"/>
      <c r="CF42" s="1"/>
      <c r="CG42" s="1"/>
      <c r="CH42" s="1"/>
      <c r="CI42" s="1"/>
      <c r="CJ42" s="1"/>
      <c r="CK42" s="1"/>
      <c r="CL42" s="1"/>
      <c r="CM42" s="1"/>
      <c r="CN42" s="1"/>
      <c r="CO42" s="1"/>
      <c r="CP42" s="1"/>
      <c r="CQ42" s="1"/>
      <c r="CR42" s="1"/>
      <c r="CS42" s="1"/>
      <c r="CT42" s="1"/>
      <c r="CU42" s="1"/>
      <c r="CV42" s="1"/>
      <c r="CW42" s="1"/>
      <c r="CX42" s="1"/>
      <c r="CY42" s="1"/>
      <c r="CZ42" s="1"/>
      <c r="DA42" s="1"/>
      <c r="DB42" s="1"/>
      <c r="DC42" s="1"/>
      <c r="DD42" s="1"/>
      <c r="DE42" s="1"/>
      <c r="DF42" s="1"/>
      <c r="DG42" s="1"/>
      <c r="DH42" s="1"/>
      <c r="DI42" s="1"/>
      <c r="DJ42" s="1"/>
      <c r="DK42" s="1"/>
      <c r="DL42" s="1"/>
      <c r="DM42" s="1"/>
      <c r="DN42" s="1"/>
      <c r="DO42" s="1"/>
      <c r="DP42" s="1"/>
      <c r="DQ42" s="1"/>
      <c r="DR42" s="1"/>
      <c r="DS42" s="1"/>
      <c r="DT42" s="1"/>
      <c r="DU42" s="1"/>
      <c r="DV42" s="1"/>
      <c r="DW42" s="1"/>
      <c r="DX42" s="1"/>
      <c r="DY42" s="1"/>
      <c r="DZ42" s="1"/>
      <c r="EA42" s="1"/>
      <c r="EB42" s="1"/>
      <c r="EC42" s="1"/>
      <c r="ED42" s="1"/>
      <c r="EE42" s="1"/>
      <c r="EF42" s="1"/>
      <c r="EG42" s="1"/>
      <c r="EH42" s="1"/>
      <c r="EI42" s="1"/>
      <c r="EJ42" s="1"/>
      <c r="EK42" s="1"/>
      <c r="EL42" s="1"/>
      <c r="EM42" s="1"/>
      <c r="EN42" s="1"/>
      <c r="EO42" s="1"/>
      <c r="EP42" s="1"/>
      <c r="EQ42" s="1"/>
      <c r="ER42" s="1"/>
      <c r="ES42" s="1"/>
      <c r="ET42" s="1"/>
      <c r="EU42" s="1"/>
      <c r="EV42" s="1"/>
      <c r="EW42" s="1"/>
      <c r="EX42" s="1"/>
      <c r="EY42" s="1"/>
      <c r="EZ42" s="1"/>
      <c r="FA42" s="1"/>
      <c r="FB42" s="1"/>
      <c r="FC42" s="1"/>
      <c r="FD42" s="1"/>
      <c r="FE42" s="1"/>
      <c r="FF42" s="1"/>
      <c r="FG42" s="1"/>
      <c r="FH42" s="1"/>
      <c r="FI42" s="1"/>
      <c r="FJ42" s="1"/>
      <c r="FK42" s="1"/>
      <c r="FL42" s="1"/>
      <c r="FM42" s="1"/>
      <c r="FN42" s="1"/>
      <c r="FO42" s="1"/>
      <c r="FP42" s="1"/>
      <c r="FQ42" s="1"/>
      <c r="FR42" s="1"/>
      <c r="FS42" s="1"/>
      <c r="FT42" s="1"/>
      <c r="FU42" s="1"/>
      <c r="FV42" s="1"/>
      <c r="FW42" s="1"/>
      <c r="FX42" s="1"/>
      <c r="FY42" s="1"/>
      <c r="FZ42" s="1"/>
      <c r="GA42" s="1"/>
      <c r="GB42" s="1"/>
      <c r="GC42" s="1"/>
      <c r="GD42" s="1"/>
      <c r="GE42" s="1"/>
      <c r="GF42" s="1"/>
      <c r="GG42" s="1"/>
      <c r="GH42" s="1"/>
      <c r="GI42" s="1"/>
      <c r="GJ42" s="1"/>
      <c r="GK42" s="1"/>
      <c r="GL42" s="1"/>
      <c r="GM42" s="1"/>
      <c r="GN42" s="1"/>
      <c r="GO42" s="1"/>
      <c r="GP42" s="1"/>
      <c r="GQ42" s="1"/>
      <c r="GR42" s="1"/>
      <c r="GS42" s="1"/>
      <c r="GT42" s="1"/>
      <c r="GU42" s="1"/>
      <c r="GV42" s="1"/>
      <c r="GW42" s="1"/>
      <c r="GX42" s="1"/>
      <c r="GY42" s="1"/>
      <c r="GZ42" s="1"/>
      <c r="HA42" s="1"/>
      <c r="HB42" s="1"/>
      <c r="HC42" s="1"/>
      <c r="HD42" s="1"/>
      <c r="HE42" s="1"/>
      <c r="HF42" s="1"/>
      <c r="HG42" s="1"/>
      <c r="HH42" s="1"/>
      <c r="HI42" s="1"/>
      <c r="HJ42" s="1"/>
      <c r="HK42" s="1"/>
      <c r="HL42" s="1"/>
      <c r="HM42" s="1"/>
      <c r="HN42" s="1"/>
      <c r="HO42" s="1"/>
      <c r="HP42" s="1"/>
      <c r="HQ42" s="1"/>
      <c r="HR42" s="1"/>
      <c r="HS42" s="1"/>
      <c r="HT42" s="1"/>
      <c r="HU42" s="1"/>
      <c r="HV42" s="1"/>
      <c r="HW42" s="1"/>
      <c r="HX42" s="1"/>
      <c r="HY42" s="1"/>
      <c r="HZ42" s="1"/>
      <c r="IA42" s="1"/>
      <c r="IB42" s="1"/>
      <c r="IC42" s="1"/>
      <c r="ID42" s="1"/>
      <c r="IE42" s="1"/>
      <c r="IF42" s="1"/>
      <c r="IG42" s="1"/>
      <c r="IH42" s="1"/>
      <c r="II42" s="1"/>
      <c r="IJ42" s="1"/>
      <c r="IK42" s="1"/>
      <c r="IL42" s="1"/>
      <c r="IM42" s="1"/>
      <c r="IN42" s="1"/>
      <c r="IO42" s="1"/>
      <c r="IP42" s="1"/>
      <c r="IQ42" s="1"/>
      <c r="IR42" s="1"/>
      <c r="IS42" s="1"/>
      <c r="IT42" s="1"/>
      <c r="IU42" s="1"/>
      <c r="IV42" s="1"/>
      <c r="IW42" s="1"/>
      <c r="IX42" s="1"/>
      <c r="IY42" s="1"/>
      <c r="IZ42" s="1"/>
      <c r="JA42" s="1"/>
      <c r="JB42" s="1"/>
      <c r="JC42" s="1"/>
      <c r="JD42" s="1"/>
      <c r="JE42" s="1"/>
      <c r="JF42" s="1"/>
      <c r="JG42" s="1"/>
      <c r="JH42" s="1"/>
      <c r="JI42" s="1"/>
      <c r="JJ42" s="1"/>
      <c r="JK42" s="1"/>
      <c r="JL42" s="1"/>
      <c r="JM42" s="1"/>
      <c r="JN42" s="1"/>
      <c r="JO42" s="1"/>
      <c r="JP42" s="1"/>
      <c r="JQ42" s="1"/>
      <c r="JR42" s="1"/>
      <c r="JS42" s="1"/>
      <c r="JT42" s="1"/>
      <c r="JU42" s="1"/>
      <c r="JV42" s="1"/>
      <c r="JW42" s="1"/>
      <c r="JX42" s="1"/>
      <c r="JY42" s="1"/>
      <c r="JZ42" s="1"/>
      <c r="KA42" s="1"/>
      <c r="KB42" s="1"/>
      <c r="KC42" s="1"/>
      <c r="KD42" s="1"/>
      <c r="KE42" s="1"/>
      <c r="KF42" s="1"/>
      <c r="KG42" s="1"/>
      <c r="KH42" s="1"/>
      <c r="KI42" s="1"/>
      <c r="KJ42" s="1"/>
      <c r="KK42" s="1"/>
      <c r="KL42" s="1"/>
      <c r="KM42" s="1"/>
      <c r="KN42" s="1"/>
      <c r="KO42" s="1"/>
      <c r="KP42" s="1"/>
      <c r="KQ42" s="1"/>
      <c r="KR42" s="1"/>
      <c r="KS42" s="1"/>
      <c r="KT42" s="1"/>
      <c r="KU42" s="1"/>
      <c r="KV42" s="1"/>
      <c r="KW42" s="1"/>
      <c r="KX42" s="1"/>
      <c r="KY42" s="1"/>
      <c r="KZ42" s="1"/>
      <c r="LA42" s="1"/>
      <c r="LB42" s="1"/>
      <c r="LC42" s="1"/>
      <c r="LD42" s="1"/>
      <c r="LE42" s="1"/>
      <c r="LF42" s="1"/>
      <c r="LG42" s="1"/>
      <c r="LH42" s="1"/>
      <c r="LI42" s="1"/>
      <c r="LJ42" s="1"/>
      <c r="LK42" s="1"/>
      <c r="LL42" s="1"/>
      <c r="LM42" s="1"/>
      <c r="LN42" s="1"/>
      <c r="LO42" s="1"/>
      <c r="LP42" s="1"/>
      <c r="LQ42" s="1"/>
      <c r="LR42" s="1"/>
      <c r="LS42" s="1"/>
    </row>
    <row r="43" spans="1:331" s="3" customFormat="1" x14ac:dyDescent="0.25">
      <c r="A43" s="3" t="s">
        <v>224</v>
      </c>
      <c r="B43" s="5" t="s">
        <v>225</v>
      </c>
      <c r="C43" s="94" t="s">
        <v>1646</v>
      </c>
      <c r="D43" s="3">
        <v>0</v>
      </c>
      <c r="H43" s="3" t="s">
        <v>226</v>
      </c>
      <c r="I43" s="3" t="s">
        <v>221</v>
      </c>
      <c r="J43" s="3" t="s">
        <v>227</v>
      </c>
      <c r="K43" s="3" t="s">
        <v>221</v>
      </c>
      <c r="L43" s="3">
        <v>1</v>
      </c>
      <c r="M43" s="3" t="s">
        <v>221</v>
      </c>
      <c r="O43" s="3">
        <v>0</v>
      </c>
      <c r="Q43" s="96" t="s">
        <v>1504</v>
      </c>
      <c r="R43" s="96"/>
      <c r="T43" s="3">
        <v>11</v>
      </c>
      <c r="V43" s="3">
        <v>11</v>
      </c>
      <c r="W43" s="96">
        <v>11</v>
      </c>
      <c r="X43" s="96"/>
      <c r="Y43" s="96"/>
      <c r="Z43" s="3">
        <v>1</v>
      </c>
      <c r="AA43" s="94" t="b">
        <v>1</v>
      </c>
      <c r="AB43" s="1"/>
      <c r="AC43" s="57" t="s">
        <v>1307</v>
      </c>
      <c r="AD43" s="1"/>
      <c r="AE43" s="57"/>
      <c r="AF43" s="1"/>
      <c r="AG43" s="1"/>
      <c r="AH43" s="1"/>
      <c r="AI43" s="1"/>
      <c r="AJ43" s="1"/>
      <c r="AK43" s="1"/>
      <c r="AL43" s="1"/>
      <c r="AM43" s="1"/>
      <c r="AN43" s="1"/>
      <c r="AO43" s="1"/>
      <c r="AP43" s="1"/>
      <c r="AQ43" s="1"/>
      <c r="AR43" s="1"/>
      <c r="AS43" s="1"/>
      <c r="AT43" s="1"/>
      <c r="AU43" s="1"/>
      <c r="AV43" s="1"/>
      <c r="AW43" s="1"/>
      <c r="AX43" s="1"/>
      <c r="AY43" s="1"/>
      <c r="AZ43" s="1"/>
      <c r="BA43" s="1"/>
      <c r="BB43" s="1"/>
      <c r="BC43" s="1"/>
      <c r="BD43" s="1"/>
      <c r="BE43" s="1"/>
      <c r="BF43" s="1"/>
      <c r="BG43" s="1"/>
      <c r="BH43" s="1"/>
      <c r="BI43" s="1"/>
      <c r="BJ43" s="1"/>
      <c r="BK43" s="1"/>
      <c r="BL43" s="1"/>
      <c r="BM43" s="1"/>
      <c r="BN43" s="1"/>
      <c r="BO43" s="1"/>
      <c r="BP43" s="1"/>
      <c r="BQ43" s="1"/>
      <c r="BR43" s="1"/>
      <c r="BS43" s="1"/>
      <c r="BT43" s="1"/>
      <c r="BU43" s="1"/>
      <c r="BV43" s="1"/>
      <c r="BW43" s="1"/>
      <c r="BX43" s="1"/>
      <c r="BY43" s="1"/>
      <c r="BZ43" s="1"/>
      <c r="CA43" s="1"/>
      <c r="CB43" s="1"/>
      <c r="CC43" s="1"/>
      <c r="CD43" s="1"/>
      <c r="CE43" s="1"/>
      <c r="CF43" s="1"/>
      <c r="CG43" s="1"/>
      <c r="CH43" s="1"/>
      <c r="CI43" s="1"/>
      <c r="CJ43" s="1"/>
      <c r="CK43" s="1"/>
      <c r="CL43" s="1"/>
      <c r="CM43" s="1"/>
      <c r="CN43" s="1"/>
      <c r="CO43" s="1"/>
      <c r="CP43" s="1"/>
      <c r="CQ43" s="1"/>
      <c r="CR43" s="1"/>
      <c r="CS43" s="1"/>
      <c r="CT43" s="1"/>
      <c r="CU43" s="1"/>
      <c r="CV43" s="1"/>
      <c r="CW43" s="1"/>
      <c r="CX43" s="1"/>
      <c r="CY43" s="1"/>
      <c r="CZ43" s="1"/>
      <c r="DA43" s="1"/>
      <c r="DB43" s="1"/>
      <c r="DC43" s="1"/>
      <c r="DD43" s="1"/>
      <c r="DE43" s="1"/>
      <c r="DF43" s="1"/>
      <c r="DG43" s="1"/>
      <c r="DH43" s="1"/>
      <c r="DI43" s="1"/>
      <c r="DJ43" s="1"/>
      <c r="DK43" s="1"/>
      <c r="DL43" s="1"/>
      <c r="DM43" s="1"/>
      <c r="DN43" s="1"/>
      <c r="DO43" s="1"/>
      <c r="DP43" s="1"/>
      <c r="DQ43" s="1"/>
      <c r="DR43" s="1"/>
      <c r="DS43" s="1"/>
      <c r="DT43" s="1"/>
      <c r="DU43" s="1"/>
      <c r="DV43" s="1"/>
      <c r="DW43" s="1"/>
      <c r="DX43" s="1"/>
      <c r="DY43" s="1"/>
      <c r="DZ43" s="1"/>
      <c r="EA43" s="1"/>
      <c r="EB43" s="1"/>
      <c r="EC43" s="1"/>
      <c r="ED43" s="1"/>
      <c r="EE43" s="1"/>
      <c r="EF43" s="1"/>
      <c r="EG43" s="1"/>
      <c r="EH43" s="1"/>
      <c r="EI43" s="1"/>
      <c r="EJ43" s="1"/>
      <c r="EK43" s="1"/>
      <c r="EL43" s="1"/>
      <c r="EM43" s="1"/>
      <c r="EN43" s="1"/>
      <c r="EO43" s="1"/>
      <c r="EP43" s="1"/>
      <c r="EQ43" s="1"/>
      <c r="ER43" s="1"/>
      <c r="ES43" s="1"/>
      <c r="ET43" s="1"/>
      <c r="EU43" s="1"/>
      <c r="EV43" s="1"/>
      <c r="EW43" s="1"/>
      <c r="EX43" s="1"/>
      <c r="EY43" s="1"/>
      <c r="EZ43" s="1"/>
      <c r="FA43" s="1"/>
      <c r="FB43" s="1"/>
      <c r="FC43" s="1"/>
      <c r="FD43" s="1"/>
      <c r="FE43" s="1"/>
      <c r="FF43" s="1"/>
      <c r="FG43" s="1"/>
      <c r="FH43" s="1"/>
      <c r="FI43" s="1"/>
      <c r="FJ43" s="1"/>
      <c r="FK43" s="1"/>
      <c r="FL43" s="1"/>
      <c r="FM43" s="1"/>
      <c r="FN43" s="1"/>
      <c r="FO43" s="1"/>
      <c r="FP43" s="1"/>
      <c r="FQ43" s="1"/>
      <c r="FR43" s="1"/>
      <c r="FS43" s="1"/>
      <c r="FT43" s="1"/>
      <c r="FU43" s="1"/>
      <c r="FV43" s="1"/>
      <c r="FW43" s="1"/>
      <c r="FX43" s="1"/>
      <c r="FY43" s="1"/>
      <c r="FZ43" s="1"/>
      <c r="GA43" s="1"/>
      <c r="GB43" s="1"/>
      <c r="GC43" s="1"/>
      <c r="GD43" s="1"/>
      <c r="GE43" s="1"/>
      <c r="GF43" s="1"/>
      <c r="GG43" s="1"/>
      <c r="GH43" s="1"/>
      <c r="GI43" s="1"/>
      <c r="GJ43" s="1"/>
      <c r="GK43" s="1"/>
      <c r="GL43" s="1"/>
      <c r="GM43" s="1"/>
      <c r="GN43" s="1"/>
      <c r="GO43" s="1"/>
      <c r="GP43" s="1"/>
      <c r="GQ43" s="1"/>
      <c r="GR43" s="1"/>
      <c r="GS43" s="1"/>
      <c r="GT43" s="1"/>
      <c r="GU43" s="1"/>
      <c r="GV43" s="1"/>
      <c r="GW43" s="1"/>
      <c r="GX43" s="1"/>
      <c r="GY43" s="1"/>
      <c r="GZ43" s="1"/>
      <c r="HA43" s="1"/>
      <c r="HB43" s="1"/>
      <c r="HC43" s="1"/>
      <c r="HD43" s="1"/>
      <c r="HE43" s="1"/>
      <c r="HF43" s="1"/>
      <c r="HG43" s="1"/>
      <c r="HH43" s="1"/>
      <c r="HI43" s="1"/>
      <c r="HJ43" s="1"/>
      <c r="HK43" s="1"/>
      <c r="HL43" s="1"/>
      <c r="HM43" s="1"/>
      <c r="HN43" s="1"/>
      <c r="HO43" s="1"/>
      <c r="HP43" s="1"/>
      <c r="HQ43" s="1"/>
      <c r="HR43" s="1"/>
      <c r="HS43" s="1"/>
      <c r="HT43" s="1"/>
      <c r="HU43" s="1"/>
      <c r="HV43" s="1"/>
      <c r="HW43" s="1"/>
      <c r="HX43" s="1"/>
      <c r="HY43" s="1"/>
      <c r="HZ43" s="1"/>
      <c r="IA43" s="1"/>
      <c r="IB43" s="1"/>
      <c r="IC43" s="1"/>
      <c r="ID43" s="1"/>
      <c r="IE43" s="1"/>
      <c r="IF43" s="1"/>
      <c r="IG43" s="1"/>
      <c r="IH43" s="1"/>
      <c r="II43" s="1"/>
      <c r="IJ43" s="1"/>
      <c r="IK43" s="1"/>
      <c r="IL43" s="1"/>
      <c r="IM43" s="1"/>
      <c r="IN43" s="1"/>
      <c r="IO43" s="1"/>
      <c r="IP43" s="1"/>
      <c r="IQ43" s="1"/>
      <c r="IR43" s="1"/>
      <c r="IS43" s="1"/>
      <c r="IT43" s="1"/>
      <c r="IU43" s="1"/>
      <c r="IV43" s="1"/>
      <c r="IW43" s="1"/>
      <c r="IX43" s="1"/>
      <c r="IY43" s="1"/>
      <c r="IZ43" s="1"/>
      <c r="JA43" s="1"/>
      <c r="JB43" s="1"/>
      <c r="JC43" s="1"/>
      <c r="JD43" s="1"/>
      <c r="JE43" s="1"/>
      <c r="JF43" s="1"/>
      <c r="JG43" s="1"/>
      <c r="JH43" s="1"/>
      <c r="JI43" s="1"/>
      <c r="JJ43" s="1"/>
      <c r="JK43" s="1"/>
      <c r="JL43" s="1"/>
      <c r="JM43" s="1"/>
      <c r="JN43" s="1"/>
      <c r="JO43" s="1"/>
      <c r="JP43" s="1"/>
      <c r="JQ43" s="1"/>
      <c r="JR43" s="1"/>
      <c r="JS43" s="1"/>
      <c r="JT43" s="1"/>
      <c r="JU43" s="1"/>
      <c r="JV43" s="1"/>
      <c r="JW43" s="1"/>
      <c r="JX43" s="1"/>
      <c r="JY43" s="1"/>
      <c r="JZ43" s="1"/>
      <c r="KA43" s="1"/>
      <c r="KB43" s="1"/>
      <c r="KC43" s="1"/>
      <c r="KD43" s="1"/>
      <c r="KE43" s="1"/>
      <c r="KF43" s="1"/>
      <c r="KG43" s="1"/>
      <c r="KH43" s="1"/>
      <c r="KI43" s="1"/>
      <c r="KJ43" s="1"/>
      <c r="KK43" s="1"/>
      <c r="KL43" s="1"/>
      <c r="KM43" s="1"/>
      <c r="KN43" s="1"/>
      <c r="KO43" s="1"/>
      <c r="KP43" s="1"/>
      <c r="KQ43" s="1"/>
      <c r="KR43" s="1"/>
      <c r="KS43" s="1"/>
      <c r="KT43" s="1"/>
      <c r="KU43" s="1"/>
      <c r="KV43" s="1"/>
      <c r="KW43" s="1"/>
      <c r="KX43" s="1"/>
      <c r="KY43" s="1"/>
      <c r="KZ43" s="1"/>
      <c r="LA43" s="1"/>
      <c r="LB43" s="1"/>
      <c r="LC43" s="1"/>
      <c r="LD43" s="1"/>
      <c r="LE43" s="1"/>
      <c r="LF43" s="1"/>
      <c r="LG43" s="1"/>
      <c r="LH43" s="1"/>
      <c r="LI43" s="1"/>
      <c r="LJ43" s="1"/>
      <c r="LK43" s="1"/>
      <c r="LL43" s="1"/>
      <c r="LM43" s="1"/>
      <c r="LN43" s="1"/>
      <c r="LO43" s="1"/>
      <c r="LP43" s="1"/>
      <c r="LQ43" s="1"/>
      <c r="LR43" s="1"/>
      <c r="LS43" s="1"/>
    </row>
    <row r="44" spans="1:331" s="49" customFormat="1" x14ac:dyDescent="0.25">
      <c r="A44" s="49" t="s">
        <v>228</v>
      </c>
      <c r="B44" s="49" t="s">
        <v>229</v>
      </c>
      <c r="C44" s="96" t="s">
        <v>1646</v>
      </c>
      <c r="D44" s="49">
        <v>0</v>
      </c>
      <c r="H44" s="49" t="s">
        <v>230</v>
      </c>
      <c r="I44" s="49" t="s">
        <v>231</v>
      </c>
      <c r="J44" s="49" t="s">
        <v>230</v>
      </c>
      <c r="K44" s="49" t="s">
        <v>231</v>
      </c>
      <c r="L44" s="49">
        <v>0</v>
      </c>
      <c r="O44" s="49">
        <v>1</v>
      </c>
      <c r="Q44" s="96"/>
      <c r="R44" s="96" t="s">
        <v>232</v>
      </c>
      <c r="S44" s="49">
        <v>7</v>
      </c>
      <c r="U44" s="49">
        <v>7</v>
      </c>
      <c r="W44" s="96">
        <v>7</v>
      </c>
      <c r="X44" s="96"/>
      <c r="Y44" s="96"/>
      <c r="Z44" s="49">
        <v>9</v>
      </c>
      <c r="AA44" s="94" t="b">
        <v>1</v>
      </c>
      <c r="AB44" s="1"/>
      <c r="AC44" s="57" t="s">
        <v>1310</v>
      </c>
      <c r="AD44" s="1"/>
      <c r="AE44" s="57"/>
      <c r="AF44" s="1"/>
      <c r="AG44" s="1"/>
      <c r="AH44" s="1"/>
      <c r="AI44" s="1"/>
      <c r="AJ44" s="1"/>
      <c r="AK44" s="1"/>
      <c r="AL44" s="1"/>
      <c r="AM44" s="1"/>
      <c r="AN44" s="1"/>
      <c r="AO44" s="1"/>
      <c r="AP44" s="1"/>
      <c r="AQ44" s="1"/>
      <c r="AR44" s="1"/>
      <c r="AS44" s="1"/>
      <c r="AT44" s="1"/>
      <c r="AU44" s="1"/>
      <c r="AV44" s="1"/>
      <c r="AW44" s="1"/>
      <c r="AX44" s="1"/>
      <c r="AY44" s="1"/>
      <c r="AZ44" s="1"/>
      <c r="BA44" s="1"/>
      <c r="BB44" s="1"/>
      <c r="BC44" s="1"/>
      <c r="BD44" s="1"/>
      <c r="BE44" s="1"/>
      <c r="BF44" s="1"/>
      <c r="BG44" s="1"/>
      <c r="BH44" s="1"/>
      <c r="BI44" s="1"/>
      <c r="BJ44" s="1"/>
      <c r="BK44" s="1"/>
      <c r="BL44" s="1"/>
      <c r="BM44" s="1"/>
      <c r="BN44" s="1"/>
      <c r="BO44" s="1"/>
      <c r="BP44" s="1"/>
      <c r="BQ44" s="1"/>
      <c r="BR44" s="1"/>
      <c r="BS44" s="1"/>
      <c r="BT44" s="1"/>
      <c r="BU44" s="1"/>
      <c r="BV44" s="1"/>
      <c r="BW44" s="1"/>
      <c r="BX44" s="1"/>
      <c r="BY44" s="1"/>
      <c r="BZ44" s="1"/>
      <c r="CA44" s="1"/>
      <c r="CB44" s="1"/>
      <c r="CC44" s="1"/>
      <c r="CD44" s="1"/>
      <c r="CE44" s="1"/>
      <c r="CF44" s="1"/>
      <c r="CG44" s="1"/>
      <c r="CH44" s="1"/>
      <c r="CI44" s="1"/>
      <c r="CJ44" s="1"/>
      <c r="CK44" s="1"/>
      <c r="CL44" s="1"/>
      <c r="CM44" s="1"/>
      <c r="CN44" s="1"/>
      <c r="CO44" s="1"/>
      <c r="CP44" s="1"/>
      <c r="CQ44" s="1"/>
      <c r="CR44" s="1"/>
      <c r="CS44" s="1"/>
      <c r="CT44" s="1"/>
      <c r="CU44" s="1"/>
      <c r="CV44" s="1"/>
      <c r="CW44" s="1"/>
      <c r="CX44" s="1"/>
      <c r="CY44" s="1"/>
      <c r="CZ44" s="1"/>
      <c r="DA44" s="1"/>
      <c r="DB44" s="1"/>
      <c r="DC44" s="1"/>
      <c r="DD44" s="1"/>
      <c r="DE44" s="1"/>
      <c r="DF44" s="1"/>
      <c r="DG44" s="1"/>
      <c r="DH44" s="1"/>
      <c r="DI44" s="1"/>
      <c r="DJ44" s="1"/>
      <c r="DK44" s="1"/>
      <c r="DL44" s="1"/>
      <c r="DM44" s="1"/>
      <c r="DN44" s="1"/>
      <c r="DO44" s="1"/>
      <c r="DP44" s="1"/>
      <c r="DQ44" s="1"/>
      <c r="DR44" s="1"/>
      <c r="DS44" s="1"/>
      <c r="DT44" s="1"/>
      <c r="DU44" s="1"/>
      <c r="DV44" s="1"/>
      <c r="DW44" s="1"/>
      <c r="DX44" s="1"/>
      <c r="DY44" s="1"/>
      <c r="DZ44" s="1"/>
      <c r="EA44" s="1"/>
      <c r="EB44" s="1"/>
      <c r="EC44" s="1"/>
      <c r="ED44" s="1"/>
      <c r="EE44" s="1"/>
      <c r="EF44" s="1"/>
      <c r="EG44" s="1"/>
      <c r="EH44" s="1"/>
      <c r="EI44" s="1"/>
      <c r="EJ44" s="1"/>
      <c r="EK44" s="1"/>
      <c r="EL44" s="1"/>
      <c r="EM44" s="1"/>
      <c r="EN44" s="1"/>
      <c r="EO44" s="1"/>
      <c r="EP44" s="1"/>
      <c r="EQ44" s="1"/>
      <c r="ER44" s="1"/>
      <c r="ES44" s="1"/>
      <c r="ET44" s="1"/>
      <c r="EU44" s="1"/>
      <c r="EV44" s="1"/>
      <c r="EW44" s="1"/>
      <c r="EX44" s="1"/>
      <c r="EY44" s="1"/>
      <c r="EZ44" s="1"/>
      <c r="FA44" s="1"/>
      <c r="FB44" s="1"/>
      <c r="FC44" s="1"/>
      <c r="FD44" s="1"/>
      <c r="FE44" s="1"/>
      <c r="FF44" s="1"/>
      <c r="FG44" s="1"/>
      <c r="FH44" s="1"/>
      <c r="FI44" s="1"/>
      <c r="FJ44" s="1"/>
      <c r="FK44" s="1"/>
      <c r="FL44" s="1"/>
      <c r="FM44" s="1"/>
      <c r="FN44" s="1"/>
      <c r="FO44" s="1"/>
      <c r="FP44" s="1"/>
      <c r="FQ44" s="1"/>
      <c r="FR44" s="1"/>
      <c r="FS44" s="1"/>
      <c r="FT44" s="1"/>
      <c r="FU44" s="1"/>
      <c r="FV44" s="1"/>
      <c r="FW44" s="1"/>
      <c r="FX44" s="1"/>
      <c r="FY44" s="1"/>
      <c r="FZ44" s="1"/>
      <c r="GA44" s="1"/>
      <c r="GB44" s="1"/>
      <c r="GC44" s="1"/>
      <c r="GD44" s="1"/>
      <c r="GE44" s="1"/>
      <c r="GF44" s="1"/>
      <c r="GG44" s="1"/>
      <c r="GH44" s="1"/>
      <c r="GI44" s="1"/>
      <c r="GJ44" s="1"/>
      <c r="GK44" s="1"/>
      <c r="GL44" s="1"/>
      <c r="GM44" s="1"/>
      <c r="GN44" s="1"/>
      <c r="GO44" s="1"/>
      <c r="GP44" s="1"/>
      <c r="GQ44" s="1"/>
      <c r="GR44" s="1"/>
      <c r="GS44" s="1"/>
      <c r="GT44" s="1"/>
      <c r="GU44" s="1"/>
      <c r="GV44" s="1"/>
      <c r="GW44" s="1"/>
      <c r="GX44" s="1"/>
      <c r="GY44" s="1"/>
      <c r="GZ44" s="1"/>
      <c r="HA44" s="1"/>
      <c r="HB44" s="1"/>
      <c r="HC44" s="1"/>
      <c r="HD44" s="1"/>
      <c r="HE44" s="1"/>
      <c r="HF44" s="1"/>
      <c r="HG44" s="1"/>
      <c r="HH44" s="1"/>
      <c r="HI44" s="1"/>
      <c r="HJ44" s="1"/>
      <c r="HK44" s="1"/>
      <c r="HL44" s="1"/>
      <c r="HM44" s="1"/>
      <c r="HN44" s="1"/>
      <c r="HO44" s="1"/>
      <c r="HP44" s="1"/>
      <c r="HQ44" s="1"/>
      <c r="HR44" s="1"/>
      <c r="HS44" s="1"/>
      <c r="HT44" s="1"/>
      <c r="HU44" s="1"/>
      <c r="HV44" s="1"/>
      <c r="HW44" s="1"/>
      <c r="HX44" s="1"/>
      <c r="HY44" s="1"/>
      <c r="HZ44" s="1"/>
      <c r="IA44" s="1"/>
      <c r="IB44" s="1"/>
      <c r="IC44" s="1"/>
      <c r="ID44" s="1"/>
      <c r="IE44" s="1"/>
      <c r="IF44" s="1"/>
      <c r="IG44" s="1"/>
      <c r="IH44" s="1"/>
      <c r="II44" s="1"/>
      <c r="IJ44" s="1"/>
      <c r="IK44" s="1"/>
      <c r="IL44" s="1"/>
      <c r="IM44" s="1"/>
      <c r="IN44" s="1"/>
      <c r="IO44" s="1"/>
      <c r="IP44" s="1"/>
      <c r="IQ44" s="1"/>
      <c r="IR44" s="1"/>
      <c r="IS44" s="1"/>
      <c r="IT44" s="1"/>
      <c r="IU44" s="1"/>
      <c r="IV44" s="1"/>
      <c r="IW44" s="1"/>
      <c r="IX44" s="1"/>
      <c r="IY44" s="1"/>
      <c r="IZ44" s="1"/>
      <c r="JA44" s="1"/>
      <c r="JB44" s="1"/>
      <c r="JC44" s="1"/>
      <c r="JD44" s="1"/>
      <c r="JE44" s="1"/>
      <c r="JF44" s="1"/>
      <c r="JG44" s="1"/>
      <c r="JH44" s="1"/>
      <c r="JI44" s="1"/>
      <c r="JJ44" s="1"/>
      <c r="JK44" s="1"/>
      <c r="JL44" s="1"/>
      <c r="JM44" s="1"/>
      <c r="JN44" s="1"/>
      <c r="JO44" s="1"/>
      <c r="JP44" s="1"/>
      <c r="JQ44" s="1"/>
      <c r="JR44" s="1"/>
      <c r="JS44" s="1"/>
      <c r="JT44" s="1"/>
      <c r="JU44" s="1"/>
      <c r="JV44" s="1"/>
      <c r="JW44" s="1"/>
      <c r="JX44" s="1"/>
      <c r="JY44" s="1"/>
      <c r="JZ44" s="1"/>
      <c r="KA44" s="1"/>
      <c r="KB44" s="1"/>
      <c r="KC44" s="1"/>
      <c r="KD44" s="1"/>
      <c r="KE44" s="1"/>
      <c r="KF44" s="1"/>
      <c r="KG44" s="1"/>
      <c r="KH44" s="1"/>
      <c r="KI44" s="1"/>
      <c r="KJ44" s="1"/>
      <c r="KK44" s="1"/>
      <c r="KL44" s="1"/>
      <c r="KM44" s="1"/>
      <c r="KN44" s="1"/>
      <c r="KO44" s="1"/>
      <c r="KP44" s="1"/>
      <c r="KQ44" s="1"/>
      <c r="KR44" s="1"/>
      <c r="KS44" s="1"/>
      <c r="KT44" s="1"/>
      <c r="KU44" s="1"/>
      <c r="KV44" s="1"/>
      <c r="KW44" s="1"/>
      <c r="KX44" s="1"/>
      <c r="KY44" s="1"/>
      <c r="KZ44" s="1"/>
      <c r="LA44" s="1"/>
      <c r="LB44" s="1"/>
      <c r="LC44" s="1"/>
      <c r="LD44" s="1"/>
      <c r="LE44" s="1"/>
      <c r="LF44" s="1"/>
      <c r="LG44" s="1"/>
      <c r="LH44" s="1"/>
      <c r="LI44" s="1"/>
      <c r="LJ44" s="1"/>
      <c r="LK44" s="1"/>
      <c r="LL44" s="1"/>
      <c r="LM44" s="1"/>
      <c r="LN44" s="1"/>
      <c r="LO44" s="1"/>
      <c r="LP44" s="1"/>
      <c r="LQ44" s="1"/>
      <c r="LR44" s="1"/>
      <c r="LS44" s="1"/>
    </row>
    <row r="45" spans="1:331" s="40" customFormat="1" x14ac:dyDescent="0.25">
      <c r="A45" s="40" t="s">
        <v>233</v>
      </c>
      <c r="B45" s="40" t="s">
        <v>234</v>
      </c>
      <c r="C45" s="96" t="s">
        <v>1646</v>
      </c>
      <c r="D45" s="40">
        <v>0</v>
      </c>
      <c r="H45" s="40" t="s">
        <v>235</v>
      </c>
      <c r="I45" s="40" t="s">
        <v>236</v>
      </c>
      <c r="J45" s="40" t="s">
        <v>235</v>
      </c>
      <c r="K45" s="40" t="s">
        <v>1657</v>
      </c>
      <c r="L45" s="40">
        <v>0</v>
      </c>
      <c r="O45" s="40">
        <v>1</v>
      </c>
      <c r="P45" s="40" t="s">
        <v>231</v>
      </c>
      <c r="Q45" s="96" t="s">
        <v>1505</v>
      </c>
      <c r="R45" s="96"/>
      <c r="S45" s="40">
        <v>5</v>
      </c>
      <c r="U45" s="40">
        <v>7</v>
      </c>
      <c r="W45" s="96">
        <v>5</v>
      </c>
      <c r="X45" s="96"/>
      <c r="Y45" s="96"/>
      <c r="Z45" s="40">
        <v>8</v>
      </c>
      <c r="AA45" s="94" t="b">
        <v>1</v>
      </c>
      <c r="AB45" s="1"/>
      <c r="AC45" s="57" t="s">
        <v>1312</v>
      </c>
      <c r="AD45" s="1"/>
      <c r="AE45" s="57"/>
      <c r="AF45" s="1"/>
      <c r="AG45" s="1"/>
      <c r="AH45" s="1"/>
      <c r="AI45" s="1"/>
      <c r="AJ45" s="1"/>
      <c r="AK45" s="1"/>
      <c r="AL45" s="1"/>
      <c r="AM45" s="1"/>
      <c r="AN45" s="1"/>
      <c r="AO45" s="1"/>
      <c r="AP45" s="1"/>
      <c r="AQ45" s="1"/>
      <c r="AR45" s="1"/>
      <c r="AS45" s="1"/>
      <c r="AT45" s="1"/>
      <c r="AU45" s="1"/>
      <c r="AV45" s="1"/>
      <c r="AW45" s="1"/>
      <c r="AX45" s="1"/>
      <c r="AY45" s="1"/>
      <c r="AZ45" s="1"/>
      <c r="BA45" s="1"/>
      <c r="BB45" s="1"/>
      <c r="BC45" s="1"/>
      <c r="BD45" s="1"/>
      <c r="BE45" s="1"/>
      <c r="BF45" s="1"/>
      <c r="BG45" s="1"/>
      <c r="BH45" s="1"/>
      <c r="BI45" s="1"/>
      <c r="BJ45" s="1"/>
      <c r="BK45" s="1"/>
      <c r="BL45" s="1"/>
      <c r="BM45" s="1"/>
      <c r="BN45" s="1"/>
      <c r="BO45" s="1"/>
      <c r="BP45" s="1"/>
      <c r="BQ45" s="1"/>
      <c r="BR45" s="1"/>
      <c r="BS45" s="1"/>
      <c r="BT45" s="1"/>
      <c r="BU45" s="1"/>
      <c r="BV45" s="1"/>
      <c r="BW45" s="1"/>
      <c r="BX45" s="1"/>
      <c r="BY45" s="1"/>
      <c r="BZ45" s="1"/>
      <c r="CA45" s="1"/>
      <c r="CB45" s="1"/>
      <c r="CC45" s="1"/>
      <c r="CD45" s="1"/>
      <c r="CE45" s="1"/>
      <c r="CF45" s="1"/>
      <c r="CG45" s="1"/>
      <c r="CH45" s="1"/>
      <c r="CI45" s="1"/>
      <c r="CJ45" s="1"/>
      <c r="CK45" s="1"/>
      <c r="CL45" s="1"/>
      <c r="CM45" s="1"/>
      <c r="CN45" s="1"/>
      <c r="CO45" s="1"/>
      <c r="CP45" s="1"/>
      <c r="CQ45" s="1"/>
      <c r="CR45" s="1"/>
      <c r="CS45" s="1"/>
      <c r="CT45" s="1"/>
      <c r="CU45" s="1"/>
      <c r="CV45" s="1"/>
      <c r="CW45" s="1"/>
      <c r="CX45" s="1"/>
      <c r="CY45" s="1"/>
      <c r="CZ45" s="1"/>
      <c r="DA45" s="1"/>
      <c r="DB45" s="1"/>
      <c r="DC45" s="1"/>
      <c r="DD45" s="1"/>
      <c r="DE45" s="1"/>
      <c r="DF45" s="1"/>
      <c r="DG45" s="1"/>
      <c r="DH45" s="1"/>
      <c r="DI45" s="1"/>
      <c r="DJ45" s="1"/>
      <c r="DK45" s="1"/>
      <c r="DL45" s="1"/>
      <c r="DM45" s="1"/>
      <c r="DN45" s="1"/>
      <c r="DO45" s="1"/>
      <c r="DP45" s="1"/>
      <c r="DQ45" s="1"/>
      <c r="DR45" s="1"/>
      <c r="DS45" s="1"/>
      <c r="DT45" s="1"/>
      <c r="DU45" s="1"/>
      <c r="DV45" s="1"/>
      <c r="DW45" s="1"/>
      <c r="DX45" s="1"/>
      <c r="DY45" s="1"/>
      <c r="DZ45" s="1"/>
      <c r="EA45" s="1"/>
      <c r="EB45" s="1"/>
      <c r="EC45" s="1"/>
      <c r="ED45" s="1"/>
      <c r="EE45" s="1"/>
      <c r="EF45" s="1"/>
      <c r="EG45" s="1"/>
      <c r="EH45" s="1"/>
      <c r="EI45" s="1"/>
      <c r="EJ45" s="1"/>
      <c r="EK45" s="1"/>
      <c r="EL45" s="1"/>
      <c r="EM45" s="1"/>
      <c r="EN45" s="1"/>
      <c r="EO45" s="1"/>
      <c r="EP45" s="1"/>
      <c r="EQ45" s="1"/>
      <c r="ER45" s="1"/>
      <c r="ES45" s="1"/>
      <c r="ET45" s="1"/>
      <c r="EU45" s="1"/>
      <c r="EV45" s="1"/>
      <c r="EW45" s="1"/>
      <c r="EX45" s="1"/>
      <c r="EY45" s="1"/>
      <c r="EZ45" s="1"/>
      <c r="FA45" s="1"/>
      <c r="FB45" s="1"/>
      <c r="FC45" s="1"/>
      <c r="FD45" s="1"/>
      <c r="FE45" s="1"/>
      <c r="FF45" s="1"/>
      <c r="FG45" s="1"/>
      <c r="FH45" s="1"/>
      <c r="FI45" s="1"/>
      <c r="FJ45" s="1"/>
      <c r="FK45" s="1"/>
      <c r="FL45" s="1"/>
      <c r="FM45" s="1"/>
      <c r="FN45" s="1"/>
      <c r="FO45" s="1"/>
      <c r="FP45" s="1"/>
      <c r="FQ45" s="1"/>
      <c r="FR45" s="1"/>
      <c r="FS45" s="1"/>
      <c r="FT45" s="1"/>
      <c r="FU45" s="1"/>
      <c r="FV45" s="1"/>
      <c r="FW45" s="1"/>
      <c r="FX45" s="1"/>
      <c r="FY45" s="1"/>
      <c r="FZ45" s="1"/>
      <c r="GA45" s="1"/>
      <c r="GB45" s="1"/>
      <c r="GC45" s="1"/>
      <c r="GD45" s="1"/>
      <c r="GE45" s="1"/>
      <c r="GF45" s="1"/>
      <c r="GG45" s="1"/>
      <c r="GH45" s="1"/>
      <c r="GI45" s="1"/>
      <c r="GJ45" s="1"/>
      <c r="GK45" s="1"/>
      <c r="GL45" s="1"/>
      <c r="GM45" s="1"/>
      <c r="GN45" s="1"/>
      <c r="GO45" s="1"/>
      <c r="GP45" s="1"/>
      <c r="GQ45" s="1"/>
      <c r="GR45" s="1"/>
      <c r="GS45" s="1"/>
      <c r="GT45" s="1"/>
      <c r="GU45" s="1"/>
      <c r="GV45" s="1"/>
      <c r="GW45" s="1"/>
      <c r="GX45" s="1"/>
      <c r="GY45" s="1"/>
      <c r="GZ45" s="1"/>
      <c r="HA45" s="1"/>
      <c r="HB45" s="1"/>
      <c r="HC45" s="1"/>
      <c r="HD45" s="1"/>
      <c r="HE45" s="1"/>
      <c r="HF45" s="1"/>
      <c r="HG45" s="1"/>
      <c r="HH45" s="1"/>
      <c r="HI45" s="1"/>
      <c r="HJ45" s="1"/>
      <c r="HK45" s="1"/>
      <c r="HL45" s="1"/>
      <c r="HM45" s="1"/>
      <c r="HN45" s="1"/>
      <c r="HO45" s="1"/>
      <c r="HP45" s="1"/>
      <c r="HQ45" s="1"/>
      <c r="HR45" s="1"/>
      <c r="HS45" s="1"/>
      <c r="HT45" s="1"/>
      <c r="HU45" s="1"/>
      <c r="HV45" s="1"/>
      <c r="HW45" s="1"/>
      <c r="HX45" s="1"/>
      <c r="HY45" s="1"/>
      <c r="HZ45" s="1"/>
      <c r="IA45" s="1"/>
      <c r="IB45" s="1"/>
      <c r="IC45" s="1"/>
      <c r="ID45" s="1"/>
      <c r="IE45" s="1"/>
      <c r="IF45" s="1"/>
      <c r="IG45" s="1"/>
      <c r="IH45" s="1"/>
      <c r="II45" s="1"/>
      <c r="IJ45" s="1"/>
      <c r="IK45" s="1"/>
      <c r="IL45" s="1"/>
      <c r="IM45" s="1"/>
      <c r="IN45" s="1"/>
      <c r="IO45" s="1"/>
      <c r="IP45" s="1"/>
      <c r="IQ45" s="1"/>
      <c r="IR45" s="1"/>
      <c r="IS45" s="1"/>
      <c r="IT45" s="1"/>
      <c r="IU45" s="1"/>
      <c r="IV45" s="1"/>
      <c r="IW45" s="1"/>
      <c r="IX45" s="1"/>
      <c r="IY45" s="1"/>
      <c r="IZ45" s="1"/>
      <c r="JA45" s="1"/>
      <c r="JB45" s="1"/>
      <c r="JC45" s="1"/>
      <c r="JD45" s="1"/>
      <c r="JE45" s="1"/>
      <c r="JF45" s="1"/>
      <c r="JG45" s="1"/>
      <c r="JH45" s="1"/>
      <c r="JI45" s="1"/>
      <c r="JJ45" s="1"/>
      <c r="JK45" s="1"/>
      <c r="JL45" s="1"/>
      <c r="JM45" s="1"/>
      <c r="JN45" s="1"/>
      <c r="JO45" s="1"/>
      <c r="JP45" s="1"/>
      <c r="JQ45" s="1"/>
      <c r="JR45" s="1"/>
      <c r="JS45" s="1"/>
      <c r="JT45" s="1"/>
      <c r="JU45" s="1"/>
      <c r="JV45" s="1"/>
      <c r="JW45" s="1"/>
      <c r="JX45" s="1"/>
      <c r="JY45" s="1"/>
      <c r="JZ45" s="1"/>
      <c r="KA45" s="1"/>
      <c r="KB45" s="1"/>
      <c r="KC45" s="1"/>
      <c r="KD45" s="1"/>
      <c r="KE45" s="1"/>
      <c r="KF45" s="1"/>
      <c r="KG45" s="1"/>
      <c r="KH45" s="1"/>
      <c r="KI45" s="1"/>
      <c r="KJ45" s="1"/>
      <c r="KK45" s="1"/>
      <c r="KL45" s="1"/>
      <c r="KM45" s="1"/>
      <c r="KN45" s="1"/>
      <c r="KO45" s="1"/>
      <c r="KP45" s="1"/>
      <c r="KQ45" s="1"/>
      <c r="KR45" s="1"/>
      <c r="KS45" s="1"/>
      <c r="KT45" s="1"/>
      <c r="KU45" s="1"/>
      <c r="KV45" s="1"/>
      <c r="KW45" s="1"/>
      <c r="KX45" s="1"/>
      <c r="KY45" s="1"/>
      <c r="KZ45" s="1"/>
      <c r="LA45" s="1"/>
      <c r="LB45" s="1"/>
      <c r="LC45" s="1"/>
      <c r="LD45" s="1"/>
      <c r="LE45" s="1"/>
      <c r="LF45" s="1"/>
      <c r="LG45" s="1"/>
      <c r="LH45" s="1"/>
      <c r="LI45" s="1"/>
      <c r="LJ45" s="1"/>
      <c r="LK45" s="1"/>
      <c r="LL45" s="1"/>
      <c r="LM45" s="1"/>
      <c r="LN45" s="1"/>
      <c r="LO45" s="1"/>
      <c r="LP45" s="1"/>
      <c r="LQ45" s="1"/>
      <c r="LR45" s="1"/>
      <c r="LS45" s="1"/>
    </row>
    <row r="46" spans="1:331" s="72" customFormat="1" x14ac:dyDescent="0.25">
      <c r="A46" s="72" t="s">
        <v>237</v>
      </c>
      <c r="B46" s="72" t="s">
        <v>238</v>
      </c>
      <c r="C46" s="96" t="s">
        <v>1646</v>
      </c>
      <c r="D46" s="72">
        <v>0</v>
      </c>
      <c r="H46" s="72" t="s">
        <v>239</v>
      </c>
      <c r="I46" s="72" t="s">
        <v>210</v>
      </c>
      <c r="J46" s="72" t="s">
        <v>240</v>
      </c>
      <c r="K46" s="72" t="s">
        <v>210</v>
      </c>
      <c r="L46" s="72">
        <v>0</v>
      </c>
      <c r="O46" s="72">
        <v>1</v>
      </c>
      <c r="P46" s="72" t="s">
        <v>241</v>
      </c>
      <c r="Q46" s="96"/>
      <c r="R46" s="96" t="s">
        <v>242</v>
      </c>
      <c r="T46" s="72">
        <v>13</v>
      </c>
      <c r="V46" s="72">
        <v>13</v>
      </c>
      <c r="W46" s="96">
        <v>13</v>
      </c>
      <c r="X46" s="96"/>
      <c r="Y46" s="96"/>
      <c r="Z46" s="72">
        <v>14</v>
      </c>
      <c r="AA46" s="94" t="b">
        <v>1</v>
      </c>
      <c r="AB46" s="1"/>
      <c r="AC46" s="57" t="s">
        <v>1313</v>
      </c>
      <c r="AD46" s="1"/>
      <c r="AE46" s="57"/>
      <c r="AF46" s="1"/>
      <c r="AG46" s="1"/>
      <c r="AH46" s="1"/>
      <c r="AI46" s="1"/>
      <c r="AJ46" s="1"/>
      <c r="AK46" s="1"/>
      <c r="AL46" s="1"/>
      <c r="AM46" s="1"/>
      <c r="AN46" s="1"/>
      <c r="AO46" s="1"/>
      <c r="AP46" s="1"/>
      <c r="AQ46" s="1"/>
      <c r="AR46" s="1"/>
      <c r="AS46" s="1"/>
      <c r="AT46" s="1"/>
      <c r="AU46" s="1"/>
      <c r="AV46" s="1"/>
      <c r="AW46" s="1"/>
      <c r="AX46" s="1"/>
      <c r="AY46" s="1"/>
      <c r="AZ46" s="1"/>
      <c r="BA46" s="1"/>
      <c r="BB46" s="1"/>
      <c r="BC46" s="1"/>
      <c r="BD46" s="1"/>
      <c r="BE46" s="1"/>
      <c r="BF46" s="1"/>
      <c r="BG46" s="1"/>
      <c r="BH46" s="1"/>
      <c r="BI46" s="1"/>
      <c r="BJ46" s="1"/>
      <c r="BK46" s="1"/>
      <c r="BL46" s="1"/>
      <c r="BM46" s="1"/>
      <c r="BN46" s="1"/>
      <c r="BO46" s="1"/>
      <c r="BP46" s="1"/>
      <c r="BQ46" s="1"/>
      <c r="BR46" s="1"/>
      <c r="BS46" s="1"/>
      <c r="BT46" s="1"/>
      <c r="BU46" s="1"/>
      <c r="BV46" s="1"/>
    </row>
    <row r="47" spans="1:331" s="2" customFormat="1" x14ac:dyDescent="0.25">
      <c r="A47" s="2" t="s">
        <v>243</v>
      </c>
      <c r="B47" s="6" t="s">
        <v>244</v>
      </c>
      <c r="C47" s="94" t="s">
        <v>1646</v>
      </c>
      <c r="D47" s="2">
        <v>0</v>
      </c>
      <c r="H47" s="2" t="s">
        <v>245</v>
      </c>
      <c r="I47" s="2" t="s">
        <v>246</v>
      </c>
      <c r="J47" s="2" t="s">
        <v>247</v>
      </c>
      <c r="K47" s="2" t="s">
        <v>246</v>
      </c>
      <c r="L47" s="2">
        <v>2</v>
      </c>
      <c r="M47" s="2" t="s">
        <v>247</v>
      </c>
      <c r="N47" s="2" t="s">
        <v>247</v>
      </c>
      <c r="O47" s="2">
        <v>1</v>
      </c>
      <c r="P47" s="2" t="s">
        <v>247</v>
      </c>
      <c r="Q47" s="96" t="s">
        <v>236</v>
      </c>
      <c r="R47" s="96"/>
      <c r="S47" s="2">
        <v>14</v>
      </c>
      <c r="U47" s="2">
        <v>14</v>
      </c>
      <c r="W47" s="96">
        <v>14</v>
      </c>
      <c r="X47" s="96"/>
      <c r="Y47" s="96"/>
      <c r="Z47" s="2">
        <v>2</v>
      </c>
      <c r="AA47" s="94" t="b">
        <v>1</v>
      </c>
      <c r="AB47" s="1"/>
      <c r="AC47" s="57" t="s">
        <v>1314</v>
      </c>
      <c r="AD47" s="1"/>
      <c r="AE47" s="57"/>
      <c r="AF47" s="1"/>
      <c r="AG47" s="1"/>
      <c r="AH47" s="1"/>
      <c r="AI47" s="1"/>
      <c r="AJ47" s="1"/>
      <c r="AK47" s="1"/>
      <c r="AL47" s="1"/>
      <c r="AM47" s="1"/>
      <c r="AN47" s="1"/>
      <c r="AO47" s="1"/>
      <c r="AP47" s="1"/>
      <c r="AQ47" s="1"/>
      <c r="AR47" s="1"/>
      <c r="AS47" s="1"/>
      <c r="AT47" s="1"/>
      <c r="AU47" s="1"/>
      <c r="AV47" s="1"/>
      <c r="AW47" s="1"/>
      <c r="AX47" s="1"/>
      <c r="AY47" s="1"/>
      <c r="AZ47" s="1"/>
      <c r="BA47" s="1"/>
      <c r="BB47" s="1"/>
      <c r="BC47" s="1"/>
      <c r="BD47" s="1"/>
      <c r="BE47" s="1"/>
      <c r="BF47" s="1"/>
      <c r="BG47" s="1"/>
      <c r="BH47" s="1"/>
      <c r="BI47" s="1"/>
      <c r="BJ47" s="1"/>
      <c r="BK47" s="1"/>
      <c r="BL47" s="1"/>
      <c r="BM47" s="1"/>
      <c r="BN47" s="1"/>
      <c r="BO47" s="1"/>
      <c r="BP47" s="1"/>
      <c r="BQ47" s="1"/>
      <c r="BR47" s="1"/>
      <c r="BS47" s="1"/>
      <c r="BT47" s="1"/>
      <c r="BU47" s="1"/>
      <c r="BV47" s="1"/>
      <c r="BW47" s="1"/>
      <c r="BX47" s="1"/>
      <c r="BY47" s="1"/>
      <c r="BZ47" s="1"/>
      <c r="CA47" s="1"/>
      <c r="CB47" s="1"/>
      <c r="CC47" s="1"/>
      <c r="CD47" s="1"/>
      <c r="CE47" s="1"/>
      <c r="CF47" s="1"/>
      <c r="CG47" s="1"/>
      <c r="CH47" s="1"/>
      <c r="CI47" s="1"/>
      <c r="CJ47" s="1"/>
      <c r="CK47" s="1"/>
      <c r="CL47" s="1"/>
      <c r="CM47" s="1"/>
      <c r="CN47" s="1"/>
      <c r="CO47" s="1"/>
      <c r="CP47" s="1"/>
      <c r="CQ47" s="1"/>
      <c r="CR47" s="1"/>
      <c r="CS47" s="1"/>
      <c r="CT47" s="1"/>
      <c r="CU47" s="1"/>
      <c r="CV47" s="1"/>
      <c r="CW47" s="1"/>
      <c r="CX47" s="1"/>
      <c r="CY47" s="1"/>
      <c r="CZ47" s="1"/>
      <c r="DA47" s="1"/>
      <c r="DB47" s="1"/>
      <c r="DC47" s="1"/>
      <c r="DD47" s="1"/>
      <c r="DE47" s="1"/>
      <c r="DF47" s="1"/>
      <c r="DG47" s="1"/>
      <c r="DH47" s="1"/>
      <c r="DI47" s="1"/>
      <c r="DJ47" s="1"/>
      <c r="DK47" s="1"/>
      <c r="DL47" s="1"/>
      <c r="DM47" s="1"/>
      <c r="DN47" s="1"/>
      <c r="DO47" s="1"/>
      <c r="DP47" s="1"/>
      <c r="DQ47" s="1"/>
      <c r="DR47" s="1"/>
      <c r="DS47" s="1"/>
      <c r="DT47" s="1"/>
      <c r="DU47" s="1"/>
      <c r="DV47" s="1"/>
      <c r="DW47" s="1"/>
      <c r="DX47" s="1"/>
      <c r="DY47" s="1"/>
      <c r="DZ47" s="1"/>
      <c r="EA47" s="1"/>
      <c r="EB47" s="1"/>
      <c r="EC47" s="1"/>
      <c r="ED47" s="1"/>
      <c r="EE47" s="1"/>
      <c r="EF47" s="1"/>
      <c r="EG47" s="1"/>
      <c r="EH47" s="1"/>
      <c r="EI47" s="1"/>
      <c r="EJ47" s="1"/>
      <c r="EK47" s="1"/>
      <c r="EL47" s="1"/>
      <c r="EM47" s="1"/>
      <c r="EN47" s="1"/>
      <c r="EO47" s="1"/>
      <c r="EP47" s="1"/>
      <c r="EQ47" s="1"/>
      <c r="ER47" s="1"/>
      <c r="ES47" s="1"/>
      <c r="ET47" s="1"/>
      <c r="EU47" s="1"/>
      <c r="EV47" s="1"/>
      <c r="EW47" s="1"/>
      <c r="EX47" s="1"/>
      <c r="EY47" s="1"/>
      <c r="EZ47" s="1"/>
      <c r="FA47" s="1"/>
      <c r="FB47" s="1"/>
      <c r="FC47" s="1"/>
      <c r="FD47" s="1"/>
      <c r="FE47" s="1"/>
      <c r="FF47" s="1"/>
      <c r="FG47" s="1"/>
      <c r="FH47" s="1"/>
      <c r="FI47" s="1"/>
      <c r="FJ47" s="1"/>
      <c r="FK47" s="1"/>
      <c r="FL47" s="1"/>
      <c r="FM47" s="1"/>
      <c r="FN47" s="1"/>
      <c r="FO47" s="1"/>
      <c r="FP47" s="1"/>
      <c r="FQ47" s="1"/>
      <c r="FR47" s="1"/>
      <c r="FS47" s="1"/>
      <c r="FT47" s="1"/>
      <c r="FU47" s="1"/>
      <c r="FV47" s="1"/>
      <c r="FW47" s="1"/>
      <c r="FX47" s="1"/>
      <c r="FY47" s="1"/>
      <c r="FZ47" s="1"/>
      <c r="GA47" s="1"/>
      <c r="GB47" s="1"/>
      <c r="GC47" s="1"/>
      <c r="GD47" s="1"/>
      <c r="GE47" s="1"/>
      <c r="GF47" s="1"/>
      <c r="GG47" s="1"/>
      <c r="GH47" s="1"/>
      <c r="GI47" s="1"/>
      <c r="GJ47" s="1"/>
      <c r="GK47" s="1"/>
      <c r="GL47" s="1"/>
      <c r="GM47" s="1"/>
      <c r="GN47" s="1"/>
      <c r="GO47" s="1"/>
      <c r="GP47" s="1"/>
      <c r="GQ47" s="1"/>
      <c r="GR47" s="1"/>
      <c r="GS47" s="1"/>
      <c r="GT47" s="1"/>
      <c r="GU47" s="1"/>
      <c r="GV47" s="1"/>
      <c r="GW47" s="1"/>
      <c r="GX47" s="1"/>
      <c r="GY47" s="1"/>
      <c r="GZ47" s="1"/>
      <c r="HA47" s="1"/>
      <c r="HB47" s="1"/>
      <c r="HC47" s="1"/>
      <c r="HD47" s="1"/>
      <c r="HE47" s="1"/>
      <c r="HF47" s="1"/>
      <c r="HG47" s="1"/>
      <c r="HH47" s="1"/>
      <c r="HI47" s="1"/>
      <c r="HJ47" s="1"/>
      <c r="HK47" s="1"/>
      <c r="HL47" s="1"/>
      <c r="HM47" s="1"/>
      <c r="HN47" s="1"/>
      <c r="HO47" s="1"/>
      <c r="HP47" s="1"/>
      <c r="HQ47" s="1"/>
      <c r="HR47" s="1"/>
      <c r="HS47" s="1"/>
      <c r="HT47" s="1"/>
      <c r="HU47" s="1"/>
      <c r="HV47" s="1"/>
      <c r="HW47" s="1"/>
      <c r="HX47" s="1"/>
      <c r="HY47" s="1"/>
      <c r="HZ47" s="1"/>
      <c r="IA47" s="1"/>
      <c r="IB47" s="1"/>
      <c r="IC47" s="1"/>
      <c r="ID47" s="1"/>
      <c r="IE47" s="1"/>
      <c r="IF47" s="1"/>
      <c r="IG47" s="1"/>
      <c r="IH47" s="1"/>
      <c r="II47" s="1"/>
      <c r="IJ47" s="1"/>
      <c r="IK47" s="1"/>
      <c r="IL47" s="1"/>
      <c r="IM47" s="1"/>
      <c r="IN47" s="1"/>
      <c r="IO47" s="1"/>
      <c r="IP47" s="1"/>
      <c r="IQ47" s="1"/>
      <c r="IR47" s="1"/>
      <c r="IS47" s="1"/>
      <c r="IT47" s="1"/>
      <c r="IU47" s="1"/>
      <c r="IV47" s="1"/>
      <c r="IW47" s="1"/>
      <c r="IX47" s="1"/>
      <c r="IY47" s="1"/>
      <c r="IZ47" s="1"/>
      <c r="JA47" s="1"/>
      <c r="JB47" s="1"/>
      <c r="JC47" s="1"/>
      <c r="JD47" s="1"/>
      <c r="JE47" s="1"/>
      <c r="JF47" s="1"/>
      <c r="JG47" s="1"/>
      <c r="JH47" s="1"/>
      <c r="JI47" s="1"/>
      <c r="JJ47" s="1"/>
      <c r="JK47" s="1"/>
      <c r="JL47" s="1"/>
      <c r="JM47" s="1"/>
      <c r="JN47" s="1"/>
      <c r="JO47" s="1"/>
      <c r="JP47" s="1"/>
      <c r="JQ47" s="1"/>
      <c r="JR47" s="1"/>
      <c r="JS47" s="1"/>
      <c r="JT47" s="1"/>
      <c r="JU47" s="1"/>
      <c r="JV47" s="1"/>
      <c r="JW47" s="1"/>
      <c r="JX47" s="1"/>
      <c r="JY47" s="1"/>
      <c r="JZ47" s="1"/>
      <c r="KA47" s="1"/>
      <c r="KB47" s="1"/>
      <c r="KC47" s="1"/>
      <c r="KD47" s="1"/>
      <c r="KE47" s="1"/>
      <c r="KF47" s="1"/>
      <c r="KG47" s="1"/>
      <c r="KH47" s="1"/>
      <c r="KI47" s="1"/>
      <c r="KJ47" s="1"/>
      <c r="KK47" s="1"/>
      <c r="KL47" s="1"/>
      <c r="KM47" s="1"/>
      <c r="KN47" s="1"/>
      <c r="KO47" s="1"/>
      <c r="KP47" s="1"/>
      <c r="KQ47" s="1"/>
      <c r="KR47" s="1"/>
      <c r="KS47" s="1"/>
      <c r="KT47" s="1"/>
      <c r="KU47" s="1"/>
      <c r="KV47" s="1"/>
      <c r="KW47" s="1"/>
      <c r="KX47" s="1"/>
      <c r="KY47" s="1"/>
      <c r="KZ47" s="1"/>
      <c r="LA47" s="1"/>
      <c r="LB47" s="1"/>
      <c r="LC47" s="1"/>
      <c r="LD47" s="1"/>
      <c r="LE47" s="1"/>
      <c r="LF47" s="1"/>
      <c r="LG47" s="1"/>
      <c r="LH47" s="1"/>
      <c r="LI47" s="1"/>
      <c r="LJ47" s="1"/>
      <c r="LK47" s="1"/>
      <c r="LL47" s="1"/>
      <c r="LM47" s="1"/>
      <c r="LN47" s="1"/>
      <c r="LO47" s="1"/>
      <c r="LP47" s="1"/>
      <c r="LQ47" s="1"/>
      <c r="LR47" s="1"/>
      <c r="LS47" s="1"/>
    </row>
    <row r="48" spans="1:331" s="40" customFormat="1" x14ac:dyDescent="0.25">
      <c r="A48" s="40" t="s">
        <v>248</v>
      </c>
      <c r="B48" s="40" t="s">
        <v>249</v>
      </c>
      <c r="C48" s="96" t="s">
        <v>1646</v>
      </c>
      <c r="D48" s="40">
        <v>0</v>
      </c>
      <c r="H48" s="40" t="s">
        <v>239</v>
      </c>
      <c r="I48" s="40" t="s">
        <v>119</v>
      </c>
      <c r="J48" s="40" t="s">
        <v>239</v>
      </c>
      <c r="K48" s="40" t="s">
        <v>119</v>
      </c>
      <c r="L48" s="40">
        <v>0</v>
      </c>
      <c r="O48" s="40">
        <v>1</v>
      </c>
      <c r="P48" s="40" t="s">
        <v>239</v>
      </c>
      <c r="Q48" s="96" t="s">
        <v>1506</v>
      </c>
      <c r="R48" s="96"/>
      <c r="S48" s="40">
        <v>20</v>
      </c>
      <c r="U48" s="40">
        <v>15</v>
      </c>
      <c r="W48" s="96">
        <v>20</v>
      </c>
      <c r="X48" s="96"/>
      <c r="Y48" s="96"/>
      <c r="Z48" s="40">
        <v>8</v>
      </c>
      <c r="AA48" s="94" t="b">
        <v>1</v>
      </c>
      <c r="AB48" s="1" t="s">
        <v>1898</v>
      </c>
      <c r="AC48" s="57" t="s">
        <v>1315</v>
      </c>
      <c r="AD48" s="1"/>
      <c r="AE48" s="57"/>
      <c r="AF48" s="1"/>
      <c r="AG48" s="1"/>
      <c r="AH48" s="1"/>
      <c r="AI48" s="1"/>
      <c r="AJ48" s="1"/>
      <c r="AK48" s="1"/>
      <c r="AL48" s="1"/>
      <c r="AM48" s="1"/>
      <c r="AN48" s="1"/>
      <c r="AO48" s="1"/>
      <c r="AP48" s="1"/>
      <c r="AQ48" s="1"/>
      <c r="AR48" s="1"/>
      <c r="AS48" s="1"/>
      <c r="AT48" s="1"/>
      <c r="AU48" s="1"/>
      <c r="AV48" s="1"/>
      <c r="AW48" s="1"/>
      <c r="AX48" s="1"/>
      <c r="AY48" s="1"/>
      <c r="AZ48" s="1"/>
      <c r="BA48" s="1"/>
      <c r="BB48" s="1"/>
      <c r="BC48" s="1"/>
      <c r="BD48" s="1"/>
      <c r="BE48" s="1"/>
      <c r="BF48" s="1"/>
      <c r="BG48" s="1"/>
      <c r="BH48" s="1"/>
      <c r="BI48" s="1"/>
      <c r="BJ48" s="1"/>
      <c r="BK48" s="1"/>
      <c r="BL48" s="1"/>
      <c r="BM48" s="1"/>
      <c r="BN48" s="1"/>
      <c r="BO48" s="1"/>
      <c r="BP48" s="1"/>
      <c r="BQ48" s="1"/>
      <c r="BR48" s="1"/>
      <c r="BS48" s="1"/>
      <c r="BT48" s="1"/>
      <c r="BU48" s="1"/>
      <c r="BV48" s="1"/>
      <c r="BW48" s="1"/>
      <c r="BX48" s="1"/>
      <c r="BY48" s="1"/>
      <c r="BZ48" s="1"/>
      <c r="CA48" s="1"/>
      <c r="CB48" s="1"/>
      <c r="CC48" s="1"/>
      <c r="CD48" s="1"/>
      <c r="CE48" s="1"/>
      <c r="CF48" s="1"/>
      <c r="CG48" s="1"/>
      <c r="CH48" s="1"/>
      <c r="CI48" s="1"/>
      <c r="CJ48" s="1"/>
      <c r="CK48" s="1"/>
      <c r="CL48" s="1"/>
      <c r="CM48" s="1"/>
      <c r="CN48" s="1"/>
      <c r="CO48" s="1"/>
      <c r="CP48" s="1"/>
      <c r="CQ48" s="1"/>
      <c r="CR48" s="1"/>
      <c r="CS48" s="1"/>
      <c r="CT48" s="1"/>
      <c r="CU48" s="1"/>
      <c r="CV48" s="1"/>
      <c r="CW48" s="1"/>
      <c r="CX48" s="1"/>
      <c r="CY48" s="1"/>
      <c r="CZ48" s="1"/>
      <c r="DA48" s="1"/>
      <c r="DB48" s="1"/>
      <c r="DC48" s="1"/>
      <c r="DD48" s="1"/>
      <c r="DE48" s="1"/>
      <c r="DF48" s="1"/>
      <c r="DG48" s="1"/>
      <c r="DH48" s="1"/>
      <c r="DI48" s="1"/>
      <c r="DJ48" s="1"/>
      <c r="DK48" s="1"/>
      <c r="DL48" s="1"/>
      <c r="DM48" s="1"/>
      <c r="DN48" s="1"/>
      <c r="DO48" s="1"/>
      <c r="DP48" s="1"/>
      <c r="DQ48" s="1"/>
      <c r="DR48" s="1"/>
      <c r="DS48" s="1"/>
      <c r="DT48" s="1"/>
      <c r="DU48" s="1"/>
      <c r="DV48" s="1"/>
      <c r="DW48" s="1"/>
      <c r="DX48" s="1"/>
      <c r="DY48" s="1"/>
      <c r="DZ48" s="1"/>
      <c r="EA48" s="1"/>
      <c r="EB48" s="1"/>
      <c r="EC48" s="1"/>
      <c r="ED48" s="1"/>
      <c r="EE48" s="1"/>
      <c r="EF48" s="1"/>
      <c r="EG48" s="1"/>
      <c r="EH48" s="1"/>
      <c r="EI48" s="1"/>
      <c r="EJ48" s="1"/>
      <c r="EK48" s="1"/>
      <c r="EL48" s="1"/>
      <c r="EM48" s="1"/>
      <c r="EN48" s="1"/>
      <c r="EO48" s="1"/>
      <c r="EP48" s="1"/>
      <c r="EQ48" s="1"/>
      <c r="ER48" s="1"/>
      <c r="ES48" s="1"/>
      <c r="ET48" s="1"/>
      <c r="EU48" s="1"/>
      <c r="EV48" s="1"/>
      <c r="EW48" s="1"/>
      <c r="EX48" s="1"/>
      <c r="EY48" s="1"/>
      <c r="EZ48" s="1"/>
      <c r="FA48" s="1"/>
      <c r="FB48" s="1"/>
      <c r="FC48" s="1"/>
      <c r="FD48" s="1"/>
      <c r="FE48" s="1"/>
      <c r="FF48" s="1"/>
      <c r="FG48" s="1"/>
      <c r="FH48" s="1"/>
      <c r="FI48" s="1"/>
      <c r="FJ48" s="1"/>
      <c r="FK48" s="1"/>
      <c r="FL48" s="1"/>
      <c r="FM48" s="1"/>
      <c r="FN48" s="1"/>
      <c r="FO48" s="1"/>
      <c r="FP48" s="1"/>
      <c r="FQ48" s="1"/>
      <c r="FR48" s="1"/>
      <c r="FS48" s="1"/>
      <c r="FT48" s="1"/>
      <c r="FU48" s="1"/>
      <c r="FV48" s="1"/>
      <c r="FW48" s="1"/>
      <c r="FX48" s="1"/>
      <c r="FY48" s="1"/>
      <c r="FZ48" s="1"/>
      <c r="GA48" s="1"/>
      <c r="GB48" s="1"/>
      <c r="GC48" s="1"/>
      <c r="GD48" s="1"/>
      <c r="GE48" s="1"/>
      <c r="GF48" s="1"/>
      <c r="GG48" s="1"/>
      <c r="GH48" s="1"/>
      <c r="GI48" s="1"/>
      <c r="GJ48" s="1"/>
      <c r="GK48" s="1"/>
      <c r="GL48" s="1"/>
      <c r="GM48" s="1"/>
      <c r="GN48" s="1"/>
      <c r="GO48" s="1"/>
      <c r="GP48" s="1"/>
      <c r="GQ48" s="1"/>
      <c r="GR48" s="1"/>
      <c r="GS48" s="1"/>
      <c r="GT48" s="1"/>
      <c r="GU48" s="1"/>
      <c r="GV48" s="1"/>
      <c r="GW48" s="1"/>
      <c r="GX48" s="1"/>
      <c r="GY48" s="1"/>
      <c r="GZ48" s="1"/>
      <c r="HA48" s="1"/>
      <c r="HB48" s="1"/>
      <c r="HC48" s="1"/>
      <c r="HD48" s="1"/>
      <c r="HE48" s="1"/>
      <c r="HF48" s="1"/>
      <c r="HG48" s="1"/>
      <c r="HH48" s="1"/>
      <c r="HI48" s="1"/>
      <c r="HJ48" s="1"/>
      <c r="HK48" s="1"/>
      <c r="HL48" s="1"/>
      <c r="HM48" s="1"/>
      <c r="HN48" s="1"/>
      <c r="HO48" s="1"/>
      <c r="HP48" s="1"/>
      <c r="HQ48" s="1"/>
      <c r="HR48" s="1"/>
      <c r="HS48" s="1"/>
      <c r="HT48" s="1"/>
      <c r="HU48" s="1"/>
      <c r="HV48" s="1"/>
      <c r="HW48" s="1"/>
      <c r="HX48" s="1"/>
      <c r="HY48" s="1"/>
      <c r="HZ48" s="1"/>
      <c r="IA48" s="1"/>
      <c r="IB48" s="1"/>
      <c r="IC48" s="1"/>
      <c r="ID48" s="1"/>
      <c r="IE48" s="1"/>
      <c r="IF48" s="1"/>
      <c r="IG48" s="1"/>
      <c r="IH48" s="1"/>
      <c r="II48" s="1"/>
      <c r="IJ48" s="1"/>
      <c r="IK48" s="1"/>
      <c r="IL48" s="1"/>
      <c r="IM48" s="1"/>
      <c r="IN48" s="1"/>
      <c r="IO48" s="1"/>
      <c r="IP48" s="1"/>
      <c r="IQ48" s="1"/>
      <c r="IR48" s="1"/>
      <c r="IS48" s="1"/>
      <c r="IT48" s="1"/>
      <c r="IU48" s="1"/>
      <c r="IV48" s="1"/>
      <c r="IW48" s="1"/>
      <c r="IX48" s="1"/>
      <c r="IY48" s="1"/>
      <c r="IZ48" s="1"/>
      <c r="JA48" s="1"/>
      <c r="JB48" s="1"/>
      <c r="JC48" s="1"/>
      <c r="JD48" s="1"/>
      <c r="JE48" s="1"/>
      <c r="JF48" s="1"/>
      <c r="JG48" s="1"/>
      <c r="JH48" s="1"/>
      <c r="JI48" s="1"/>
      <c r="JJ48" s="1"/>
      <c r="JK48" s="1"/>
      <c r="JL48" s="1"/>
      <c r="JM48" s="1"/>
      <c r="JN48" s="1"/>
      <c r="JO48" s="1"/>
      <c r="JP48" s="1"/>
      <c r="JQ48" s="1"/>
      <c r="JR48" s="1"/>
      <c r="JS48" s="1"/>
      <c r="JT48" s="1"/>
      <c r="JU48" s="1"/>
      <c r="JV48" s="1"/>
      <c r="JW48" s="1"/>
      <c r="JX48" s="1"/>
      <c r="JY48" s="1"/>
      <c r="JZ48" s="1"/>
      <c r="KA48" s="1"/>
      <c r="KB48" s="1"/>
      <c r="KC48" s="1"/>
      <c r="KD48" s="1"/>
      <c r="KE48" s="1"/>
      <c r="KF48" s="1"/>
      <c r="KG48" s="1"/>
      <c r="KH48" s="1"/>
      <c r="KI48" s="1"/>
      <c r="KJ48" s="1"/>
      <c r="KK48" s="1"/>
      <c r="KL48" s="1"/>
      <c r="KM48" s="1"/>
      <c r="KN48" s="1"/>
      <c r="KO48" s="1"/>
      <c r="KP48" s="1"/>
      <c r="KQ48" s="1"/>
      <c r="KR48" s="1"/>
      <c r="KS48" s="1"/>
      <c r="KT48" s="1"/>
      <c r="KU48" s="1"/>
      <c r="KV48" s="1"/>
      <c r="KW48" s="1"/>
      <c r="KX48" s="1"/>
      <c r="KY48" s="1"/>
      <c r="KZ48" s="1"/>
      <c r="LA48" s="1"/>
      <c r="LB48" s="1"/>
      <c r="LC48" s="1"/>
      <c r="LD48" s="1"/>
      <c r="LE48" s="1"/>
      <c r="LF48" s="1"/>
      <c r="LG48" s="1"/>
      <c r="LH48" s="1"/>
      <c r="LI48" s="1"/>
      <c r="LJ48" s="1"/>
      <c r="LK48" s="1"/>
      <c r="LL48" s="1"/>
      <c r="LM48" s="1"/>
      <c r="LN48" s="1"/>
      <c r="LO48" s="1"/>
      <c r="LP48" s="1"/>
      <c r="LQ48" s="1"/>
      <c r="LR48" s="1"/>
      <c r="LS48" s="1"/>
    </row>
    <row r="49" spans="1:331" s="30" customFormat="1" x14ac:dyDescent="0.25">
      <c r="A49" s="30" t="s">
        <v>250</v>
      </c>
      <c r="B49" s="30">
        <v>2238250</v>
      </c>
      <c r="C49" s="96" t="s">
        <v>1646</v>
      </c>
      <c r="D49" s="30">
        <v>1</v>
      </c>
      <c r="E49" s="30" t="s">
        <v>251</v>
      </c>
      <c r="H49" s="30" t="s">
        <v>252</v>
      </c>
      <c r="I49" s="30" t="s">
        <v>251</v>
      </c>
      <c r="J49" s="30" t="s">
        <v>252</v>
      </c>
      <c r="K49" s="30" t="s">
        <v>252</v>
      </c>
      <c r="L49" s="30">
        <v>0</v>
      </c>
      <c r="O49" s="30">
        <v>0</v>
      </c>
      <c r="Q49" s="96" t="s">
        <v>1507</v>
      </c>
      <c r="R49" s="96"/>
      <c r="T49" s="30">
        <v>10</v>
      </c>
      <c r="V49" s="30">
        <v>11</v>
      </c>
      <c r="W49" s="96">
        <v>10</v>
      </c>
      <c r="X49" s="96"/>
      <c r="Y49" s="96"/>
      <c r="Z49" s="30">
        <v>6</v>
      </c>
      <c r="AA49" s="94" t="b">
        <v>1</v>
      </c>
      <c r="AB49" s="1"/>
      <c r="AC49" s="57" t="s">
        <v>1443</v>
      </c>
      <c r="AD49" s="1"/>
      <c r="AE49" s="57"/>
      <c r="AF49" s="1"/>
      <c r="AG49" s="1"/>
      <c r="AH49" s="1"/>
      <c r="AI49" s="1"/>
      <c r="AJ49" s="1"/>
      <c r="AK49" s="1"/>
      <c r="AL49" s="1"/>
      <c r="AM49" s="1"/>
      <c r="AN49" s="1"/>
      <c r="AO49" s="1"/>
      <c r="AP49" s="1"/>
      <c r="AQ49" s="1"/>
      <c r="AR49" s="1"/>
      <c r="AS49" s="1"/>
      <c r="AT49" s="1"/>
      <c r="AU49" s="1"/>
      <c r="AV49" s="1"/>
      <c r="AW49" s="1"/>
      <c r="AX49" s="1"/>
      <c r="AY49" s="1"/>
      <c r="AZ49" s="1"/>
      <c r="BA49" s="1"/>
      <c r="BB49" s="1"/>
      <c r="BC49" s="1"/>
      <c r="BD49" s="1"/>
      <c r="BE49" s="1"/>
      <c r="BF49" s="1"/>
      <c r="BG49" s="1"/>
      <c r="BH49" s="1"/>
      <c r="BI49" s="1"/>
      <c r="BJ49" s="1"/>
      <c r="BK49" s="1"/>
      <c r="BL49" s="1"/>
      <c r="BM49" s="1"/>
      <c r="BN49" s="1"/>
      <c r="BO49" s="1"/>
      <c r="BP49" s="1"/>
      <c r="BQ49" s="1"/>
      <c r="BR49" s="1"/>
      <c r="BS49" s="1"/>
      <c r="BT49" s="1"/>
      <c r="BU49" s="1"/>
      <c r="BV49" s="1"/>
      <c r="BW49" s="1"/>
      <c r="BX49" s="1"/>
      <c r="BY49" s="1"/>
      <c r="BZ49" s="1"/>
      <c r="CA49" s="1"/>
      <c r="CB49" s="1"/>
      <c r="CC49" s="1"/>
      <c r="CD49" s="1"/>
      <c r="CE49" s="1"/>
      <c r="CF49" s="1"/>
      <c r="CG49" s="1"/>
      <c r="CH49" s="1"/>
      <c r="CI49" s="1"/>
      <c r="CJ49" s="1"/>
      <c r="CK49" s="1"/>
      <c r="CL49" s="1"/>
      <c r="CM49" s="1"/>
      <c r="CN49" s="1"/>
      <c r="CO49" s="1"/>
      <c r="CP49" s="1"/>
      <c r="CQ49" s="1"/>
      <c r="CR49" s="1"/>
      <c r="CS49" s="1"/>
      <c r="CT49" s="1"/>
      <c r="CU49" s="1"/>
      <c r="CV49" s="1"/>
      <c r="CW49" s="1"/>
      <c r="CX49" s="1"/>
      <c r="CY49" s="1"/>
      <c r="CZ49" s="1"/>
      <c r="DA49" s="1"/>
      <c r="DB49" s="1"/>
      <c r="DC49" s="1"/>
      <c r="DD49" s="1"/>
      <c r="DE49" s="1"/>
      <c r="DF49" s="1"/>
      <c r="DG49" s="1"/>
      <c r="DH49" s="1"/>
      <c r="DI49" s="1"/>
      <c r="DJ49" s="1"/>
      <c r="DK49" s="1"/>
      <c r="DL49" s="1"/>
      <c r="DM49" s="1"/>
      <c r="DN49" s="1"/>
      <c r="DO49" s="1"/>
      <c r="DP49" s="1"/>
      <c r="DQ49" s="1"/>
      <c r="DR49" s="1"/>
      <c r="DS49" s="1"/>
      <c r="DT49" s="1"/>
      <c r="DU49" s="1"/>
      <c r="DV49" s="1"/>
      <c r="DW49" s="1"/>
      <c r="DX49" s="1"/>
      <c r="DY49" s="1"/>
      <c r="DZ49" s="1"/>
      <c r="EA49" s="1"/>
      <c r="EB49" s="1"/>
      <c r="EC49" s="1"/>
      <c r="ED49" s="1"/>
      <c r="EE49" s="1"/>
      <c r="EF49" s="1"/>
      <c r="EG49" s="1"/>
      <c r="EH49" s="1"/>
      <c r="EI49" s="1"/>
      <c r="EJ49" s="1"/>
      <c r="EK49" s="1"/>
      <c r="EL49" s="1"/>
      <c r="EM49" s="1"/>
      <c r="EN49" s="1"/>
      <c r="EO49" s="1"/>
      <c r="EP49" s="1"/>
      <c r="EQ49" s="1"/>
      <c r="ER49" s="1"/>
      <c r="ES49" s="1"/>
      <c r="ET49" s="1"/>
      <c r="EU49" s="1"/>
      <c r="EV49" s="1"/>
      <c r="EW49" s="1"/>
      <c r="EX49" s="1"/>
      <c r="EY49" s="1"/>
      <c r="EZ49" s="1"/>
      <c r="FA49" s="1"/>
      <c r="FB49" s="1"/>
      <c r="FC49" s="1"/>
      <c r="FD49" s="1"/>
      <c r="FE49" s="1"/>
      <c r="FF49" s="1"/>
      <c r="FG49" s="1"/>
      <c r="FH49" s="1"/>
      <c r="FI49" s="1"/>
      <c r="FJ49" s="1"/>
      <c r="FK49" s="1"/>
      <c r="FL49" s="1"/>
      <c r="FM49" s="1"/>
      <c r="FN49" s="1"/>
      <c r="FO49" s="1"/>
      <c r="FP49" s="1"/>
      <c r="FQ49" s="1"/>
      <c r="FR49" s="1"/>
      <c r="FS49" s="1"/>
      <c r="FT49" s="1"/>
      <c r="FU49" s="1"/>
      <c r="FV49" s="1"/>
      <c r="FW49" s="1"/>
      <c r="FX49" s="1"/>
      <c r="FY49" s="1"/>
      <c r="FZ49" s="1"/>
      <c r="GA49" s="1"/>
      <c r="GB49" s="1"/>
      <c r="GC49" s="1"/>
      <c r="GD49" s="1"/>
      <c r="GE49" s="1"/>
      <c r="GF49" s="1"/>
      <c r="GG49" s="1"/>
      <c r="GH49" s="1"/>
      <c r="GI49" s="1"/>
      <c r="GJ49" s="1"/>
      <c r="GK49" s="1"/>
      <c r="GL49" s="1"/>
      <c r="GM49" s="1"/>
      <c r="GN49" s="1"/>
      <c r="GO49" s="1"/>
      <c r="GP49" s="1"/>
      <c r="GQ49" s="1"/>
      <c r="GR49" s="1"/>
      <c r="GS49" s="1"/>
      <c r="GT49" s="1"/>
      <c r="GU49" s="1"/>
      <c r="GV49" s="1"/>
      <c r="GW49" s="1"/>
      <c r="GX49" s="1"/>
      <c r="GY49" s="1"/>
      <c r="GZ49" s="1"/>
      <c r="HA49" s="1"/>
      <c r="HB49" s="1"/>
      <c r="HC49" s="1"/>
      <c r="HD49" s="1"/>
      <c r="HE49" s="1"/>
      <c r="HF49" s="1"/>
      <c r="HG49" s="1"/>
      <c r="HH49" s="1"/>
      <c r="HI49" s="1"/>
      <c r="HJ49" s="1"/>
      <c r="HK49" s="1"/>
      <c r="HL49" s="1"/>
      <c r="HM49" s="1"/>
      <c r="HN49" s="1"/>
      <c r="HO49" s="1"/>
      <c r="HP49" s="1"/>
      <c r="HQ49" s="1"/>
      <c r="HR49" s="1"/>
      <c r="HS49" s="1"/>
      <c r="HT49" s="1"/>
      <c r="HU49" s="1"/>
      <c r="HV49" s="1"/>
      <c r="HW49" s="1"/>
      <c r="HX49" s="1"/>
      <c r="HY49" s="1"/>
      <c r="HZ49" s="1"/>
      <c r="IA49" s="1"/>
      <c r="IB49" s="1"/>
      <c r="IC49" s="1"/>
      <c r="ID49" s="1"/>
      <c r="IE49" s="1"/>
      <c r="IF49" s="1"/>
      <c r="IG49" s="1"/>
      <c r="IH49" s="1"/>
      <c r="II49" s="1"/>
      <c r="IJ49" s="1"/>
      <c r="IK49" s="1"/>
      <c r="IL49" s="1"/>
      <c r="IM49" s="1"/>
      <c r="IN49" s="1"/>
      <c r="IO49" s="1"/>
      <c r="IP49" s="1"/>
      <c r="IQ49" s="1"/>
      <c r="IR49" s="1"/>
      <c r="IS49" s="1"/>
      <c r="IT49" s="1"/>
      <c r="IU49" s="1"/>
      <c r="IV49" s="1"/>
      <c r="IW49" s="1"/>
      <c r="IX49" s="1"/>
      <c r="IY49" s="1"/>
      <c r="IZ49" s="1"/>
      <c r="JA49" s="1"/>
      <c r="JB49" s="1"/>
      <c r="JC49" s="1"/>
      <c r="JD49" s="1"/>
      <c r="JE49" s="1"/>
      <c r="JF49" s="1"/>
      <c r="JG49" s="1"/>
      <c r="JH49" s="1"/>
      <c r="JI49" s="1"/>
      <c r="JJ49" s="1"/>
      <c r="JK49" s="1"/>
      <c r="JL49" s="1"/>
      <c r="JM49" s="1"/>
      <c r="JN49" s="1"/>
      <c r="JO49" s="1"/>
      <c r="JP49" s="1"/>
      <c r="JQ49" s="1"/>
      <c r="JR49" s="1"/>
      <c r="JS49" s="1"/>
      <c r="JT49" s="1"/>
      <c r="JU49" s="1"/>
      <c r="JV49" s="1"/>
      <c r="JW49" s="1"/>
      <c r="JX49" s="1"/>
      <c r="JY49" s="1"/>
      <c r="JZ49" s="1"/>
      <c r="KA49" s="1"/>
      <c r="KB49" s="1"/>
      <c r="KC49" s="1"/>
      <c r="KD49" s="1"/>
      <c r="KE49" s="1"/>
      <c r="KF49" s="1"/>
      <c r="KG49" s="1"/>
      <c r="KH49" s="1"/>
      <c r="KI49" s="1"/>
      <c r="KJ49" s="1"/>
      <c r="KK49" s="1"/>
      <c r="KL49" s="1"/>
      <c r="KM49" s="1"/>
      <c r="KN49" s="1"/>
      <c r="KO49" s="1"/>
      <c r="KP49" s="1"/>
      <c r="KQ49" s="1"/>
      <c r="KR49" s="1"/>
      <c r="KS49" s="1"/>
      <c r="KT49" s="1"/>
      <c r="KU49" s="1"/>
      <c r="KV49" s="1"/>
      <c r="KW49" s="1"/>
      <c r="KX49" s="1"/>
      <c r="KY49" s="1"/>
      <c r="KZ49" s="1"/>
      <c r="LA49" s="1"/>
      <c r="LB49" s="1"/>
      <c r="LC49" s="1"/>
      <c r="LD49" s="1"/>
      <c r="LE49" s="1"/>
      <c r="LF49" s="1"/>
      <c r="LG49" s="1"/>
      <c r="LH49" s="1"/>
      <c r="LI49" s="1"/>
      <c r="LJ49" s="1"/>
      <c r="LK49" s="1"/>
      <c r="LL49" s="1"/>
      <c r="LM49" s="1"/>
      <c r="LN49" s="1"/>
      <c r="LO49" s="1"/>
      <c r="LP49" s="1"/>
      <c r="LQ49" s="1"/>
      <c r="LR49" s="1"/>
      <c r="LS49" s="1"/>
    </row>
    <row r="50" spans="1:331" s="25" customFormat="1" x14ac:dyDescent="0.25">
      <c r="A50" s="25" t="s">
        <v>253</v>
      </c>
      <c r="B50" s="29" t="s">
        <v>254</v>
      </c>
      <c r="C50" s="94" t="s">
        <v>1646</v>
      </c>
      <c r="D50" s="25">
        <v>0</v>
      </c>
      <c r="H50" s="25" t="s">
        <v>255</v>
      </c>
      <c r="I50" s="25" t="s">
        <v>118</v>
      </c>
      <c r="J50" s="25" t="s">
        <v>255</v>
      </c>
      <c r="K50" s="25" t="s">
        <v>118</v>
      </c>
      <c r="L50" s="25">
        <v>0</v>
      </c>
      <c r="O50" s="25">
        <v>0</v>
      </c>
      <c r="Q50" s="96" t="s">
        <v>240</v>
      </c>
      <c r="R50" s="96"/>
      <c r="T50" s="25">
        <v>3</v>
      </c>
      <c r="V50" s="25">
        <v>3</v>
      </c>
      <c r="W50" s="96">
        <v>3</v>
      </c>
      <c r="X50" s="96"/>
      <c r="Y50" s="96"/>
      <c r="Z50" s="25">
        <v>5</v>
      </c>
      <c r="AA50" s="94" t="b">
        <v>1</v>
      </c>
      <c r="AB50" s="1"/>
      <c r="AC50" s="57" t="s">
        <v>1298</v>
      </c>
      <c r="AD50" s="1"/>
      <c r="AE50" s="57"/>
      <c r="AF50" s="1"/>
      <c r="AG50" s="1"/>
      <c r="AH50" s="1"/>
      <c r="AI50" s="1"/>
      <c r="AJ50" s="1"/>
      <c r="AK50" s="1"/>
      <c r="AL50" s="1"/>
      <c r="AM50" s="1"/>
      <c r="AN50" s="1"/>
      <c r="AO50" s="1"/>
      <c r="AP50" s="1"/>
      <c r="AQ50" s="1"/>
      <c r="AR50" s="1"/>
      <c r="AS50" s="1"/>
      <c r="AT50" s="1"/>
      <c r="AU50" s="1"/>
      <c r="AV50" s="1"/>
      <c r="AW50" s="1"/>
      <c r="AX50" s="1"/>
      <c r="AY50" s="1"/>
      <c r="AZ50" s="1"/>
      <c r="BA50" s="1"/>
      <c r="BB50" s="1"/>
      <c r="BC50" s="1"/>
      <c r="BD50" s="1"/>
      <c r="BE50" s="1"/>
      <c r="BF50" s="1"/>
      <c r="BG50" s="1"/>
      <c r="BH50" s="1"/>
      <c r="BI50" s="1"/>
      <c r="BJ50" s="1"/>
      <c r="BK50" s="1"/>
      <c r="BL50" s="1"/>
      <c r="BM50" s="1"/>
      <c r="BN50" s="1"/>
      <c r="BO50" s="1"/>
      <c r="BP50" s="1"/>
      <c r="BQ50" s="1"/>
      <c r="BR50" s="1"/>
      <c r="BS50" s="1"/>
      <c r="BT50" s="1"/>
      <c r="BU50" s="1"/>
      <c r="BV50" s="1"/>
      <c r="BW50" s="1"/>
      <c r="BX50" s="1"/>
      <c r="BY50" s="1"/>
      <c r="BZ50" s="1"/>
      <c r="CA50" s="1"/>
      <c r="CB50" s="1"/>
      <c r="CC50" s="1"/>
      <c r="CD50" s="1"/>
      <c r="CE50" s="1"/>
      <c r="CF50" s="1"/>
      <c r="CG50" s="1"/>
      <c r="CH50" s="1"/>
      <c r="CI50" s="1"/>
      <c r="CJ50" s="1"/>
      <c r="CK50" s="1"/>
      <c r="CL50" s="1"/>
      <c r="CM50" s="1"/>
      <c r="CN50" s="1"/>
      <c r="CO50" s="1"/>
      <c r="CP50" s="1"/>
      <c r="CQ50" s="1"/>
      <c r="CR50" s="1"/>
      <c r="CS50" s="1"/>
      <c r="CT50" s="1"/>
      <c r="CU50" s="1"/>
      <c r="CV50" s="1"/>
      <c r="CW50" s="1"/>
      <c r="CX50" s="1"/>
      <c r="CY50" s="1"/>
      <c r="CZ50" s="1"/>
      <c r="DA50" s="1"/>
      <c r="DB50" s="1"/>
      <c r="DC50" s="1"/>
      <c r="DD50" s="1"/>
      <c r="DE50" s="1"/>
      <c r="DF50" s="1"/>
      <c r="DG50" s="1"/>
      <c r="DH50" s="1"/>
      <c r="DI50" s="1"/>
      <c r="DJ50" s="1"/>
      <c r="DK50" s="1"/>
      <c r="DL50" s="1"/>
      <c r="DM50" s="1"/>
      <c r="DN50" s="1"/>
      <c r="DO50" s="1"/>
      <c r="DP50" s="1"/>
      <c r="DQ50" s="1"/>
      <c r="DR50" s="1"/>
      <c r="DS50" s="1"/>
      <c r="DT50" s="1"/>
      <c r="DU50" s="1"/>
      <c r="DV50" s="1"/>
      <c r="DW50" s="1"/>
      <c r="DX50" s="1"/>
      <c r="DY50" s="1"/>
      <c r="DZ50" s="1"/>
      <c r="EA50" s="1"/>
      <c r="EB50" s="1"/>
      <c r="EC50" s="1"/>
      <c r="ED50" s="1"/>
      <c r="EE50" s="1"/>
      <c r="EF50" s="1"/>
      <c r="EG50" s="1"/>
      <c r="EH50" s="1"/>
      <c r="EI50" s="1"/>
      <c r="EJ50" s="1"/>
      <c r="EK50" s="1"/>
      <c r="EL50" s="1"/>
      <c r="EM50" s="1"/>
      <c r="EN50" s="1"/>
      <c r="EO50" s="1"/>
      <c r="EP50" s="1"/>
      <c r="EQ50" s="1"/>
      <c r="ER50" s="1"/>
      <c r="ES50" s="1"/>
      <c r="ET50" s="1"/>
      <c r="EU50" s="1"/>
      <c r="EV50" s="1"/>
      <c r="EW50" s="1"/>
      <c r="EX50" s="1"/>
      <c r="EY50" s="1"/>
      <c r="EZ50" s="1"/>
      <c r="FA50" s="1"/>
      <c r="FB50" s="1"/>
      <c r="FC50" s="1"/>
      <c r="FD50" s="1"/>
      <c r="FE50" s="1"/>
      <c r="FF50" s="1"/>
      <c r="FG50" s="1"/>
      <c r="FH50" s="1"/>
      <c r="FI50" s="1"/>
      <c r="FJ50" s="1"/>
      <c r="FK50" s="1"/>
      <c r="FL50" s="1"/>
      <c r="FM50" s="1"/>
      <c r="FN50" s="1"/>
      <c r="FO50" s="1"/>
      <c r="FP50" s="1"/>
      <c r="FQ50" s="1"/>
      <c r="FR50" s="1"/>
      <c r="FS50" s="1"/>
      <c r="FT50" s="1"/>
      <c r="FU50" s="1"/>
      <c r="FV50" s="1"/>
      <c r="FW50" s="1"/>
      <c r="FX50" s="1"/>
      <c r="FY50" s="1"/>
      <c r="FZ50" s="1"/>
      <c r="GA50" s="1"/>
      <c r="GB50" s="1"/>
      <c r="GC50" s="1"/>
      <c r="GD50" s="1"/>
      <c r="GE50" s="1"/>
      <c r="GF50" s="1"/>
      <c r="GG50" s="1"/>
      <c r="GH50" s="1"/>
      <c r="GI50" s="1"/>
      <c r="GJ50" s="1"/>
      <c r="GK50" s="1"/>
      <c r="GL50" s="1"/>
      <c r="GM50" s="1"/>
      <c r="GN50" s="1"/>
      <c r="GO50" s="1"/>
      <c r="GP50" s="1"/>
      <c r="GQ50" s="1"/>
      <c r="GR50" s="1"/>
      <c r="GS50" s="1"/>
      <c r="GT50" s="1"/>
      <c r="GU50" s="1"/>
      <c r="GV50" s="1"/>
      <c r="GW50" s="1"/>
      <c r="GX50" s="1"/>
      <c r="GY50" s="1"/>
      <c r="GZ50" s="1"/>
      <c r="HA50" s="1"/>
      <c r="HB50" s="1"/>
      <c r="HC50" s="1"/>
      <c r="HD50" s="1"/>
      <c r="HE50" s="1"/>
      <c r="HF50" s="1"/>
      <c r="HG50" s="1"/>
      <c r="HH50" s="1"/>
      <c r="HI50" s="1"/>
      <c r="HJ50" s="1"/>
      <c r="HK50" s="1"/>
      <c r="HL50" s="1"/>
      <c r="HM50" s="1"/>
      <c r="HN50" s="1"/>
      <c r="HO50" s="1"/>
      <c r="HP50" s="1"/>
      <c r="HQ50" s="1"/>
      <c r="HR50" s="1"/>
      <c r="HS50" s="1"/>
      <c r="HT50" s="1"/>
      <c r="HU50" s="1"/>
      <c r="HV50" s="1"/>
      <c r="HW50" s="1"/>
      <c r="HX50" s="1"/>
      <c r="HY50" s="1"/>
      <c r="HZ50" s="1"/>
      <c r="IA50" s="1"/>
      <c r="IB50" s="1"/>
      <c r="IC50" s="1"/>
      <c r="ID50" s="1"/>
      <c r="IE50" s="1"/>
      <c r="IF50" s="1"/>
      <c r="IG50" s="1"/>
      <c r="IH50" s="1"/>
      <c r="II50" s="1"/>
      <c r="IJ50" s="1"/>
      <c r="IK50" s="1"/>
      <c r="IL50" s="1"/>
      <c r="IM50" s="1"/>
      <c r="IN50" s="1"/>
      <c r="IO50" s="1"/>
      <c r="IP50" s="1"/>
      <c r="IQ50" s="1"/>
      <c r="IR50" s="1"/>
      <c r="IS50" s="1"/>
      <c r="IT50" s="1"/>
      <c r="IU50" s="1"/>
      <c r="IV50" s="1"/>
      <c r="IW50" s="1"/>
      <c r="IX50" s="1"/>
      <c r="IY50" s="1"/>
      <c r="IZ50" s="1"/>
      <c r="JA50" s="1"/>
      <c r="JB50" s="1"/>
      <c r="JC50" s="1"/>
      <c r="JD50" s="1"/>
      <c r="JE50" s="1"/>
      <c r="JF50" s="1"/>
      <c r="JG50" s="1"/>
      <c r="JH50" s="1"/>
      <c r="JI50" s="1"/>
      <c r="JJ50" s="1"/>
      <c r="JK50" s="1"/>
      <c r="JL50" s="1"/>
      <c r="JM50" s="1"/>
      <c r="JN50" s="1"/>
      <c r="JO50" s="1"/>
      <c r="JP50" s="1"/>
      <c r="JQ50" s="1"/>
      <c r="JR50" s="1"/>
      <c r="JS50" s="1"/>
      <c r="JT50" s="1"/>
      <c r="JU50" s="1"/>
      <c r="JV50" s="1"/>
      <c r="JW50" s="1"/>
      <c r="JX50" s="1"/>
      <c r="JY50" s="1"/>
      <c r="JZ50" s="1"/>
      <c r="KA50" s="1"/>
      <c r="KB50" s="1"/>
      <c r="KC50" s="1"/>
      <c r="KD50" s="1"/>
      <c r="KE50" s="1"/>
      <c r="KF50" s="1"/>
      <c r="KG50" s="1"/>
      <c r="KH50" s="1"/>
      <c r="KI50" s="1"/>
      <c r="KJ50" s="1"/>
      <c r="KK50" s="1"/>
      <c r="KL50" s="1"/>
      <c r="KM50" s="1"/>
      <c r="KN50" s="1"/>
      <c r="KO50" s="1"/>
      <c r="KP50" s="1"/>
      <c r="KQ50" s="1"/>
      <c r="KR50" s="1"/>
      <c r="KS50" s="1"/>
      <c r="KT50" s="1"/>
      <c r="KU50" s="1"/>
      <c r="KV50" s="1"/>
      <c r="KW50" s="1"/>
      <c r="KX50" s="1"/>
      <c r="KY50" s="1"/>
      <c r="KZ50" s="1"/>
      <c r="LA50" s="1"/>
      <c r="LB50" s="1"/>
      <c r="LC50" s="1"/>
      <c r="LD50" s="1"/>
      <c r="LE50" s="1"/>
      <c r="LF50" s="1"/>
      <c r="LG50" s="1"/>
      <c r="LH50" s="1"/>
      <c r="LI50" s="1"/>
      <c r="LJ50" s="1"/>
      <c r="LK50" s="1"/>
      <c r="LL50" s="1"/>
      <c r="LM50" s="1"/>
      <c r="LN50" s="1"/>
      <c r="LO50" s="1"/>
      <c r="LP50" s="1"/>
      <c r="LQ50" s="1"/>
      <c r="LR50" s="1"/>
      <c r="LS50" s="1"/>
    </row>
    <row r="51" spans="1:331" s="35" customFormat="1" x14ac:dyDescent="0.25">
      <c r="A51" s="35" t="s">
        <v>256</v>
      </c>
      <c r="B51" s="35" t="s">
        <v>257</v>
      </c>
      <c r="C51" s="96" t="s">
        <v>1646</v>
      </c>
      <c r="D51" s="35">
        <v>5</v>
      </c>
      <c r="E51" s="35" t="s">
        <v>258</v>
      </c>
      <c r="F51" s="35" t="s">
        <v>258</v>
      </c>
      <c r="G51" s="35" t="s">
        <v>258</v>
      </c>
      <c r="H51" s="35" t="s">
        <v>259</v>
      </c>
      <c r="I51" s="35" t="s">
        <v>258</v>
      </c>
      <c r="J51" s="35" t="s">
        <v>259</v>
      </c>
      <c r="K51" s="35" t="s">
        <v>258</v>
      </c>
      <c r="L51" s="35">
        <v>0</v>
      </c>
      <c r="O51" s="35">
        <v>1</v>
      </c>
      <c r="Q51" s="96"/>
      <c r="R51" s="96" t="s">
        <v>260</v>
      </c>
      <c r="T51" s="35">
        <v>43</v>
      </c>
      <c r="V51" s="35">
        <v>39</v>
      </c>
      <c r="W51" s="96">
        <v>43</v>
      </c>
      <c r="X51" s="96"/>
      <c r="Y51" s="96"/>
      <c r="Z51" s="35">
        <v>7</v>
      </c>
      <c r="AA51" s="94" t="b">
        <v>1</v>
      </c>
      <c r="AB51" s="1"/>
      <c r="AC51" s="57" t="s">
        <v>1448</v>
      </c>
      <c r="AD51" s="1"/>
      <c r="AE51" s="57"/>
      <c r="AF51" s="1"/>
      <c r="AG51" s="1"/>
      <c r="AH51" s="1"/>
      <c r="AI51" s="1"/>
      <c r="AJ51" s="1"/>
      <c r="AK51" s="1"/>
      <c r="AL51" s="1"/>
      <c r="AM51" s="1"/>
      <c r="AN51" s="1"/>
      <c r="AO51" s="1"/>
      <c r="AP51" s="1"/>
      <c r="AQ51" s="1"/>
      <c r="AR51" s="1"/>
      <c r="AS51" s="1"/>
      <c r="AT51" s="1"/>
      <c r="AU51" s="1"/>
      <c r="AV51" s="1"/>
      <c r="AW51" s="1"/>
      <c r="AX51" s="1"/>
      <c r="AY51" s="1"/>
      <c r="AZ51" s="1"/>
      <c r="BA51" s="1"/>
      <c r="BB51" s="1"/>
      <c r="BC51" s="1"/>
      <c r="BD51" s="1"/>
      <c r="BE51" s="1"/>
      <c r="BF51" s="1"/>
      <c r="BG51" s="1"/>
      <c r="BH51" s="1"/>
      <c r="BI51" s="1"/>
      <c r="BJ51" s="1"/>
      <c r="BK51" s="1"/>
      <c r="BL51" s="1"/>
      <c r="BM51" s="1"/>
      <c r="BN51" s="1"/>
      <c r="BO51" s="1"/>
      <c r="BP51" s="1"/>
      <c r="BQ51" s="1"/>
      <c r="BR51" s="1"/>
      <c r="BS51" s="1"/>
      <c r="BT51" s="1"/>
      <c r="BU51" s="1"/>
      <c r="BV51" s="1"/>
      <c r="BW51" s="1"/>
      <c r="BX51" s="1"/>
      <c r="BY51" s="1"/>
      <c r="BZ51" s="1"/>
      <c r="CA51" s="1"/>
      <c r="CB51" s="1"/>
      <c r="CC51" s="1"/>
      <c r="CD51" s="1"/>
      <c r="CE51" s="1"/>
      <c r="CF51" s="1"/>
      <c r="CG51" s="1"/>
      <c r="CH51" s="1"/>
      <c r="CI51" s="1"/>
      <c r="CJ51" s="1"/>
      <c r="CK51" s="1"/>
      <c r="CL51" s="1"/>
      <c r="CM51" s="1"/>
      <c r="CN51" s="1"/>
      <c r="CO51" s="1"/>
      <c r="CP51" s="1"/>
      <c r="CQ51" s="1"/>
      <c r="CR51" s="1"/>
      <c r="CS51" s="1"/>
      <c r="CT51" s="1"/>
      <c r="CU51" s="1"/>
      <c r="CV51" s="1"/>
      <c r="CW51" s="1"/>
      <c r="CX51" s="1"/>
      <c r="CY51" s="1"/>
      <c r="CZ51" s="1"/>
      <c r="DA51" s="1"/>
      <c r="DB51" s="1"/>
      <c r="DC51" s="1"/>
      <c r="DD51" s="1"/>
      <c r="DE51" s="1"/>
      <c r="DF51" s="1"/>
      <c r="DG51" s="1"/>
      <c r="DH51" s="1"/>
      <c r="DI51" s="1"/>
      <c r="DJ51" s="1"/>
      <c r="DK51" s="1"/>
      <c r="DL51" s="1"/>
      <c r="DM51" s="1"/>
      <c r="DN51" s="1"/>
      <c r="DO51" s="1"/>
      <c r="DP51" s="1"/>
      <c r="DQ51" s="1"/>
      <c r="DR51" s="1"/>
      <c r="DS51" s="1"/>
      <c r="DT51" s="1"/>
      <c r="DU51" s="1"/>
      <c r="DV51" s="1"/>
      <c r="DW51" s="1"/>
      <c r="DX51" s="1"/>
      <c r="DY51" s="1"/>
      <c r="DZ51" s="1"/>
      <c r="EA51" s="1"/>
      <c r="EB51" s="1"/>
      <c r="EC51" s="1"/>
      <c r="ED51" s="1"/>
      <c r="EE51" s="1"/>
      <c r="EF51" s="1"/>
      <c r="EG51" s="1"/>
      <c r="EH51" s="1"/>
      <c r="EI51" s="1"/>
      <c r="EJ51" s="1"/>
      <c r="EK51" s="1"/>
      <c r="EL51" s="1"/>
      <c r="EM51" s="1"/>
      <c r="EN51" s="1"/>
      <c r="EO51" s="1"/>
      <c r="EP51" s="1"/>
      <c r="EQ51" s="1"/>
      <c r="ER51" s="1"/>
      <c r="ES51" s="1"/>
      <c r="ET51" s="1"/>
      <c r="EU51" s="1"/>
      <c r="EV51" s="1"/>
      <c r="EW51" s="1"/>
      <c r="EX51" s="1"/>
      <c r="EY51" s="1"/>
      <c r="EZ51" s="1"/>
      <c r="FA51" s="1"/>
      <c r="FB51" s="1"/>
      <c r="FC51" s="1"/>
      <c r="FD51" s="1"/>
      <c r="FE51" s="1"/>
      <c r="FF51" s="1"/>
      <c r="FG51" s="1"/>
      <c r="FH51" s="1"/>
      <c r="FI51" s="1"/>
      <c r="FJ51" s="1"/>
      <c r="FK51" s="1"/>
      <c r="FL51" s="1"/>
      <c r="FM51" s="1"/>
      <c r="FN51" s="1"/>
      <c r="FO51" s="1"/>
      <c r="FP51" s="1"/>
      <c r="FQ51" s="1"/>
      <c r="FR51" s="1"/>
      <c r="FS51" s="1"/>
      <c r="FT51" s="1"/>
      <c r="FU51" s="1"/>
      <c r="FV51" s="1"/>
      <c r="FW51" s="1"/>
      <c r="FX51" s="1"/>
      <c r="FY51" s="1"/>
      <c r="FZ51" s="1"/>
      <c r="GA51" s="1"/>
      <c r="GB51" s="1"/>
      <c r="GC51" s="1"/>
      <c r="GD51" s="1"/>
      <c r="GE51" s="1"/>
      <c r="GF51" s="1"/>
      <c r="GG51" s="1"/>
      <c r="GH51" s="1"/>
      <c r="GI51" s="1"/>
      <c r="GJ51" s="1"/>
      <c r="GK51" s="1"/>
      <c r="GL51" s="1"/>
      <c r="GM51" s="1"/>
      <c r="GN51" s="1"/>
      <c r="GO51" s="1"/>
      <c r="GP51" s="1"/>
      <c r="GQ51" s="1"/>
      <c r="GR51" s="1"/>
      <c r="GS51" s="1"/>
      <c r="GT51" s="1"/>
      <c r="GU51" s="1"/>
      <c r="GV51" s="1"/>
      <c r="GW51" s="1"/>
      <c r="GX51" s="1"/>
      <c r="GY51" s="1"/>
      <c r="GZ51" s="1"/>
      <c r="HA51" s="1"/>
      <c r="HB51" s="1"/>
      <c r="HC51" s="1"/>
      <c r="HD51" s="1"/>
      <c r="HE51" s="1"/>
      <c r="HF51" s="1"/>
      <c r="HG51" s="1"/>
      <c r="HH51" s="1"/>
      <c r="HI51" s="1"/>
      <c r="HJ51" s="1"/>
      <c r="HK51" s="1"/>
      <c r="HL51" s="1"/>
      <c r="HM51" s="1"/>
      <c r="HN51" s="1"/>
      <c r="HO51" s="1"/>
      <c r="HP51" s="1"/>
      <c r="HQ51" s="1"/>
      <c r="HR51" s="1"/>
      <c r="HS51" s="1"/>
      <c r="HT51" s="1"/>
      <c r="HU51" s="1"/>
      <c r="HV51" s="1"/>
      <c r="HW51" s="1"/>
      <c r="HX51" s="1"/>
      <c r="HY51" s="1"/>
      <c r="HZ51" s="1"/>
      <c r="IA51" s="1"/>
      <c r="IB51" s="1"/>
      <c r="IC51" s="1"/>
      <c r="ID51" s="1"/>
      <c r="IE51" s="1"/>
      <c r="IF51" s="1"/>
      <c r="IG51" s="1"/>
      <c r="IH51" s="1"/>
      <c r="II51" s="1"/>
      <c r="IJ51" s="1"/>
      <c r="IK51" s="1"/>
      <c r="IL51" s="1"/>
      <c r="IM51" s="1"/>
      <c r="IN51" s="1"/>
      <c r="IO51" s="1"/>
      <c r="IP51" s="1"/>
      <c r="IQ51" s="1"/>
      <c r="IR51" s="1"/>
      <c r="IS51" s="1"/>
      <c r="IT51" s="1"/>
      <c r="IU51" s="1"/>
      <c r="IV51" s="1"/>
      <c r="IW51" s="1"/>
      <c r="IX51" s="1"/>
      <c r="IY51" s="1"/>
      <c r="IZ51" s="1"/>
      <c r="JA51" s="1"/>
      <c r="JB51" s="1"/>
      <c r="JC51" s="1"/>
      <c r="JD51" s="1"/>
      <c r="JE51" s="1"/>
      <c r="JF51" s="1"/>
      <c r="JG51" s="1"/>
      <c r="JH51" s="1"/>
      <c r="JI51" s="1"/>
      <c r="JJ51" s="1"/>
      <c r="JK51" s="1"/>
      <c r="JL51" s="1"/>
      <c r="JM51" s="1"/>
      <c r="JN51" s="1"/>
      <c r="JO51" s="1"/>
      <c r="JP51" s="1"/>
      <c r="JQ51" s="1"/>
      <c r="JR51" s="1"/>
      <c r="JS51" s="1"/>
      <c r="JT51" s="1"/>
      <c r="JU51" s="1"/>
      <c r="JV51" s="1"/>
      <c r="JW51" s="1"/>
      <c r="JX51" s="1"/>
      <c r="JY51" s="1"/>
      <c r="JZ51" s="1"/>
      <c r="KA51" s="1"/>
      <c r="KB51" s="1"/>
      <c r="KC51" s="1"/>
      <c r="KD51" s="1"/>
      <c r="KE51" s="1"/>
      <c r="KF51" s="1"/>
      <c r="KG51" s="1"/>
      <c r="KH51" s="1"/>
      <c r="KI51" s="1"/>
      <c r="KJ51" s="1"/>
      <c r="KK51" s="1"/>
      <c r="KL51" s="1"/>
      <c r="KM51" s="1"/>
      <c r="KN51" s="1"/>
      <c r="KO51" s="1"/>
      <c r="KP51" s="1"/>
      <c r="KQ51" s="1"/>
      <c r="KR51" s="1"/>
      <c r="KS51" s="1"/>
      <c r="KT51" s="1"/>
      <c r="KU51" s="1"/>
      <c r="KV51" s="1"/>
      <c r="KW51" s="1"/>
      <c r="KX51" s="1"/>
      <c r="KY51" s="1"/>
      <c r="KZ51" s="1"/>
      <c r="LA51" s="1"/>
      <c r="LB51" s="1"/>
      <c r="LC51" s="1"/>
      <c r="LD51" s="1"/>
      <c r="LE51" s="1"/>
      <c r="LF51" s="1"/>
      <c r="LG51" s="1"/>
      <c r="LH51" s="1"/>
      <c r="LI51" s="1"/>
      <c r="LJ51" s="1"/>
      <c r="LK51" s="1"/>
      <c r="LL51" s="1"/>
      <c r="LM51" s="1"/>
      <c r="LN51" s="1"/>
      <c r="LO51" s="1"/>
      <c r="LP51" s="1"/>
      <c r="LQ51" s="1"/>
      <c r="LR51" s="1"/>
      <c r="LS51" s="1"/>
    </row>
    <row r="52" spans="1:331" s="3" customFormat="1" x14ac:dyDescent="0.25">
      <c r="A52" s="3" t="s">
        <v>1316</v>
      </c>
      <c r="B52" s="3" t="s">
        <v>1919</v>
      </c>
      <c r="C52" s="96" t="s">
        <v>1646</v>
      </c>
      <c r="D52" s="3">
        <v>0</v>
      </c>
      <c r="H52" s="3" t="s">
        <v>722</v>
      </c>
      <c r="I52" s="3" t="s">
        <v>722</v>
      </c>
      <c r="J52" s="3" t="s">
        <v>701</v>
      </c>
      <c r="K52" s="3" t="s">
        <v>722</v>
      </c>
      <c r="L52" s="3">
        <v>2</v>
      </c>
      <c r="M52" s="3" t="s">
        <v>1322</v>
      </c>
      <c r="N52" s="3" t="s">
        <v>1323</v>
      </c>
      <c r="O52" s="3">
        <v>1</v>
      </c>
      <c r="P52" s="3" t="s">
        <v>701</v>
      </c>
      <c r="Q52" s="96" t="s">
        <v>1508</v>
      </c>
      <c r="R52" s="96"/>
      <c r="T52" s="3">
        <v>37</v>
      </c>
      <c r="V52" s="3">
        <v>20</v>
      </c>
      <c r="W52" s="96">
        <v>37</v>
      </c>
      <c r="X52" s="96"/>
      <c r="Y52" s="96"/>
      <c r="Z52" s="3">
        <v>1</v>
      </c>
      <c r="AA52" s="94" t="b">
        <v>1</v>
      </c>
      <c r="AB52" s="1" t="s">
        <v>1890</v>
      </c>
      <c r="AC52" s="57" t="s">
        <v>1950</v>
      </c>
      <c r="AD52" s="1"/>
      <c r="AE52" s="57"/>
      <c r="AF52" s="1"/>
      <c r="AG52" s="1"/>
      <c r="AH52" s="1"/>
      <c r="AI52" s="1"/>
      <c r="AJ52" s="1"/>
      <c r="AK52" s="1"/>
      <c r="AL52" s="1"/>
      <c r="AM52" s="1"/>
      <c r="AN52" s="1"/>
      <c r="AO52" s="1"/>
      <c r="AP52" s="1"/>
      <c r="AQ52" s="1"/>
      <c r="AR52" s="1"/>
      <c r="AS52" s="1"/>
      <c r="AT52" s="1"/>
      <c r="AU52" s="1"/>
      <c r="AV52" s="1"/>
      <c r="AW52" s="1"/>
      <c r="AX52" s="1"/>
      <c r="AY52" s="1"/>
      <c r="AZ52" s="1"/>
      <c r="BA52" s="1"/>
      <c r="BB52" s="1"/>
      <c r="BC52" s="1"/>
      <c r="BD52" s="1"/>
      <c r="BE52" s="1"/>
      <c r="BF52" s="1"/>
      <c r="BG52" s="1"/>
      <c r="BH52" s="1"/>
      <c r="BI52" s="1"/>
      <c r="BJ52" s="1"/>
      <c r="BK52" s="1"/>
      <c r="BL52" s="1"/>
      <c r="BM52" s="1"/>
      <c r="BN52" s="1"/>
      <c r="BO52" s="1"/>
      <c r="BP52" s="1"/>
      <c r="BQ52" s="1"/>
      <c r="BR52" s="1"/>
      <c r="BS52" s="1"/>
      <c r="BT52" s="1"/>
      <c r="BU52" s="1"/>
      <c r="BV52" s="1"/>
      <c r="BW52" s="1"/>
      <c r="BX52" s="1"/>
      <c r="BY52" s="1"/>
      <c r="BZ52" s="1"/>
      <c r="CA52" s="1"/>
      <c r="CB52" s="1"/>
      <c r="CC52" s="1"/>
      <c r="CD52" s="1"/>
      <c r="CE52" s="1"/>
      <c r="CF52" s="1"/>
      <c r="CG52" s="1"/>
      <c r="CH52" s="1"/>
      <c r="CI52" s="1"/>
      <c r="CJ52" s="1"/>
      <c r="CK52" s="1"/>
      <c r="CL52" s="1"/>
      <c r="CM52" s="1"/>
      <c r="CN52" s="1"/>
      <c r="CO52" s="1"/>
      <c r="CP52" s="1"/>
      <c r="CQ52" s="1"/>
      <c r="CR52" s="1"/>
      <c r="CS52" s="1"/>
      <c r="CT52" s="1"/>
      <c r="CU52" s="1"/>
      <c r="CV52" s="1"/>
      <c r="CW52" s="1"/>
      <c r="CX52" s="1"/>
      <c r="CY52" s="1"/>
      <c r="CZ52" s="1"/>
      <c r="DA52" s="1"/>
      <c r="DB52" s="1"/>
      <c r="DC52" s="1"/>
      <c r="DD52" s="1"/>
      <c r="DE52" s="1"/>
      <c r="DF52" s="1"/>
      <c r="DG52" s="1"/>
      <c r="DH52" s="1"/>
      <c r="DI52" s="1"/>
      <c r="DJ52" s="1"/>
      <c r="DK52" s="1"/>
      <c r="DL52" s="1"/>
      <c r="DM52" s="1"/>
      <c r="DN52" s="1"/>
      <c r="DO52" s="1"/>
      <c r="DP52" s="1"/>
      <c r="DQ52" s="1"/>
      <c r="DR52" s="1"/>
      <c r="DS52" s="1"/>
      <c r="DT52" s="1"/>
      <c r="DU52" s="1"/>
      <c r="DV52" s="1"/>
      <c r="DW52" s="1"/>
      <c r="DX52" s="1"/>
      <c r="DY52" s="1"/>
      <c r="DZ52" s="1"/>
      <c r="EA52" s="1"/>
      <c r="EB52" s="1"/>
      <c r="EC52" s="1"/>
      <c r="ED52" s="1"/>
      <c r="EE52" s="1"/>
      <c r="EF52" s="1"/>
      <c r="EG52" s="1"/>
      <c r="EH52" s="1"/>
      <c r="EI52" s="1"/>
      <c r="EJ52" s="1"/>
      <c r="EK52" s="1"/>
      <c r="EL52" s="1"/>
      <c r="EM52" s="1"/>
      <c r="EN52" s="1"/>
      <c r="EO52" s="1"/>
      <c r="EP52" s="1"/>
      <c r="EQ52" s="1"/>
      <c r="ER52" s="1"/>
      <c r="ES52" s="1"/>
      <c r="ET52" s="1"/>
      <c r="EU52" s="1"/>
      <c r="EV52" s="1"/>
      <c r="EW52" s="1"/>
      <c r="EX52" s="1"/>
      <c r="EY52" s="1"/>
      <c r="EZ52" s="1"/>
      <c r="FA52" s="1"/>
      <c r="FB52" s="1"/>
      <c r="FC52" s="1"/>
      <c r="FD52" s="1"/>
      <c r="FE52" s="1"/>
      <c r="FF52" s="1"/>
      <c r="FG52" s="1"/>
      <c r="FH52" s="1"/>
      <c r="FI52" s="1"/>
      <c r="FJ52" s="1"/>
      <c r="FK52" s="1"/>
      <c r="FL52" s="1"/>
      <c r="FM52" s="1"/>
      <c r="FN52" s="1"/>
      <c r="FO52" s="1"/>
      <c r="FP52" s="1"/>
      <c r="FQ52" s="1"/>
      <c r="FR52" s="1"/>
      <c r="FS52" s="1"/>
      <c r="FT52" s="1"/>
      <c r="FU52" s="1"/>
      <c r="FV52" s="1"/>
      <c r="FW52" s="1"/>
      <c r="FX52" s="1"/>
      <c r="FY52" s="1"/>
      <c r="FZ52" s="1"/>
      <c r="GA52" s="1"/>
      <c r="GB52" s="1"/>
      <c r="GC52" s="1"/>
      <c r="GD52" s="1"/>
      <c r="GE52" s="1"/>
      <c r="GF52" s="1"/>
      <c r="GG52" s="1"/>
      <c r="GH52" s="1"/>
      <c r="GI52" s="1"/>
      <c r="GJ52" s="1"/>
      <c r="GK52" s="1"/>
      <c r="GL52" s="1"/>
      <c r="GM52" s="1"/>
      <c r="GN52" s="1"/>
      <c r="GO52" s="1"/>
      <c r="GP52" s="1"/>
      <c r="GQ52" s="1"/>
      <c r="GR52" s="1"/>
      <c r="GS52" s="1"/>
      <c r="GT52" s="1"/>
      <c r="GU52" s="1"/>
      <c r="GV52" s="1"/>
      <c r="GW52" s="1"/>
      <c r="GX52" s="1"/>
      <c r="GY52" s="1"/>
      <c r="GZ52" s="1"/>
      <c r="HA52" s="1"/>
      <c r="HB52" s="1"/>
      <c r="HC52" s="1"/>
      <c r="HD52" s="1"/>
      <c r="HE52" s="1"/>
      <c r="HF52" s="1"/>
      <c r="HG52" s="1"/>
      <c r="HH52" s="1"/>
      <c r="HI52" s="1"/>
      <c r="HJ52" s="1"/>
      <c r="HK52" s="1"/>
      <c r="HL52" s="1"/>
      <c r="HM52" s="1"/>
      <c r="HN52" s="1"/>
      <c r="HO52" s="1"/>
      <c r="HP52" s="1"/>
      <c r="HQ52" s="1"/>
      <c r="HR52" s="1"/>
      <c r="HS52" s="1"/>
      <c r="HT52" s="1"/>
      <c r="HU52" s="1"/>
      <c r="HV52" s="1"/>
      <c r="HW52" s="1"/>
      <c r="HX52" s="1"/>
      <c r="HY52" s="1"/>
      <c r="HZ52" s="1"/>
      <c r="IA52" s="1"/>
      <c r="IB52" s="1"/>
      <c r="IC52" s="1"/>
      <c r="ID52" s="1"/>
      <c r="IE52" s="1"/>
      <c r="IF52" s="1"/>
      <c r="IG52" s="1"/>
      <c r="IH52" s="1"/>
      <c r="II52" s="1"/>
      <c r="IJ52" s="1"/>
      <c r="IK52" s="1"/>
      <c r="IL52" s="1"/>
      <c r="IM52" s="1"/>
      <c r="IN52" s="1"/>
      <c r="IO52" s="1"/>
      <c r="IP52" s="1"/>
      <c r="IQ52" s="1"/>
      <c r="IR52" s="1"/>
      <c r="IS52" s="1"/>
      <c r="IT52" s="1"/>
      <c r="IU52" s="1"/>
      <c r="IV52" s="1"/>
      <c r="IW52" s="1"/>
      <c r="IX52" s="1"/>
      <c r="IY52" s="1"/>
      <c r="IZ52" s="1"/>
      <c r="JA52" s="1"/>
      <c r="JB52" s="1"/>
      <c r="JC52" s="1"/>
      <c r="JD52" s="1"/>
      <c r="JE52" s="1"/>
      <c r="JF52" s="1"/>
      <c r="JG52" s="1"/>
      <c r="JH52" s="1"/>
      <c r="JI52" s="1"/>
      <c r="JJ52" s="1"/>
      <c r="JK52" s="1"/>
      <c r="JL52" s="1"/>
      <c r="JM52" s="1"/>
      <c r="JN52" s="1"/>
      <c r="JO52" s="1"/>
      <c r="JP52" s="1"/>
      <c r="JQ52" s="1"/>
      <c r="JR52" s="1"/>
      <c r="JS52" s="1"/>
      <c r="JT52" s="1"/>
      <c r="JU52" s="1"/>
      <c r="JV52" s="1"/>
      <c r="JW52" s="1"/>
      <c r="JX52" s="1"/>
      <c r="JY52" s="1"/>
      <c r="JZ52" s="1"/>
      <c r="KA52" s="1"/>
      <c r="KB52" s="1"/>
      <c r="KC52" s="1"/>
      <c r="KD52" s="1"/>
      <c r="KE52" s="1"/>
      <c r="KF52" s="1"/>
      <c r="KG52" s="1"/>
      <c r="KH52" s="1"/>
      <c r="KI52" s="1"/>
      <c r="KJ52" s="1"/>
      <c r="KK52" s="1"/>
      <c r="KL52" s="1"/>
      <c r="KM52" s="1"/>
      <c r="KN52" s="1"/>
      <c r="KO52" s="1"/>
      <c r="KP52" s="1"/>
      <c r="KQ52" s="1"/>
      <c r="KR52" s="1"/>
      <c r="KS52" s="1"/>
      <c r="KT52" s="1"/>
      <c r="KU52" s="1"/>
      <c r="KV52" s="1"/>
      <c r="KW52" s="1"/>
      <c r="KX52" s="1"/>
      <c r="KY52" s="1"/>
      <c r="KZ52" s="1"/>
      <c r="LA52" s="1"/>
      <c r="LB52" s="1"/>
      <c r="LC52" s="1"/>
      <c r="LD52" s="1"/>
      <c r="LE52" s="1"/>
      <c r="LF52" s="1"/>
      <c r="LG52" s="1"/>
      <c r="LH52" s="1"/>
      <c r="LI52" s="1"/>
      <c r="LJ52" s="1"/>
      <c r="LK52" s="1"/>
      <c r="LL52" s="1"/>
      <c r="LM52" s="1"/>
      <c r="LN52" s="1"/>
      <c r="LO52" s="1"/>
      <c r="LP52" s="1"/>
      <c r="LQ52" s="1"/>
      <c r="LR52" s="1"/>
      <c r="LS52" s="1"/>
    </row>
    <row r="53" spans="1:331" s="4" customFormat="1" x14ac:dyDescent="0.25">
      <c r="A53" s="4" t="s">
        <v>1317</v>
      </c>
      <c r="B53" s="4" t="s">
        <v>1324</v>
      </c>
      <c r="C53" s="96" t="s">
        <v>1646</v>
      </c>
      <c r="D53" s="4">
        <v>1</v>
      </c>
      <c r="E53" s="4" t="s">
        <v>696</v>
      </c>
      <c r="H53" s="4" t="s">
        <v>721</v>
      </c>
      <c r="I53" s="4" t="s">
        <v>1325</v>
      </c>
      <c r="J53" s="4" t="s">
        <v>1326</v>
      </c>
      <c r="K53" s="4" t="s">
        <v>721</v>
      </c>
      <c r="L53" s="4">
        <v>1</v>
      </c>
      <c r="M53" s="4" t="s">
        <v>1327</v>
      </c>
      <c r="O53" s="4">
        <v>1</v>
      </c>
      <c r="P53" s="4" t="s">
        <v>1328</v>
      </c>
      <c r="Q53" s="96" t="s">
        <v>1509</v>
      </c>
      <c r="R53" s="96"/>
      <c r="S53" s="4">
        <v>24</v>
      </c>
      <c r="W53" s="96">
        <v>24</v>
      </c>
      <c r="X53" s="96"/>
      <c r="Y53" s="96"/>
      <c r="Z53" s="4">
        <v>4</v>
      </c>
      <c r="AA53" s="94" t="b">
        <v>1</v>
      </c>
      <c r="AB53" s="1" t="s">
        <v>1890</v>
      </c>
      <c r="AC53" s="57" t="s">
        <v>1452</v>
      </c>
      <c r="AD53" s="1"/>
      <c r="AE53" s="57"/>
      <c r="AF53" s="1"/>
      <c r="AG53" s="1"/>
      <c r="AH53" s="1"/>
      <c r="AI53" s="1"/>
      <c r="AJ53" s="1"/>
      <c r="AK53" s="1"/>
      <c r="AL53" s="1"/>
      <c r="AM53" s="1"/>
      <c r="AN53" s="1"/>
      <c r="AO53" s="1"/>
      <c r="AP53" s="1"/>
      <c r="AQ53" s="1"/>
      <c r="AR53" s="1"/>
      <c r="AS53" s="1"/>
      <c r="AT53" s="1"/>
      <c r="AU53" s="1"/>
      <c r="AV53" s="1"/>
      <c r="AW53" s="1"/>
      <c r="AX53" s="1"/>
      <c r="AY53" s="1"/>
      <c r="AZ53" s="1"/>
      <c r="BA53" s="1"/>
      <c r="BB53" s="1"/>
      <c r="BC53" s="1"/>
      <c r="BD53" s="1"/>
      <c r="BE53" s="1"/>
      <c r="BF53" s="1"/>
      <c r="BG53" s="1"/>
      <c r="BH53" s="1"/>
      <c r="BI53" s="1"/>
      <c r="BJ53" s="1"/>
      <c r="BK53" s="1"/>
      <c r="BL53" s="1"/>
      <c r="BM53" s="1"/>
      <c r="BN53" s="1"/>
      <c r="BO53" s="1"/>
      <c r="BP53" s="1"/>
      <c r="BQ53" s="1"/>
      <c r="BR53" s="1"/>
      <c r="BS53" s="1"/>
      <c r="BT53" s="1"/>
      <c r="BU53" s="1"/>
      <c r="BV53" s="1"/>
    </row>
    <row r="54" spans="1:331" s="40" customFormat="1" x14ac:dyDescent="0.25">
      <c r="A54" s="40" t="s">
        <v>1470</v>
      </c>
      <c r="B54" s="40" t="s">
        <v>1785</v>
      </c>
      <c r="C54" s="96" t="s">
        <v>1646</v>
      </c>
      <c r="D54" s="40">
        <v>0</v>
      </c>
      <c r="H54" s="40" t="s">
        <v>1471</v>
      </c>
      <c r="I54" s="40" t="s">
        <v>1472</v>
      </c>
      <c r="J54" s="40" t="s">
        <v>1473</v>
      </c>
      <c r="K54" s="40" t="s">
        <v>1658</v>
      </c>
      <c r="L54" s="40">
        <v>0</v>
      </c>
      <c r="O54" s="40">
        <v>1</v>
      </c>
      <c r="P54" s="40" t="s">
        <v>1474</v>
      </c>
      <c r="Q54" s="96" t="s">
        <v>697</v>
      </c>
      <c r="R54" s="96"/>
      <c r="S54" s="40">
        <v>10</v>
      </c>
      <c r="U54" s="40">
        <v>10</v>
      </c>
      <c r="W54" s="96">
        <v>10</v>
      </c>
      <c r="X54" s="96"/>
      <c r="Y54" s="96"/>
      <c r="Z54" s="40">
        <v>8</v>
      </c>
      <c r="AA54" s="94" t="b">
        <v>1</v>
      </c>
      <c r="AB54" s="1"/>
      <c r="AC54" s="57" t="s">
        <v>1921</v>
      </c>
      <c r="AD54" s="1"/>
      <c r="AE54" s="57"/>
      <c r="AF54" s="1"/>
      <c r="AG54" s="1"/>
      <c r="AH54" s="1"/>
      <c r="AI54" s="1"/>
      <c r="AJ54" s="1"/>
      <c r="AK54" s="1"/>
      <c r="AL54" s="1"/>
      <c r="AM54" s="1"/>
      <c r="AN54" s="1"/>
      <c r="AO54" s="1"/>
      <c r="AP54" s="1"/>
      <c r="AQ54" s="1"/>
      <c r="AR54" s="1"/>
      <c r="AS54" s="1"/>
      <c r="AT54" s="1"/>
      <c r="AU54" s="1"/>
      <c r="AV54" s="1"/>
      <c r="AW54" s="1"/>
      <c r="AX54" s="1"/>
      <c r="AY54" s="1"/>
      <c r="AZ54" s="1"/>
      <c r="BA54" s="1"/>
      <c r="BB54" s="1"/>
      <c r="BC54" s="1"/>
      <c r="BD54" s="1"/>
      <c r="BE54" s="1"/>
      <c r="BF54" s="1"/>
      <c r="BG54" s="1"/>
      <c r="BH54" s="1"/>
      <c r="BI54" s="1"/>
      <c r="BJ54" s="1"/>
      <c r="BK54" s="1"/>
      <c r="BL54" s="1"/>
      <c r="BM54" s="1"/>
      <c r="BN54" s="1"/>
      <c r="BO54" s="1"/>
      <c r="BP54" s="1"/>
      <c r="BQ54" s="1"/>
      <c r="BR54" s="1"/>
      <c r="BS54" s="1"/>
      <c r="BT54" s="1"/>
      <c r="BU54" s="1"/>
      <c r="BV54" s="1"/>
    </row>
    <row r="55" spans="1:331" s="2" customFormat="1" x14ac:dyDescent="0.25">
      <c r="A55" s="2" t="s">
        <v>1475</v>
      </c>
      <c r="B55" s="2" t="s">
        <v>1786</v>
      </c>
      <c r="C55" s="96" t="s">
        <v>1646</v>
      </c>
      <c r="D55" s="2">
        <v>0</v>
      </c>
      <c r="H55" s="2" t="s">
        <v>1474</v>
      </c>
      <c r="I55" s="2" t="s">
        <v>1473</v>
      </c>
      <c r="J55" s="2" t="s">
        <v>1474</v>
      </c>
      <c r="K55" s="2" t="s">
        <v>1473</v>
      </c>
      <c r="L55" s="2">
        <v>1</v>
      </c>
      <c r="M55" s="2" t="s">
        <v>1474</v>
      </c>
      <c r="O55" s="2">
        <v>1</v>
      </c>
      <c r="Q55" s="96"/>
      <c r="R55" s="96" t="s">
        <v>1476</v>
      </c>
      <c r="T55" s="2">
        <v>26</v>
      </c>
      <c r="V55" s="2">
        <v>30</v>
      </c>
      <c r="W55" s="96">
        <v>26</v>
      </c>
      <c r="X55" s="105"/>
      <c r="Y55" s="96"/>
      <c r="Z55" s="2">
        <v>2</v>
      </c>
      <c r="AA55" s="94" t="b">
        <v>1</v>
      </c>
      <c r="AB55" s="1"/>
      <c r="AC55" s="57" t="s">
        <v>1922</v>
      </c>
      <c r="AD55" s="1"/>
      <c r="AE55" s="57"/>
      <c r="AF55" s="1"/>
      <c r="AG55" s="1"/>
      <c r="AH55" s="1"/>
      <c r="AI55" s="1"/>
      <c r="AJ55" s="1"/>
      <c r="AK55" s="1"/>
      <c r="AL55" s="1"/>
      <c r="AM55" s="1"/>
      <c r="AN55" s="1"/>
      <c r="AO55" s="1"/>
      <c r="AP55" s="1"/>
      <c r="AQ55" s="1"/>
      <c r="AR55" s="1"/>
      <c r="AS55" s="1"/>
      <c r="AT55" s="1"/>
      <c r="AU55" s="1"/>
      <c r="AV55" s="1"/>
      <c r="AW55" s="1"/>
      <c r="AX55" s="1"/>
      <c r="AY55" s="1"/>
      <c r="AZ55" s="1"/>
      <c r="BA55" s="1"/>
      <c r="BB55" s="1"/>
      <c r="BC55" s="1"/>
      <c r="BD55" s="1"/>
      <c r="BE55" s="1"/>
      <c r="BF55" s="1"/>
      <c r="BG55" s="1"/>
      <c r="BH55" s="1"/>
      <c r="BI55" s="1"/>
      <c r="BJ55" s="1"/>
      <c r="BK55" s="1"/>
      <c r="BL55" s="1"/>
      <c r="BM55" s="1"/>
      <c r="BN55" s="1"/>
      <c r="BO55" s="1"/>
      <c r="BP55" s="1"/>
      <c r="BQ55" s="1"/>
      <c r="BR55" s="1"/>
      <c r="BS55" s="1"/>
      <c r="BT55" s="1"/>
      <c r="BU55" s="1"/>
      <c r="BV55" s="1"/>
    </row>
    <row r="56" spans="1:331" s="68" customFormat="1" x14ac:dyDescent="0.25">
      <c r="A56" s="68" t="s">
        <v>1929</v>
      </c>
      <c r="B56" s="68">
        <v>1115222</v>
      </c>
      <c r="C56" s="96" t="s">
        <v>1646</v>
      </c>
      <c r="D56" s="68">
        <v>1</v>
      </c>
      <c r="E56" s="68" t="s">
        <v>1824</v>
      </c>
      <c r="H56" s="68" t="s">
        <v>1819</v>
      </c>
      <c r="I56" s="68" t="s">
        <v>1824</v>
      </c>
      <c r="J56" s="68" t="s">
        <v>1931</v>
      </c>
      <c r="K56" s="68" t="s">
        <v>1819</v>
      </c>
      <c r="L56" s="68">
        <v>0</v>
      </c>
      <c r="O56" s="68">
        <v>1</v>
      </c>
      <c r="P56" s="68" t="s">
        <v>1932</v>
      </c>
      <c r="Q56" s="96"/>
      <c r="R56" s="96" t="s">
        <v>1933</v>
      </c>
      <c r="T56" s="68">
        <v>13</v>
      </c>
      <c r="W56" s="96">
        <v>13</v>
      </c>
      <c r="X56" s="96"/>
      <c r="Y56" s="96"/>
      <c r="Z56" s="68">
        <v>13</v>
      </c>
      <c r="AA56" s="94" t="b">
        <v>1</v>
      </c>
      <c r="AB56" s="1"/>
      <c r="AC56" s="57" t="s">
        <v>1944</v>
      </c>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row>
    <row r="57" spans="1:331" s="3" customFormat="1" x14ac:dyDescent="0.25">
      <c r="A57" s="3" t="s">
        <v>1930</v>
      </c>
      <c r="B57" s="3">
        <v>2773991</v>
      </c>
      <c r="C57" s="96" t="s">
        <v>1646</v>
      </c>
      <c r="D57" s="3">
        <v>0</v>
      </c>
      <c r="H57" s="3" t="s">
        <v>1934</v>
      </c>
      <c r="I57" s="3" t="s">
        <v>1935</v>
      </c>
      <c r="J57" s="3" t="s">
        <v>1936</v>
      </c>
      <c r="K57" s="3" t="s">
        <v>1674</v>
      </c>
      <c r="L57" s="3">
        <v>1</v>
      </c>
      <c r="M57" s="3" t="s">
        <v>1931</v>
      </c>
      <c r="O57" s="3">
        <v>1</v>
      </c>
      <c r="Q57" s="94" t="s">
        <v>1833</v>
      </c>
      <c r="R57" s="96"/>
      <c r="S57" s="3">
        <v>9</v>
      </c>
      <c r="W57" s="96">
        <v>9</v>
      </c>
      <c r="X57" s="96"/>
      <c r="Y57" s="96"/>
      <c r="Z57" s="3">
        <v>1</v>
      </c>
      <c r="AA57" s="94" t="b">
        <v>1</v>
      </c>
      <c r="AB57" s="1"/>
      <c r="AC57" s="57" t="s">
        <v>1943</v>
      </c>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row>
    <row r="58" spans="1:331" s="35" customFormat="1" x14ac:dyDescent="0.25">
      <c r="A58" s="35" t="s">
        <v>262</v>
      </c>
      <c r="B58" s="39" t="s">
        <v>263</v>
      </c>
      <c r="C58" s="94" t="s">
        <v>1647</v>
      </c>
      <c r="D58" s="35">
        <v>1</v>
      </c>
      <c r="E58" s="35" t="s">
        <v>264</v>
      </c>
      <c r="H58" s="35" t="s">
        <v>265</v>
      </c>
      <c r="I58" s="35" t="s">
        <v>265</v>
      </c>
      <c r="J58" s="35" t="s">
        <v>266</v>
      </c>
      <c r="K58" s="35" t="s">
        <v>1659</v>
      </c>
      <c r="L58" s="35">
        <v>0</v>
      </c>
      <c r="O58" s="35">
        <v>1</v>
      </c>
      <c r="P58" s="35" t="s">
        <v>267</v>
      </c>
      <c r="Q58" s="96" t="s">
        <v>321</v>
      </c>
      <c r="R58" s="96"/>
      <c r="T58" s="35">
        <v>13</v>
      </c>
      <c r="V58" s="35">
        <v>12</v>
      </c>
      <c r="W58" s="96">
        <v>13</v>
      </c>
      <c r="X58" s="96"/>
      <c r="Y58" s="96"/>
      <c r="Z58" s="35">
        <v>7</v>
      </c>
      <c r="AA58" s="94" t="b">
        <v>1</v>
      </c>
      <c r="AB58" s="1"/>
      <c r="AC58" s="57" t="s">
        <v>1390</v>
      </c>
      <c r="AD58" s="1"/>
      <c r="AE58" s="57"/>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c r="HH58" s="1"/>
      <c r="HI58" s="1"/>
      <c r="HJ58" s="1"/>
      <c r="HK58" s="1"/>
      <c r="HL58" s="1"/>
      <c r="HM58" s="1"/>
      <c r="HN58" s="1"/>
      <c r="HO58" s="1"/>
      <c r="HP58" s="1"/>
      <c r="HQ58" s="1"/>
      <c r="HR58" s="1"/>
      <c r="HS58" s="1"/>
      <c r="HT58" s="1"/>
      <c r="HU58" s="1"/>
      <c r="HV58" s="1"/>
      <c r="HW58" s="1"/>
      <c r="HX58" s="1"/>
      <c r="HY58" s="1"/>
      <c r="HZ58" s="1"/>
      <c r="IA58" s="1"/>
      <c r="IB58" s="1"/>
      <c r="IC58" s="1"/>
      <c r="ID58" s="1"/>
      <c r="IE58" s="1"/>
      <c r="IF58" s="1"/>
      <c r="IG58" s="1"/>
      <c r="IH58" s="1"/>
      <c r="II58" s="1"/>
      <c r="IJ58" s="1"/>
      <c r="IK58" s="1"/>
      <c r="IL58" s="1"/>
      <c r="IM58" s="1"/>
      <c r="IN58" s="1"/>
      <c r="IO58" s="1"/>
      <c r="IP58" s="1"/>
      <c r="IQ58" s="1"/>
      <c r="IR58" s="1"/>
      <c r="IS58" s="1"/>
      <c r="IT58" s="1"/>
      <c r="IU58" s="1"/>
      <c r="IV58" s="1"/>
      <c r="IW58" s="1"/>
      <c r="IX58" s="1"/>
      <c r="IY58" s="1"/>
      <c r="IZ58" s="1"/>
      <c r="JA58" s="1"/>
      <c r="JB58" s="1"/>
      <c r="JC58" s="1"/>
      <c r="JD58" s="1"/>
      <c r="JE58" s="1"/>
      <c r="JF58" s="1"/>
      <c r="JG58" s="1"/>
      <c r="JH58" s="1"/>
      <c r="JI58" s="1"/>
      <c r="JJ58" s="1"/>
      <c r="JK58" s="1"/>
      <c r="JL58" s="1"/>
      <c r="JM58" s="1"/>
      <c r="JN58" s="1"/>
      <c r="JO58" s="1"/>
      <c r="JP58" s="1"/>
      <c r="JQ58" s="1"/>
      <c r="JR58" s="1"/>
      <c r="JS58" s="1"/>
      <c r="JT58" s="1"/>
      <c r="JU58" s="1"/>
      <c r="JV58" s="1"/>
      <c r="JW58" s="1"/>
      <c r="JX58" s="1"/>
      <c r="JY58" s="1"/>
      <c r="JZ58" s="1"/>
      <c r="KA58" s="1"/>
      <c r="KB58" s="1"/>
      <c r="KC58" s="1"/>
      <c r="KD58" s="1"/>
      <c r="KE58" s="1"/>
      <c r="KF58" s="1"/>
      <c r="KG58" s="1"/>
      <c r="KH58" s="1"/>
      <c r="KI58" s="1"/>
      <c r="KJ58" s="1"/>
      <c r="KK58" s="1"/>
      <c r="KL58" s="1"/>
      <c r="KM58" s="1"/>
      <c r="KN58" s="1"/>
      <c r="KO58" s="1"/>
      <c r="KP58" s="1"/>
      <c r="KQ58" s="1"/>
      <c r="KR58" s="1"/>
      <c r="KS58" s="1"/>
      <c r="KT58" s="1"/>
      <c r="KU58" s="1"/>
      <c r="KV58" s="1"/>
      <c r="KW58" s="1"/>
      <c r="KX58" s="1"/>
      <c r="KY58" s="1"/>
      <c r="KZ58" s="1"/>
      <c r="LA58" s="1"/>
      <c r="LB58" s="1"/>
      <c r="LC58" s="1"/>
      <c r="LD58" s="1"/>
      <c r="LE58" s="1"/>
      <c r="LF58" s="1"/>
      <c r="LG58" s="1"/>
      <c r="LH58" s="1"/>
      <c r="LI58" s="1"/>
      <c r="LJ58" s="1"/>
      <c r="LK58" s="1"/>
      <c r="LL58" s="1"/>
      <c r="LM58" s="1"/>
      <c r="LN58" s="1"/>
      <c r="LO58" s="1"/>
      <c r="LP58" s="1"/>
      <c r="LQ58" s="1"/>
      <c r="LR58" s="1"/>
      <c r="LS58" s="1"/>
    </row>
    <row r="59" spans="1:331" s="35" customFormat="1" x14ac:dyDescent="0.25">
      <c r="A59" s="35" t="s">
        <v>268</v>
      </c>
      <c r="B59" s="39" t="s">
        <v>269</v>
      </c>
      <c r="C59" s="94" t="s">
        <v>1647</v>
      </c>
      <c r="D59" s="35">
        <v>1</v>
      </c>
      <c r="E59" s="35" t="s">
        <v>40</v>
      </c>
      <c r="H59" s="35" t="s">
        <v>40</v>
      </c>
      <c r="I59" s="35" t="s">
        <v>40</v>
      </c>
      <c r="J59" s="35" t="s">
        <v>270</v>
      </c>
      <c r="K59" s="35" t="s">
        <v>40</v>
      </c>
      <c r="L59" s="35">
        <v>0</v>
      </c>
      <c r="O59" s="35">
        <v>1</v>
      </c>
      <c r="P59" s="35" t="s">
        <v>271</v>
      </c>
      <c r="Q59" s="96" t="s">
        <v>131</v>
      </c>
      <c r="R59" s="96"/>
      <c r="T59" s="35">
        <v>9</v>
      </c>
      <c r="V59" s="35">
        <v>11</v>
      </c>
      <c r="W59" s="96">
        <v>9</v>
      </c>
      <c r="X59" s="96"/>
      <c r="Y59" s="96"/>
      <c r="Z59" s="35">
        <v>7</v>
      </c>
      <c r="AA59" s="94" t="b">
        <v>1</v>
      </c>
      <c r="AB59" s="1"/>
      <c r="AC59" s="57" t="s">
        <v>1391</v>
      </c>
      <c r="AD59" s="1"/>
      <c r="AE59" s="57"/>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c r="HH59" s="1"/>
      <c r="HI59" s="1"/>
      <c r="HJ59" s="1"/>
      <c r="HK59" s="1"/>
      <c r="HL59" s="1"/>
      <c r="HM59" s="1"/>
      <c r="HN59" s="1"/>
      <c r="HO59" s="1"/>
      <c r="HP59" s="1"/>
      <c r="HQ59" s="1"/>
      <c r="HR59" s="1"/>
      <c r="HS59" s="1"/>
      <c r="HT59" s="1"/>
      <c r="HU59" s="1"/>
      <c r="HV59" s="1"/>
      <c r="HW59" s="1"/>
      <c r="HX59" s="1"/>
      <c r="HY59" s="1"/>
      <c r="HZ59" s="1"/>
      <c r="IA59" s="1"/>
      <c r="IB59" s="1"/>
      <c r="IC59" s="1"/>
      <c r="ID59" s="1"/>
      <c r="IE59" s="1"/>
      <c r="IF59" s="1"/>
      <c r="IG59" s="1"/>
      <c r="IH59" s="1"/>
      <c r="II59" s="1"/>
      <c r="IJ59" s="1"/>
      <c r="IK59" s="1"/>
      <c r="IL59" s="1"/>
      <c r="IM59" s="1"/>
      <c r="IN59" s="1"/>
      <c r="IO59" s="1"/>
      <c r="IP59" s="1"/>
      <c r="IQ59" s="1"/>
      <c r="IR59" s="1"/>
      <c r="IS59" s="1"/>
      <c r="IT59" s="1"/>
      <c r="IU59" s="1"/>
      <c r="IV59" s="1"/>
      <c r="IW59" s="1"/>
      <c r="IX59" s="1"/>
      <c r="IY59" s="1"/>
      <c r="IZ59" s="1"/>
      <c r="JA59" s="1"/>
      <c r="JB59" s="1"/>
      <c r="JC59" s="1"/>
      <c r="JD59" s="1"/>
      <c r="JE59" s="1"/>
      <c r="JF59" s="1"/>
      <c r="JG59" s="1"/>
      <c r="JH59" s="1"/>
      <c r="JI59" s="1"/>
      <c r="JJ59" s="1"/>
      <c r="JK59" s="1"/>
      <c r="JL59" s="1"/>
      <c r="JM59" s="1"/>
      <c r="JN59" s="1"/>
      <c r="JO59" s="1"/>
      <c r="JP59" s="1"/>
      <c r="JQ59" s="1"/>
      <c r="JR59" s="1"/>
      <c r="JS59" s="1"/>
      <c r="JT59" s="1"/>
      <c r="JU59" s="1"/>
      <c r="JV59" s="1"/>
      <c r="JW59" s="1"/>
      <c r="JX59" s="1"/>
      <c r="JY59" s="1"/>
      <c r="JZ59" s="1"/>
      <c r="KA59" s="1"/>
      <c r="KB59" s="1"/>
      <c r="KC59" s="1"/>
      <c r="KD59" s="1"/>
      <c r="KE59" s="1"/>
      <c r="KF59" s="1"/>
      <c r="KG59" s="1"/>
      <c r="KH59" s="1"/>
      <c r="KI59" s="1"/>
      <c r="KJ59" s="1"/>
      <c r="KK59" s="1"/>
      <c r="KL59" s="1"/>
      <c r="KM59" s="1"/>
      <c r="KN59" s="1"/>
      <c r="KO59" s="1"/>
      <c r="KP59" s="1"/>
      <c r="KQ59" s="1"/>
      <c r="KR59" s="1"/>
      <c r="KS59" s="1"/>
      <c r="KT59" s="1"/>
      <c r="KU59" s="1"/>
      <c r="KV59" s="1"/>
      <c r="KW59" s="1"/>
      <c r="KX59" s="1"/>
      <c r="KY59" s="1"/>
      <c r="KZ59" s="1"/>
      <c r="LA59" s="1"/>
      <c r="LB59" s="1"/>
      <c r="LC59" s="1"/>
      <c r="LD59" s="1"/>
      <c r="LE59" s="1"/>
      <c r="LF59" s="1"/>
      <c r="LG59" s="1"/>
      <c r="LH59" s="1"/>
      <c r="LI59" s="1"/>
      <c r="LJ59" s="1"/>
      <c r="LK59" s="1"/>
      <c r="LL59" s="1"/>
      <c r="LM59" s="1"/>
      <c r="LN59" s="1"/>
      <c r="LO59" s="1"/>
      <c r="LP59" s="1"/>
      <c r="LQ59" s="1"/>
      <c r="LR59" s="1"/>
      <c r="LS59" s="1"/>
    </row>
    <row r="60" spans="1:331" s="40" customFormat="1" x14ac:dyDescent="0.25">
      <c r="A60" s="40" t="s">
        <v>272</v>
      </c>
      <c r="B60" s="44" t="s">
        <v>273</v>
      </c>
      <c r="C60" s="94" t="s">
        <v>1647</v>
      </c>
      <c r="D60" s="40">
        <v>0</v>
      </c>
      <c r="H60" s="40" t="s">
        <v>274</v>
      </c>
      <c r="I60" s="40" t="s">
        <v>275</v>
      </c>
      <c r="J60" s="40" t="s">
        <v>275</v>
      </c>
      <c r="K60" s="40" t="s">
        <v>1660</v>
      </c>
      <c r="L60" s="40">
        <v>0</v>
      </c>
      <c r="O60" s="40">
        <v>1</v>
      </c>
      <c r="P60" s="40" t="s">
        <v>275</v>
      </c>
      <c r="Q60" s="96" t="s">
        <v>1510</v>
      </c>
      <c r="R60" s="96"/>
      <c r="S60" s="40">
        <v>6</v>
      </c>
      <c r="T60" s="40">
        <v>12</v>
      </c>
      <c r="W60" s="96">
        <v>12</v>
      </c>
      <c r="X60" s="96"/>
      <c r="Y60" s="96"/>
      <c r="Z60" s="40">
        <v>8</v>
      </c>
      <c r="AA60" s="94" t="b">
        <v>1</v>
      </c>
      <c r="AB60" s="1"/>
      <c r="AC60" s="57" t="s">
        <v>1398</v>
      </c>
      <c r="AD60" s="1"/>
      <c r="AE60" s="57"/>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c r="HH60" s="1"/>
      <c r="HI60" s="1"/>
      <c r="HJ60" s="1"/>
      <c r="HK60" s="1"/>
      <c r="HL60" s="1"/>
      <c r="HM60" s="1"/>
      <c r="HN60" s="1"/>
      <c r="HO60" s="1"/>
      <c r="HP60" s="1"/>
      <c r="HQ60" s="1"/>
      <c r="HR60" s="1"/>
      <c r="HS60" s="1"/>
      <c r="HT60" s="1"/>
      <c r="HU60" s="1"/>
      <c r="HV60" s="1"/>
      <c r="HW60" s="1"/>
      <c r="HX60" s="1"/>
      <c r="HY60" s="1"/>
      <c r="HZ60" s="1"/>
      <c r="IA60" s="1"/>
      <c r="IB60" s="1"/>
      <c r="IC60" s="1"/>
      <c r="ID60" s="1"/>
      <c r="IE60" s="1"/>
      <c r="IF60" s="1"/>
      <c r="IG60" s="1"/>
      <c r="IH60" s="1"/>
      <c r="II60" s="1"/>
      <c r="IJ60" s="1"/>
      <c r="IK60" s="1"/>
      <c r="IL60" s="1"/>
      <c r="IM60" s="1"/>
      <c r="IN60" s="1"/>
      <c r="IO60" s="1"/>
      <c r="IP60" s="1"/>
      <c r="IQ60" s="1"/>
      <c r="IR60" s="1"/>
      <c r="IS60" s="1"/>
      <c r="IT60" s="1"/>
      <c r="IU60" s="1"/>
      <c r="IV60" s="1"/>
      <c r="IW60" s="1"/>
      <c r="IX60" s="1"/>
      <c r="IY60" s="1"/>
      <c r="IZ60" s="1"/>
      <c r="JA60" s="1"/>
      <c r="JB60" s="1"/>
      <c r="JC60" s="1"/>
      <c r="JD60" s="1"/>
      <c r="JE60" s="1"/>
      <c r="JF60" s="1"/>
      <c r="JG60" s="1"/>
      <c r="JH60" s="1"/>
      <c r="JI60" s="1"/>
      <c r="JJ60" s="1"/>
      <c r="JK60" s="1"/>
      <c r="JL60" s="1"/>
      <c r="JM60" s="1"/>
      <c r="JN60" s="1"/>
      <c r="JO60" s="1"/>
      <c r="JP60" s="1"/>
      <c r="JQ60" s="1"/>
      <c r="JR60" s="1"/>
      <c r="JS60" s="1"/>
      <c r="JT60" s="1"/>
      <c r="JU60" s="1"/>
      <c r="JV60" s="1"/>
      <c r="JW60" s="1"/>
      <c r="JX60" s="1"/>
      <c r="JY60" s="1"/>
      <c r="JZ60" s="1"/>
      <c r="KA60" s="1"/>
      <c r="KB60" s="1"/>
      <c r="KC60" s="1"/>
      <c r="KD60" s="1"/>
      <c r="KE60" s="1"/>
      <c r="KF60" s="1"/>
      <c r="KG60" s="1"/>
      <c r="KH60" s="1"/>
      <c r="KI60" s="1"/>
      <c r="KJ60" s="1"/>
      <c r="KK60" s="1"/>
      <c r="KL60" s="1"/>
      <c r="KM60" s="1"/>
      <c r="KN60" s="1"/>
      <c r="KO60" s="1"/>
      <c r="KP60" s="1"/>
      <c r="KQ60" s="1"/>
      <c r="KR60" s="1"/>
      <c r="KS60" s="1"/>
      <c r="KT60" s="1"/>
      <c r="KU60" s="1"/>
      <c r="KV60" s="1"/>
      <c r="KW60" s="1"/>
      <c r="KX60" s="1"/>
      <c r="KY60" s="1"/>
      <c r="KZ60" s="1"/>
      <c r="LA60" s="1"/>
      <c r="LB60" s="1"/>
      <c r="LC60" s="1"/>
      <c r="LD60" s="1"/>
      <c r="LE60" s="1"/>
      <c r="LF60" s="1"/>
      <c r="LG60" s="1"/>
      <c r="LH60" s="1"/>
      <c r="LI60" s="1"/>
      <c r="LJ60" s="1"/>
      <c r="LK60" s="1"/>
      <c r="LL60" s="1"/>
      <c r="LM60" s="1"/>
      <c r="LN60" s="1"/>
      <c r="LO60" s="1"/>
      <c r="LP60" s="1"/>
      <c r="LQ60" s="1"/>
      <c r="LR60" s="1"/>
      <c r="LS60" s="1"/>
    </row>
    <row r="61" spans="1:331" s="35" customFormat="1" x14ac:dyDescent="0.25">
      <c r="A61" s="35" t="s">
        <v>276</v>
      </c>
      <c r="B61" s="39" t="s">
        <v>277</v>
      </c>
      <c r="C61" s="94" t="s">
        <v>1647</v>
      </c>
      <c r="D61" s="35">
        <v>1</v>
      </c>
      <c r="E61" s="35" t="s">
        <v>278</v>
      </c>
      <c r="H61" s="35" t="s">
        <v>21</v>
      </c>
      <c r="I61" s="35" t="s">
        <v>279</v>
      </c>
      <c r="J61" s="35" t="s">
        <v>153</v>
      </c>
      <c r="K61" s="35" t="s">
        <v>21</v>
      </c>
      <c r="L61" s="35">
        <v>0</v>
      </c>
      <c r="O61" s="35">
        <v>1</v>
      </c>
      <c r="P61" s="35" t="s">
        <v>154</v>
      </c>
      <c r="Q61" s="96" t="s">
        <v>1511</v>
      </c>
      <c r="R61" s="96"/>
      <c r="S61" s="35">
        <v>10</v>
      </c>
      <c r="V61" s="35">
        <v>12</v>
      </c>
      <c r="W61" s="96">
        <v>10</v>
      </c>
      <c r="X61" s="96"/>
      <c r="Y61" s="96"/>
      <c r="Z61" s="35">
        <v>7</v>
      </c>
      <c r="AA61" s="94" t="b">
        <v>1</v>
      </c>
      <c r="AB61" s="1"/>
      <c r="AC61" s="57" t="s">
        <v>1392</v>
      </c>
      <c r="AD61" s="1"/>
      <c r="AE61" s="57"/>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c r="HH61" s="1"/>
      <c r="HI61" s="1"/>
      <c r="HJ61" s="1"/>
      <c r="HK61" s="1"/>
      <c r="HL61" s="1"/>
      <c r="HM61" s="1"/>
      <c r="HN61" s="1"/>
      <c r="HO61" s="1"/>
      <c r="HP61" s="1"/>
      <c r="HQ61" s="1"/>
      <c r="HR61" s="1"/>
      <c r="HS61" s="1"/>
      <c r="HT61" s="1"/>
      <c r="HU61" s="1"/>
      <c r="HV61" s="1"/>
      <c r="HW61" s="1"/>
      <c r="HX61" s="1"/>
      <c r="HY61" s="1"/>
      <c r="HZ61" s="1"/>
      <c r="IA61" s="1"/>
      <c r="IB61" s="1"/>
      <c r="IC61" s="1"/>
      <c r="ID61" s="1"/>
      <c r="IE61" s="1"/>
      <c r="IF61" s="1"/>
      <c r="IG61" s="1"/>
      <c r="IH61" s="1"/>
      <c r="II61" s="1"/>
      <c r="IJ61" s="1"/>
      <c r="IK61" s="1"/>
      <c r="IL61" s="1"/>
      <c r="IM61" s="1"/>
      <c r="IN61" s="1"/>
      <c r="IO61" s="1"/>
      <c r="IP61" s="1"/>
      <c r="IQ61" s="1"/>
      <c r="IR61" s="1"/>
      <c r="IS61" s="1"/>
      <c r="IT61" s="1"/>
      <c r="IU61" s="1"/>
      <c r="IV61" s="1"/>
      <c r="IW61" s="1"/>
      <c r="IX61" s="1"/>
      <c r="IY61" s="1"/>
      <c r="IZ61" s="1"/>
      <c r="JA61" s="1"/>
      <c r="JB61" s="1"/>
      <c r="JC61" s="1"/>
      <c r="JD61" s="1"/>
      <c r="JE61" s="1"/>
      <c r="JF61" s="1"/>
      <c r="JG61" s="1"/>
      <c r="JH61" s="1"/>
      <c r="JI61" s="1"/>
      <c r="JJ61" s="1"/>
      <c r="JK61" s="1"/>
      <c r="JL61" s="1"/>
      <c r="JM61" s="1"/>
      <c r="JN61" s="1"/>
      <c r="JO61" s="1"/>
      <c r="JP61" s="1"/>
      <c r="JQ61" s="1"/>
      <c r="JR61" s="1"/>
      <c r="JS61" s="1"/>
      <c r="JT61" s="1"/>
      <c r="JU61" s="1"/>
      <c r="JV61" s="1"/>
      <c r="JW61" s="1"/>
      <c r="JX61" s="1"/>
      <c r="JY61" s="1"/>
      <c r="JZ61" s="1"/>
      <c r="KA61" s="1"/>
      <c r="KB61" s="1"/>
      <c r="KC61" s="1"/>
      <c r="KD61" s="1"/>
      <c r="KE61" s="1"/>
      <c r="KF61" s="1"/>
      <c r="KG61" s="1"/>
      <c r="KH61" s="1"/>
      <c r="KI61" s="1"/>
      <c r="KJ61" s="1"/>
      <c r="KK61" s="1"/>
      <c r="KL61" s="1"/>
      <c r="KM61" s="1"/>
      <c r="KN61" s="1"/>
      <c r="KO61" s="1"/>
      <c r="KP61" s="1"/>
      <c r="KQ61" s="1"/>
      <c r="KR61" s="1"/>
      <c r="KS61" s="1"/>
      <c r="KT61" s="1"/>
      <c r="KU61" s="1"/>
      <c r="KV61" s="1"/>
      <c r="KW61" s="1"/>
      <c r="KX61" s="1"/>
      <c r="KY61" s="1"/>
      <c r="KZ61" s="1"/>
      <c r="LA61" s="1"/>
      <c r="LB61" s="1"/>
      <c r="LC61" s="1"/>
      <c r="LD61" s="1"/>
      <c r="LE61" s="1"/>
      <c r="LF61" s="1"/>
      <c r="LG61" s="1"/>
      <c r="LH61" s="1"/>
      <c r="LI61" s="1"/>
      <c r="LJ61" s="1"/>
      <c r="LK61" s="1"/>
      <c r="LL61" s="1"/>
      <c r="LM61" s="1"/>
      <c r="LN61" s="1"/>
      <c r="LO61" s="1"/>
      <c r="LP61" s="1"/>
      <c r="LQ61" s="1"/>
      <c r="LR61" s="1"/>
      <c r="LS61" s="1"/>
    </row>
    <row r="62" spans="1:331" s="40" customFormat="1" x14ac:dyDescent="0.25">
      <c r="A62" s="40" t="s">
        <v>280</v>
      </c>
      <c r="B62" s="44" t="s">
        <v>281</v>
      </c>
      <c r="C62" s="94" t="s">
        <v>1647</v>
      </c>
      <c r="D62" s="40">
        <v>0</v>
      </c>
      <c r="H62" s="40" t="s">
        <v>282</v>
      </c>
      <c r="I62" s="40" t="s">
        <v>283</v>
      </c>
      <c r="J62" s="40" t="s">
        <v>282</v>
      </c>
      <c r="K62" s="40" t="s">
        <v>283</v>
      </c>
      <c r="L62" s="40">
        <v>0</v>
      </c>
      <c r="O62" s="40">
        <v>1</v>
      </c>
      <c r="P62" s="40" t="s">
        <v>284</v>
      </c>
      <c r="Q62" s="96" t="s">
        <v>503</v>
      </c>
      <c r="R62" s="96"/>
      <c r="S62" s="40">
        <v>12</v>
      </c>
      <c r="U62" s="40">
        <v>11</v>
      </c>
      <c r="W62" s="96">
        <v>12</v>
      </c>
      <c r="X62" s="96"/>
      <c r="Y62" s="96"/>
      <c r="Z62" s="40">
        <v>8</v>
      </c>
      <c r="AA62" s="94" t="b">
        <v>1</v>
      </c>
      <c r="AB62" s="1"/>
      <c r="AC62" s="57" t="s">
        <v>1372</v>
      </c>
      <c r="AD62" s="1"/>
      <c r="AE62" s="57"/>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c r="KJ62" s="1"/>
      <c r="KK62" s="1"/>
      <c r="KL62" s="1"/>
      <c r="KM62" s="1"/>
      <c r="KN62" s="1"/>
      <c r="KO62" s="1"/>
      <c r="KP62" s="1"/>
      <c r="KQ62" s="1"/>
      <c r="KR62" s="1"/>
      <c r="KS62" s="1"/>
      <c r="KT62" s="1"/>
      <c r="KU62" s="1"/>
      <c r="KV62" s="1"/>
      <c r="KW62" s="1"/>
      <c r="KX62" s="1"/>
      <c r="KY62" s="1"/>
      <c r="KZ62" s="1"/>
      <c r="LA62" s="1"/>
      <c r="LB62" s="1"/>
      <c r="LC62" s="1"/>
      <c r="LD62" s="1"/>
      <c r="LE62" s="1"/>
      <c r="LF62" s="1"/>
      <c r="LG62" s="1"/>
      <c r="LH62" s="1"/>
      <c r="LI62" s="1"/>
      <c r="LJ62" s="1"/>
      <c r="LK62" s="1"/>
      <c r="LL62" s="1"/>
      <c r="LM62" s="1"/>
      <c r="LN62" s="1"/>
      <c r="LO62" s="1"/>
      <c r="LP62" s="1"/>
      <c r="LQ62" s="1"/>
      <c r="LR62" s="1"/>
      <c r="LS62" s="1"/>
    </row>
    <row r="63" spans="1:331" s="40" customFormat="1" x14ac:dyDescent="0.25">
      <c r="A63" s="40" t="s">
        <v>285</v>
      </c>
      <c r="B63" s="44" t="s">
        <v>286</v>
      </c>
      <c r="C63" s="94" t="s">
        <v>1647</v>
      </c>
      <c r="D63" s="40">
        <v>1</v>
      </c>
      <c r="H63" s="40" t="s">
        <v>287</v>
      </c>
      <c r="I63" s="40" t="s">
        <v>288</v>
      </c>
      <c r="J63" s="40" t="s">
        <v>289</v>
      </c>
      <c r="K63" s="40" t="s">
        <v>1661</v>
      </c>
      <c r="L63" s="40">
        <v>0</v>
      </c>
      <c r="O63" s="40">
        <v>1</v>
      </c>
      <c r="P63" s="40" t="s">
        <v>20</v>
      </c>
      <c r="Q63" s="96" t="s">
        <v>1512</v>
      </c>
      <c r="R63" s="96"/>
      <c r="S63" s="40">
        <v>12</v>
      </c>
      <c r="U63" s="40">
        <v>12</v>
      </c>
      <c r="W63" s="96">
        <v>12</v>
      </c>
      <c r="X63" s="96"/>
      <c r="Y63" s="96"/>
      <c r="Z63" s="40">
        <v>8</v>
      </c>
      <c r="AA63" s="94" t="b">
        <v>1</v>
      </c>
      <c r="AB63" s="1"/>
      <c r="AC63" s="57" t="s">
        <v>1399</v>
      </c>
      <c r="AD63" s="1"/>
      <c r="AE63" s="57"/>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c r="KJ63" s="1"/>
      <c r="KK63" s="1"/>
      <c r="KL63" s="1"/>
      <c r="KM63" s="1"/>
      <c r="KN63" s="1"/>
      <c r="KO63" s="1"/>
      <c r="KP63" s="1"/>
      <c r="KQ63" s="1"/>
      <c r="KR63" s="1"/>
      <c r="KS63" s="1"/>
      <c r="KT63" s="1"/>
      <c r="KU63" s="1"/>
      <c r="KV63" s="1"/>
      <c r="KW63" s="1"/>
      <c r="KX63" s="1"/>
      <c r="KY63" s="1"/>
      <c r="KZ63" s="1"/>
      <c r="LA63" s="1"/>
      <c r="LB63" s="1"/>
      <c r="LC63" s="1"/>
      <c r="LD63" s="1"/>
      <c r="LE63" s="1"/>
      <c r="LF63" s="1"/>
      <c r="LG63" s="1"/>
      <c r="LH63" s="1"/>
      <c r="LI63" s="1"/>
      <c r="LJ63" s="1"/>
      <c r="LK63" s="1"/>
      <c r="LL63" s="1"/>
      <c r="LM63" s="1"/>
      <c r="LN63" s="1"/>
      <c r="LO63" s="1"/>
      <c r="LP63" s="1"/>
      <c r="LQ63" s="1"/>
      <c r="LR63" s="1"/>
      <c r="LS63" s="1"/>
    </row>
    <row r="64" spans="1:331" s="35" customFormat="1" x14ac:dyDescent="0.25">
      <c r="A64" s="35" t="s">
        <v>290</v>
      </c>
      <c r="B64" s="39" t="s">
        <v>291</v>
      </c>
      <c r="C64" s="94" t="s">
        <v>1647</v>
      </c>
      <c r="D64" s="35">
        <v>1</v>
      </c>
      <c r="E64" s="35" t="s">
        <v>292</v>
      </c>
      <c r="H64" s="35" t="s">
        <v>174</v>
      </c>
      <c r="I64" s="35" t="s">
        <v>174</v>
      </c>
      <c r="J64" s="35" t="s">
        <v>174</v>
      </c>
      <c r="K64" s="35" t="s">
        <v>292</v>
      </c>
      <c r="L64" s="35">
        <v>0</v>
      </c>
      <c r="O64" s="35">
        <v>1</v>
      </c>
      <c r="P64" s="35" t="s">
        <v>173</v>
      </c>
      <c r="Q64" s="96" t="s">
        <v>1513</v>
      </c>
      <c r="R64" s="96"/>
      <c r="S64" s="35">
        <v>30</v>
      </c>
      <c r="U64" s="35">
        <v>20</v>
      </c>
      <c r="W64" s="96">
        <v>30</v>
      </c>
      <c r="X64" s="96"/>
      <c r="Y64" s="96"/>
      <c r="Z64" s="35">
        <v>7</v>
      </c>
      <c r="AA64" s="94" t="b">
        <v>1</v>
      </c>
      <c r="AB64" s="1" t="s">
        <v>1898</v>
      </c>
      <c r="AC64" s="57" t="s">
        <v>1393</v>
      </c>
      <c r="AD64" s="1"/>
      <c r="AE64" s="57"/>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c r="KJ64" s="1"/>
      <c r="KK64" s="1"/>
      <c r="KL64" s="1"/>
      <c r="KM64" s="1"/>
      <c r="KN64" s="1"/>
      <c r="KO64" s="1"/>
      <c r="KP64" s="1"/>
      <c r="KQ64" s="1"/>
      <c r="KR64" s="1"/>
      <c r="KS64" s="1"/>
      <c r="KT64" s="1"/>
      <c r="KU64" s="1"/>
      <c r="KV64" s="1"/>
      <c r="KW64" s="1"/>
      <c r="KX64" s="1"/>
      <c r="KY64" s="1"/>
      <c r="KZ64" s="1"/>
      <c r="LA64" s="1"/>
      <c r="LB64" s="1"/>
      <c r="LC64" s="1"/>
      <c r="LD64" s="1"/>
      <c r="LE64" s="1"/>
      <c r="LF64" s="1"/>
      <c r="LG64" s="1"/>
      <c r="LH64" s="1"/>
      <c r="LI64" s="1"/>
      <c r="LJ64" s="1"/>
      <c r="LK64" s="1"/>
      <c r="LL64" s="1"/>
      <c r="LM64" s="1"/>
      <c r="LN64" s="1"/>
      <c r="LO64" s="1"/>
      <c r="LP64" s="1"/>
      <c r="LQ64" s="1"/>
      <c r="LR64" s="1"/>
      <c r="LS64" s="1"/>
    </row>
    <row r="65" spans="1:331" s="40" customFormat="1" x14ac:dyDescent="0.25">
      <c r="A65" s="40" t="s">
        <v>293</v>
      </c>
      <c r="B65" s="44" t="s">
        <v>294</v>
      </c>
      <c r="C65" s="94" t="s">
        <v>1647</v>
      </c>
      <c r="D65" s="40">
        <v>0</v>
      </c>
      <c r="H65" s="40" t="s">
        <v>295</v>
      </c>
      <c r="I65" s="40" t="s">
        <v>296</v>
      </c>
      <c r="J65" s="40" t="s">
        <v>297</v>
      </c>
      <c r="K65" s="40" t="s">
        <v>1662</v>
      </c>
      <c r="L65" s="40">
        <v>0</v>
      </c>
      <c r="O65" s="40">
        <v>1</v>
      </c>
      <c r="P65" s="40" t="s">
        <v>298</v>
      </c>
      <c r="Q65" s="96" t="s">
        <v>1514</v>
      </c>
      <c r="R65" s="96"/>
      <c r="T65" s="40">
        <v>8</v>
      </c>
      <c r="W65" s="96">
        <v>8</v>
      </c>
      <c r="X65" s="96"/>
      <c r="Y65" s="96"/>
      <c r="Z65" s="40">
        <v>8</v>
      </c>
      <c r="AA65" s="94" t="b">
        <v>1</v>
      </c>
      <c r="AB65" s="1"/>
      <c r="AC65" s="57" t="s">
        <v>1462</v>
      </c>
      <c r="AD65" s="1"/>
      <c r="AE65" s="57"/>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c r="KJ65" s="1"/>
      <c r="KK65" s="1"/>
      <c r="KL65" s="1"/>
      <c r="KM65" s="1"/>
      <c r="KN65" s="1"/>
      <c r="KO65" s="1"/>
      <c r="KP65" s="1"/>
      <c r="KQ65" s="1"/>
      <c r="KR65" s="1"/>
      <c r="KS65" s="1"/>
      <c r="KT65" s="1"/>
      <c r="KU65" s="1"/>
      <c r="KV65" s="1"/>
      <c r="KW65" s="1"/>
      <c r="KX65" s="1"/>
      <c r="KY65" s="1"/>
      <c r="KZ65" s="1"/>
      <c r="LA65" s="1"/>
      <c r="LB65" s="1"/>
      <c r="LC65" s="1"/>
      <c r="LD65" s="1"/>
      <c r="LE65" s="1"/>
      <c r="LF65" s="1"/>
      <c r="LG65" s="1"/>
      <c r="LH65" s="1"/>
      <c r="LI65" s="1"/>
      <c r="LJ65" s="1"/>
      <c r="LK65" s="1"/>
      <c r="LL65" s="1"/>
      <c r="LM65" s="1"/>
      <c r="LN65" s="1"/>
      <c r="LO65" s="1"/>
      <c r="LP65" s="1"/>
      <c r="LQ65" s="1"/>
      <c r="LR65" s="1"/>
      <c r="LS65" s="1"/>
    </row>
    <row r="66" spans="1:331" s="40" customFormat="1" x14ac:dyDescent="0.25">
      <c r="A66" s="40" t="s">
        <v>299</v>
      </c>
      <c r="B66" s="44" t="s">
        <v>300</v>
      </c>
      <c r="C66" s="94" t="s">
        <v>1647</v>
      </c>
      <c r="D66" s="40">
        <v>0</v>
      </c>
      <c r="H66" s="40" t="s">
        <v>180</v>
      </c>
      <c r="I66" s="40" t="s">
        <v>179</v>
      </c>
      <c r="J66" s="40" t="s">
        <v>301</v>
      </c>
      <c r="K66" s="40" t="s">
        <v>180</v>
      </c>
      <c r="L66" s="40">
        <v>0</v>
      </c>
      <c r="O66" s="40">
        <v>1</v>
      </c>
      <c r="P66" s="40" t="s">
        <v>302</v>
      </c>
      <c r="Q66" s="96" t="s">
        <v>278</v>
      </c>
      <c r="R66" s="96"/>
      <c r="S66" s="40">
        <v>5</v>
      </c>
      <c r="T66" s="40">
        <v>15</v>
      </c>
      <c r="V66" s="40">
        <v>16</v>
      </c>
      <c r="W66" s="96">
        <v>15</v>
      </c>
      <c r="X66" s="96"/>
      <c r="Y66" s="96"/>
      <c r="Z66" s="40">
        <v>8</v>
      </c>
      <c r="AA66" s="94" t="b">
        <v>1</v>
      </c>
      <c r="AB66" s="1"/>
      <c r="AC66" s="57" t="s">
        <v>1400</v>
      </c>
      <c r="AD66" s="1"/>
      <c r="AE66" s="57"/>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c r="KJ66" s="1"/>
      <c r="KK66" s="1"/>
      <c r="KL66" s="1"/>
      <c r="KM66" s="1"/>
      <c r="KN66" s="1"/>
      <c r="KO66" s="1"/>
      <c r="KP66" s="1"/>
      <c r="KQ66" s="1"/>
      <c r="KR66" s="1"/>
      <c r="KS66" s="1"/>
      <c r="KT66" s="1"/>
      <c r="KU66" s="1"/>
      <c r="KV66" s="1"/>
      <c r="KW66" s="1"/>
      <c r="KX66" s="1"/>
      <c r="KY66" s="1"/>
      <c r="KZ66" s="1"/>
      <c r="LA66" s="1"/>
      <c r="LB66" s="1"/>
      <c r="LC66" s="1"/>
      <c r="LD66" s="1"/>
      <c r="LE66" s="1"/>
      <c r="LF66" s="1"/>
      <c r="LG66" s="1"/>
      <c r="LH66" s="1"/>
      <c r="LI66" s="1"/>
      <c r="LJ66" s="1"/>
      <c r="LK66" s="1"/>
      <c r="LL66" s="1"/>
      <c r="LM66" s="1"/>
      <c r="LN66" s="1"/>
      <c r="LO66" s="1"/>
      <c r="LP66" s="1"/>
      <c r="LQ66" s="1"/>
      <c r="LR66" s="1"/>
      <c r="LS66" s="1"/>
    </row>
    <row r="67" spans="1:331" s="35" customFormat="1" x14ac:dyDescent="0.25">
      <c r="A67" s="35" t="s">
        <v>303</v>
      </c>
      <c r="B67" s="39" t="s">
        <v>304</v>
      </c>
      <c r="C67" s="94" t="s">
        <v>1647</v>
      </c>
      <c r="D67" s="35">
        <v>1</v>
      </c>
      <c r="E67" s="35" t="s">
        <v>305</v>
      </c>
      <c r="H67" s="35" t="s">
        <v>306</v>
      </c>
      <c r="I67" s="35" t="s">
        <v>305</v>
      </c>
      <c r="J67" s="35" t="s">
        <v>36</v>
      </c>
      <c r="K67" s="35" t="s">
        <v>1663</v>
      </c>
      <c r="L67" s="35">
        <v>0</v>
      </c>
      <c r="O67" s="35">
        <v>1</v>
      </c>
      <c r="P67" s="35" t="s">
        <v>307</v>
      </c>
      <c r="Q67" s="96" t="s">
        <v>302</v>
      </c>
      <c r="R67" s="96"/>
      <c r="T67" s="35">
        <v>21</v>
      </c>
      <c r="V67" s="35">
        <v>20</v>
      </c>
      <c r="W67" s="96">
        <v>21</v>
      </c>
      <c r="X67" s="96"/>
      <c r="Y67" s="96"/>
      <c r="Z67" s="35">
        <v>7</v>
      </c>
      <c r="AA67" s="94" t="b">
        <v>1</v>
      </c>
      <c r="AB67" s="1"/>
      <c r="AC67" s="57" t="s">
        <v>1394</v>
      </c>
      <c r="AD67" s="1"/>
      <c r="AE67" s="57"/>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c r="BS67" s="1"/>
      <c r="BT67" s="1"/>
      <c r="BU67" s="1"/>
      <c r="BV67" s="1"/>
      <c r="BW67" s="1"/>
      <c r="BX67" s="1"/>
      <c r="BY67" s="1"/>
      <c r="BZ67" s="1"/>
      <c r="CA67" s="1"/>
      <c r="CB67" s="1"/>
      <c r="CC67" s="1"/>
      <c r="CD67" s="1"/>
      <c r="CE67" s="1"/>
      <c r="CF67" s="1"/>
      <c r="CG67" s="1"/>
      <c r="CH67" s="1"/>
      <c r="CI67" s="1"/>
      <c r="CJ67" s="1"/>
      <c r="CK67" s="1"/>
      <c r="CL67" s="1"/>
      <c r="CM67" s="1"/>
      <c r="CN67" s="1"/>
      <c r="CO67" s="1"/>
      <c r="CP67" s="1"/>
      <c r="CQ67" s="1"/>
      <c r="CR67" s="1"/>
      <c r="CS67" s="1"/>
      <c r="CT67" s="1"/>
      <c r="CU67" s="1"/>
      <c r="CV67" s="1"/>
      <c r="CW67" s="1"/>
      <c r="CX67" s="1"/>
      <c r="CY67" s="1"/>
      <c r="CZ67" s="1"/>
      <c r="DA67" s="1"/>
      <c r="DB67" s="1"/>
      <c r="DC67" s="1"/>
      <c r="DD67" s="1"/>
      <c r="DE67" s="1"/>
      <c r="DF67" s="1"/>
      <c r="DG67" s="1"/>
      <c r="DH67" s="1"/>
      <c r="DI67" s="1"/>
      <c r="DJ67" s="1"/>
      <c r="DK67" s="1"/>
      <c r="DL67" s="1"/>
      <c r="DM67" s="1"/>
      <c r="DN67" s="1"/>
      <c r="DO67" s="1"/>
      <c r="DP67" s="1"/>
      <c r="DQ67" s="1"/>
      <c r="DR67" s="1"/>
      <c r="DS67" s="1"/>
      <c r="DT67" s="1"/>
      <c r="DU67" s="1"/>
      <c r="DV67" s="1"/>
      <c r="DW67" s="1"/>
      <c r="DX67" s="1"/>
      <c r="DY67" s="1"/>
      <c r="DZ67" s="1"/>
      <c r="EA67" s="1"/>
      <c r="EB67" s="1"/>
      <c r="EC67" s="1"/>
      <c r="ED67" s="1"/>
      <c r="EE67" s="1"/>
      <c r="EF67" s="1"/>
      <c r="EG67" s="1"/>
      <c r="EH67" s="1"/>
      <c r="EI67" s="1"/>
      <c r="EJ67" s="1"/>
      <c r="EK67" s="1"/>
      <c r="EL67" s="1"/>
      <c r="EM67" s="1"/>
      <c r="EN67" s="1"/>
      <c r="EO67" s="1"/>
      <c r="EP67" s="1"/>
      <c r="EQ67" s="1"/>
      <c r="ER67" s="1"/>
      <c r="ES67" s="1"/>
      <c r="ET67" s="1"/>
      <c r="EU67" s="1"/>
      <c r="EV67" s="1"/>
      <c r="EW67" s="1"/>
      <c r="EX67" s="1"/>
      <c r="EY67" s="1"/>
      <c r="EZ67" s="1"/>
      <c r="FA67" s="1"/>
      <c r="FB67" s="1"/>
      <c r="FC67" s="1"/>
      <c r="FD67" s="1"/>
      <c r="FE67" s="1"/>
      <c r="FF67" s="1"/>
      <c r="FG67" s="1"/>
      <c r="FH67" s="1"/>
      <c r="FI67" s="1"/>
      <c r="FJ67" s="1"/>
      <c r="FK67" s="1"/>
      <c r="FL67" s="1"/>
      <c r="FM67" s="1"/>
      <c r="FN67" s="1"/>
      <c r="FO67" s="1"/>
      <c r="FP67" s="1"/>
      <c r="FQ67" s="1"/>
      <c r="FR67" s="1"/>
      <c r="FS67" s="1"/>
      <c r="FT67" s="1"/>
      <c r="FU67" s="1"/>
      <c r="FV67" s="1"/>
      <c r="FW67" s="1"/>
      <c r="FX67" s="1"/>
      <c r="FY67" s="1"/>
      <c r="FZ67" s="1"/>
      <c r="GA67" s="1"/>
      <c r="GB67" s="1"/>
      <c r="GC67" s="1"/>
      <c r="GD67" s="1"/>
      <c r="GE67" s="1"/>
      <c r="GF67" s="1"/>
      <c r="GG67" s="1"/>
      <c r="GH67" s="1"/>
      <c r="GI67" s="1"/>
      <c r="GJ67" s="1"/>
      <c r="GK67" s="1"/>
      <c r="GL67" s="1"/>
      <c r="GM67" s="1"/>
      <c r="GN67" s="1"/>
      <c r="GO67" s="1"/>
      <c r="GP67" s="1"/>
      <c r="GQ67" s="1"/>
      <c r="GR67" s="1"/>
      <c r="GS67" s="1"/>
      <c r="GT67" s="1"/>
      <c r="GU67" s="1"/>
      <c r="GV67" s="1"/>
      <c r="GW67" s="1"/>
      <c r="GX67" s="1"/>
      <c r="GY67" s="1"/>
      <c r="GZ67" s="1"/>
      <c r="HA67" s="1"/>
      <c r="HB67" s="1"/>
      <c r="HC67" s="1"/>
      <c r="HD67" s="1"/>
      <c r="HE67" s="1"/>
      <c r="HF67" s="1"/>
      <c r="HG67" s="1"/>
      <c r="HH67" s="1"/>
      <c r="HI67" s="1"/>
      <c r="HJ67" s="1"/>
      <c r="HK67" s="1"/>
      <c r="HL67" s="1"/>
      <c r="HM67" s="1"/>
      <c r="HN67" s="1"/>
      <c r="HO67" s="1"/>
      <c r="HP67" s="1"/>
      <c r="HQ67" s="1"/>
      <c r="HR67" s="1"/>
      <c r="HS67" s="1"/>
      <c r="HT67" s="1"/>
      <c r="HU67" s="1"/>
      <c r="HV67" s="1"/>
      <c r="HW67" s="1"/>
      <c r="HX67" s="1"/>
      <c r="HY67" s="1"/>
      <c r="HZ67" s="1"/>
      <c r="IA67" s="1"/>
      <c r="IB67" s="1"/>
      <c r="IC67" s="1"/>
      <c r="ID67" s="1"/>
      <c r="IE67" s="1"/>
      <c r="IF67" s="1"/>
      <c r="IG67" s="1"/>
      <c r="IH67" s="1"/>
      <c r="II67" s="1"/>
      <c r="IJ67" s="1"/>
      <c r="IK67" s="1"/>
      <c r="IL67" s="1"/>
      <c r="IM67" s="1"/>
      <c r="IN67" s="1"/>
      <c r="IO67" s="1"/>
      <c r="IP67" s="1"/>
      <c r="IQ67" s="1"/>
      <c r="IR67" s="1"/>
      <c r="IS67" s="1"/>
      <c r="IT67" s="1"/>
      <c r="IU67" s="1"/>
      <c r="IV67" s="1"/>
      <c r="IW67" s="1"/>
      <c r="IX67" s="1"/>
      <c r="IY67" s="1"/>
      <c r="IZ67" s="1"/>
      <c r="JA67" s="1"/>
      <c r="JB67" s="1"/>
      <c r="JC67" s="1"/>
      <c r="JD67" s="1"/>
      <c r="JE67" s="1"/>
      <c r="JF67" s="1"/>
      <c r="JG67" s="1"/>
      <c r="JH67" s="1"/>
      <c r="JI67" s="1"/>
      <c r="JJ67" s="1"/>
      <c r="JK67" s="1"/>
      <c r="JL67" s="1"/>
      <c r="JM67" s="1"/>
      <c r="JN67" s="1"/>
      <c r="JO67" s="1"/>
      <c r="JP67" s="1"/>
      <c r="JQ67" s="1"/>
      <c r="JR67" s="1"/>
      <c r="JS67" s="1"/>
      <c r="JT67" s="1"/>
      <c r="JU67" s="1"/>
      <c r="JV67" s="1"/>
      <c r="JW67" s="1"/>
      <c r="JX67" s="1"/>
      <c r="JY67" s="1"/>
      <c r="JZ67" s="1"/>
      <c r="KA67" s="1"/>
      <c r="KB67" s="1"/>
      <c r="KC67" s="1"/>
      <c r="KD67" s="1"/>
      <c r="KE67" s="1"/>
      <c r="KF67" s="1"/>
      <c r="KG67" s="1"/>
      <c r="KH67" s="1"/>
      <c r="KI67" s="1"/>
      <c r="KJ67" s="1"/>
      <c r="KK67" s="1"/>
      <c r="KL67" s="1"/>
      <c r="KM67" s="1"/>
      <c r="KN67" s="1"/>
      <c r="KO67" s="1"/>
      <c r="KP67" s="1"/>
      <c r="KQ67" s="1"/>
      <c r="KR67" s="1"/>
      <c r="KS67" s="1"/>
      <c r="KT67" s="1"/>
      <c r="KU67" s="1"/>
      <c r="KV67" s="1"/>
      <c r="KW67" s="1"/>
      <c r="KX67" s="1"/>
      <c r="KY67" s="1"/>
      <c r="KZ67" s="1"/>
      <c r="LA67" s="1"/>
      <c r="LB67" s="1"/>
      <c r="LC67" s="1"/>
      <c r="LD67" s="1"/>
      <c r="LE67" s="1"/>
      <c r="LF67" s="1"/>
      <c r="LG67" s="1"/>
      <c r="LH67" s="1"/>
      <c r="LI67" s="1"/>
      <c r="LJ67" s="1"/>
      <c r="LK67" s="1"/>
      <c r="LL67" s="1"/>
      <c r="LM67" s="1"/>
      <c r="LN67" s="1"/>
      <c r="LO67" s="1"/>
      <c r="LP67" s="1"/>
      <c r="LQ67" s="1"/>
      <c r="LR67" s="1"/>
      <c r="LS67" s="1"/>
    </row>
    <row r="68" spans="1:331" s="72" customFormat="1" x14ac:dyDescent="0.25">
      <c r="A68" s="72" t="s">
        <v>308</v>
      </c>
      <c r="B68" s="75" t="s">
        <v>309</v>
      </c>
      <c r="C68" s="94" t="s">
        <v>1647</v>
      </c>
      <c r="D68" s="72">
        <v>0</v>
      </c>
      <c r="H68" s="72" t="s">
        <v>193</v>
      </c>
      <c r="I68" s="72" t="s">
        <v>310</v>
      </c>
      <c r="J68" s="72" t="s">
        <v>194</v>
      </c>
      <c r="K68" s="72" t="s">
        <v>310</v>
      </c>
      <c r="L68" s="72">
        <v>0</v>
      </c>
      <c r="O68" s="72">
        <v>1</v>
      </c>
      <c r="P68" s="72" t="s">
        <v>311</v>
      </c>
      <c r="Q68" s="96"/>
      <c r="R68" s="96" t="s">
        <v>1790</v>
      </c>
      <c r="T68" s="72">
        <v>9.4</v>
      </c>
      <c r="V68" s="72">
        <v>12</v>
      </c>
      <c r="W68" s="96">
        <v>9.4</v>
      </c>
      <c r="X68" s="96"/>
      <c r="Y68" s="96"/>
      <c r="Z68" s="72">
        <v>14</v>
      </c>
      <c r="AA68" s="94" t="b">
        <v>1</v>
      </c>
      <c r="AB68" s="1"/>
      <c r="AC68" s="57" t="s">
        <v>1401</v>
      </c>
      <c r="AD68" s="1"/>
      <c r="AE68" s="57"/>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c r="BS68" s="1"/>
      <c r="BT68" s="1"/>
      <c r="BU68" s="1"/>
      <c r="BV68" s="1"/>
    </row>
    <row r="69" spans="1:331" s="40" customFormat="1" x14ac:dyDescent="0.25">
      <c r="A69" s="40" t="s">
        <v>312</v>
      </c>
      <c r="B69" s="44" t="s">
        <v>313</v>
      </c>
      <c r="C69" s="94" t="s">
        <v>1647</v>
      </c>
      <c r="D69" s="40">
        <v>0</v>
      </c>
      <c r="H69" s="40" t="s">
        <v>129</v>
      </c>
      <c r="I69" s="40" t="s">
        <v>314</v>
      </c>
      <c r="J69" s="40" t="s">
        <v>315</v>
      </c>
      <c r="K69" s="40" t="s">
        <v>384</v>
      </c>
      <c r="L69" s="40">
        <v>0</v>
      </c>
      <c r="O69" s="40">
        <v>1</v>
      </c>
      <c r="P69" s="40" t="s">
        <v>316</v>
      </c>
      <c r="Q69" s="96" t="s">
        <v>1515</v>
      </c>
      <c r="R69" s="96"/>
      <c r="S69" s="40">
        <v>10</v>
      </c>
      <c r="U69" s="40">
        <v>11</v>
      </c>
      <c r="W69" s="96">
        <v>10</v>
      </c>
      <c r="X69" s="96"/>
      <c r="Y69" s="96"/>
      <c r="Z69" s="40">
        <v>8</v>
      </c>
      <c r="AA69" s="94" t="b">
        <v>1</v>
      </c>
      <c r="AB69" s="1"/>
      <c r="AC69" s="57" t="s">
        <v>1402</v>
      </c>
      <c r="AD69" s="1"/>
      <c r="AE69" s="57"/>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c r="BS69" s="1"/>
      <c r="BT69" s="1"/>
      <c r="BU69" s="1"/>
      <c r="BV69" s="1"/>
      <c r="BW69" s="1"/>
      <c r="BX69" s="1"/>
      <c r="BY69" s="1"/>
      <c r="BZ69" s="1"/>
      <c r="CA69" s="1"/>
      <c r="CB69" s="1"/>
      <c r="CC69" s="1"/>
      <c r="CD69" s="1"/>
      <c r="CE69" s="1"/>
      <c r="CF69" s="1"/>
      <c r="CG69" s="1"/>
      <c r="CH69" s="1"/>
      <c r="CI69" s="1"/>
      <c r="CJ69" s="1"/>
      <c r="CK69" s="1"/>
      <c r="CL69" s="1"/>
      <c r="CM69" s="1"/>
      <c r="CN69" s="1"/>
      <c r="CO69" s="1"/>
      <c r="CP69" s="1"/>
      <c r="CQ69" s="1"/>
      <c r="CR69" s="1"/>
      <c r="CS69" s="1"/>
      <c r="CT69" s="1"/>
      <c r="CU69" s="1"/>
      <c r="CV69" s="1"/>
      <c r="CW69" s="1"/>
      <c r="CX69" s="1"/>
      <c r="CY69" s="1"/>
      <c r="CZ69" s="1"/>
      <c r="DA69" s="1"/>
      <c r="DB69" s="1"/>
      <c r="DC69" s="1"/>
      <c r="DD69" s="1"/>
      <c r="DE69" s="1"/>
      <c r="DF69" s="1"/>
      <c r="DG69" s="1"/>
      <c r="DH69" s="1"/>
      <c r="DI69" s="1"/>
      <c r="DJ69" s="1"/>
      <c r="DK69" s="1"/>
      <c r="DL69" s="1"/>
      <c r="DM69" s="1"/>
      <c r="DN69" s="1"/>
      <c r="DO69" s="1"/>
      <c r="DP69" s="1"/>
      <c r="DQ69" s="1"/>
      <c r="DR69" s="1"/>
      <c r="DS69" s="1"/>
      <c r="DT69" s="1"/>
      <c r="DU69" s="1"/>
      <c r="DV69" s="1"/>
      <c r="DW69" s="1"/>
      <c r="DX69" s="1"/>
      <c r="DY69" s="1"/>
      <c r="DZ69" s="1"/>
      <c r="EA69" s="1"/>
      <c r="EB69" s="1"/>
      <c r="EC69" s="1"/>
      <c r="ED69" s="1"/>
      <c r="EE69" s="1"/>
      <c r="EF69" s="1"/>
      <c r="EG69" s="1"/>
      <c r="EH69" s="1"/>
      <c r="EI69" s="1"/>
      <c r="EJ69" s="1"/>
      <c r="EK69" s="1"/>
      <c r="EL69" s="1"/>
      <c r="EM69" s="1"/>
      <c r="EN69" s="1"/>
      <c r="EO69" s="1"/>
      <c r="EP69" s="1"/>
      <c r="EQ69" s="1"/>
      <c r="ER69" s="1"/>
      <c r="ES69" s="1"/>
      <c r="ET69" s="1"/>
      <c r="EU69" s="1"/>
      <c r="EV69" s="1"/>
      <c r="EW69" s="1"/>
      <c r="EX69" s="1"/>
      <c r="EY69" s="1"/>
      <c r="EZ69" s="1"/>
      <c r="FA69" s="1"/>
      <c r="FB69" s="1"/>
      <c r="FC69" s="1"/>
      <c r="FD69" s="1"/>
      <c r="FE69" s="1"/>
      <c r="FF69" s="1"/>
      <c r="FG69" s="1"/>
      <c r="FH69" s="1"/>
      <c r="FI69" s="1"/>
      <c r="FJ69" s="1"/>
      <c r="FK69" s="1"/>
      <c r="FL69" s="1"/>
      <c r="FM69" s="1"/>
      <c r="FN69" s="1"/>
      <c r="FO69" s="1"/>
      <c r="FP69" s="1"/>
      <c r="FQ69" s="1"/>
      <c r="FR69" s="1"/>
      <c r="FS69" s="1"/>
      <c r="FT69" s="1"/>
      <c r="FU69" s="1"/>
      <c r="FV69" s="1"/>
      <c r="FW69" s="1"/>
      <c r="FX69" s="1"/>
      <c r="FY69" s="1"/>
      <c r="FZ69" s="1"/>
      <c r="GA69" s="1"/>
      <c r="GB69" s="1"/>
      <c r="GC69" s="1"/>
      <c r="GD69" s="1"/>
      <c r="GE69" s="1"/>
      <c r="GF69" s="1"/>
      <c r="GG69" s="1"/>
      <c r="GH69" s="1"/>
      <c r="GI69" s="1"/>
      <c r="GJ69" s="1"/>
      <c r="GK69" s="1"/>
      <c r="GL69" s="1"/>
      <c r="GM69" s="1"/>
      <c r="GN69" s="1"/>
      <c r="GO69" s="1"/>
      <c r="GP69" s="1"/>
      <c r="GQ69" s="1"/>
      <c r="GR69" s="1"/>
      <c r="GS69" s="1"/>
      <c r="GT69" s="1"/>
      <c r="GU69" s="1"/>
      <c r="GV69" s="1"/>
      <c r="GW69" s="1"/>
      <c r="GX69" s="1"/>
      <c r="GY69" s="1"/>
      <c r="GZ69" s="1"/>
      <c r="HA69" s="1"/>
      <c r="HB69" s="1"/>
      <c r="HC69" s="1"/>
      <c r="HD69" s="1"/>
      <c r="HE69" s="1"/>
      <c r="HF69" s="1"/>
      <c r="HG69" s="1"/>
      <c r="HH69" s="1"/>
      <c r="HI69" s="1"/>
      <c r="HJ69" s="1"/>
      <c r="HK69" s="1"/>
      <c r="HL69" s="1"/>
      <c r="HM69" s="1"/>
      <c r="HN69" s="1"/>
      <c r="HO69" s="1"/>
      <c r="HP69" s="1"/>
      <c r="HQ69" s="1"/>
      <c r="HR69" s="1"/>
      <c r="HS69" s="1"/>
      <c r="HT69" s="1"/>
      <c r="HU69" s="1"/>
      <c r="HV69" s="1"/>
      <c r="HW69" s="1"/>
      <c r="HX69" s="1"/>
      <c r="HY69" s="1"/>
      <c r="HZ69" s="1"/>
      <c r="IA69" s="1"/>
      <c r="IB69" s="1"/>
      <c r="IC69" s="1"/>
      <c r="ID69" s="1"/>
      <c r="IE69" s="1"/>
      <c r="IF69" s="1"/>
      <c r="IG69" s="1"/>
      <c r="IH69" s="1"/>
      <c r="II69" s="1"/>
      <c r="IJ69" s="1"/>
      <c r="IK69" s="1"/>
      <c r="IL69" s="1"/>
      <c r="IM69" s="1"/>
      <c r="IN69" s="1"/>
      <c r="IO69" s="1"/>
      <c r="IP69" s="1"/>
      <c r="IQ69" s="1"/>
      <c r="IR69" s="1"/>
      <c r="IS69" s="1"/>
      <c r="IT69" s="1"/>
      <c r="IU69" s="1"/>
      <c r="IV69" s="1"/>
      <c r="IW69" s="1"/>
      <c r="IX69" s="1"/>
      <c r="IY69" s="1"/>
      <c r="IZ69" s="1"/>
      <c r="JA69" s="1"/>
      <c r="JB69" s="1"/>
      <c r="JC69" s="1"/>
      <c r="JD69" s="1"/>
      <c r="JE69" s="1"/>
      <c r="JF69" s="1"/>
      <c r="JG69" s="1"/>
      <c r="JH69" s="1"/>
      <c r="JI69" s="1"/>
      <c r="JJ69" s="1"/>
      <c r="JK69" s="1"/>
      <c r="JL69" s="1"/>
      <c r="JM69" s="1"/>
      <c r="JN69" s="1"/>
      <c r="JO69" s="1"/>
      <c r="JP69" s="1"/>
      <c r="JQ69" s="1"/>
      <c r="JR69" s="1"/>
      <c r="JS69" s="1"/>
      <c r="JT69" s="1"/>
      <c r="JU69" s="1"/>
      <c r="JV69" s="1"/>
      <c r="JW69" s="1"/>
      <c r="JX69" s="1"/>
      <c r="JY69" s="1"/>
      <c r="JZ69" s="1"/>
      <c r="KA69" s="1"/>
      <c r="KB69" s="1"/>
      <c r="KC69" s="1"/>
      <c r="KD69" s="1"/>
      <c r="KE69" s="1"/>
      <c r="KF69" s="1"/>
      <c r="KG69" s="1"/>
      <c r="KH69" s="1"/>
      <c r="KI69" s="1"/>
      <c r="KJ69" s="1"/>
      <c r="KK69" s="1"/>
      <c r="KL69" s="1"/>
      <c r="KM69" s="1"/>
      <c r="KN69" s="1"/>
      <c r="KO69" s="1"/>
      <c r="KP69" s="1"/>
      <c r="KQ69" s="1"/>
      <c r="KR69" s="1"/>
      <c r="KS69" s="1"/>
      <c r="KT69" s="1"/>
      <c r="KU69" s="1"/>
      <c r="KV69" s="1"/>
      <c r="KW69" s="1"/>
      <c r="KX69" s="1"/>
      <c r="KY69" s="1"/>
      <c r="KZ69" s="1"/>
      <c r="LA69" s="1"/>
      <c r="LB69" s="1"/>
      <c r="LC69" s="1"/>
      <c r="LD69" s="1"/>
      <c r="LE69" s="1"/>
      <c r="LF69" s="1"/>
      <c r="LG69" s="1"/>
      <c r="LH69" s="1"/>
      <c r="LI69" s="1"/>
      <c r="LJ69" s="1"/>
      <c r="LK69" s="1"/>
      <c r="LL69" s="1"/>
      <c r="LM69" s="1"/>
      <c r="LN69" s="1"/>
      <c r="LO69" s="1"/>
      <c r="LP69" s="1"/>
      <c r="LQ69" s="1"/>
      <c r="LR69" s="1"/>
      <c r="LS69" s="1"/>
    </row>
    <row r="70" spans="1:331" s="25" customFormat="1" x14ac:dyDescent="0.25">
      <c r="A70" s="25" t="s">
        <v>317</v>
      </c>
      <c r="B70" s="29" t="s">
        <v>318</v>
      </c>
      <c r="C70" s="94" t="s">
        <v>1647</v>
      </c>
      <c r="D70" s="25">
        <v>0</v>
      </c>
      <c r="H70" s="25" t="s">
        <v>319</v>
      </c>
      <c r="I70" s="25" t="s">
        <v>320</v>
      </c>
      <c r="J70" s="25" t="s">
        <v>321</v>
      </c>
      <c r="K70" s="25" t="s">
        <v>496</v>
      </c>
      <c r="L70" s="25">
        <v>0</v>
      </c>
      <c r="O70" s="25">
        <v>1</v>
      </c>
      <c r="Q70" s="96" t="s">
        <v>1516</v>
      </c>
      <c r="R70" s="96"/>
      <c r="T70" s="25">
        <v>6</v>
      </c>
      <c r="V70" s="25">
        <v>8</v>
      </c>
      <c r="W70" s="96">
        <v>6</v>
      </c>
      <c r="X70" s="96"/>
      <c r="Y70" s="96"/>
      <c r="Z70" s="25">
        <v>5</v>
      </c>
      <c r="AA70" s="94" t="b">
        <v>1</v>
      </c>
      <c r="AB70" s="1"/>
      <c r="AC70" s="57" t="s">
        <v>1282</v>
      </c>
      <c r="AD70" s="1"/>
      <c r="AE70" s="57"/>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c r="BS70" s="1"/>
      <c r="BT70" s="1"/>
      <c r="BU70" s="1"/>
      <c r="BV70" s="1"/>
      <c r="BW70" s="1"/>
      <c r="BX70" s="1"/>
      <c r="BY70" s="1"/>
      <c r="BZ70" s="1"/>
      <c r="CA70" s="1"/>
      <c r="CB70" s="1"/>
      <c r="CC70" s="1"/>
      <c r="CD70" s="1"/>
      <c r="CE70" s="1"/>
      <c r="CF70" s="1"/>
      <c r="CG70" s="1"/>
      <c r="CH70" s="1"/>
      <c r="CI70" s="1"/>
      <c r="CJ70" s="1"/>
      <c r="CK70" s="1"/>
      <c r="CL70" s="1"/>
      <c r="CM70" s="1"/>
      <c r="CN70" s="1"/>
      <c r="CO70" s="1"/>
      <c r="CP70" s="1"/>
      <c r="CQ70" s="1"/>
      <c r="CR70" s="1"/>
      <c r="CS70" s="1"/>
      <c r="CT70" s="1"/>
      <c r="CU70" s="1"/>
      <c r="CV70" s="1"/>
      <c r="CW70" s="1"/>
      <c r="CX70" s="1"/>
      <c r="CY70" s="1"/>
      <c r="CZ70" s="1"/>
      <c r="DA70" s="1"/>
      <c r="DB70" s="1"/>
      <c r="DC70" s="1"/>
      <c r="DD70" s="1"/>
      <c r="DE70" s="1"/>
      <c r="DF70" s="1"/>
      <c r="DG70" s="1"/>
      <c r="DH70" s="1"/>
      <c r="DI70" s="1"/>
      <c r="DJ70" s="1"/>
      <c r="DK70" s="1"/>
      <c r="DL70" s="1"/>
      <c r="DM70" s="1"/>
      <c r="DN70" s="1"/>
      <c r="DO70" s="1"/>
      <c r="DP70" s="1"/>
      <c r="DQ70" s="1"/>
      <c r="DR70" s="1"/>
      <c r="DS70" s="1"/>
      <c r="DT70" s="1"/>
      <c r="DU70" s="1"/>
      <c r="DV70" s="1"/>
      <c r="DW70" s="1"/>
      <c r="DX70" s="1"/>
      <c r="DY70" s="1"/>
      <c r="DZ70" s="1"/>
      <c r="EA70" s="1"/>
      <c r="EB70" s="1"/>
      <c r="EC70" s="1"/>
      <c r="ED70" s="1"/>
      <c r="EE70" s="1"/>
      <c r="EF70" s="1"/>
      <c r="EG70" s="1"/>
      <c r="EH70" s="1"/>
      <c r="EI70" s="1"/>
      <c r="EJ70" s="1"/>
      <c r="EK70" s="1"/>
      <c r="EL70" s="1"/>
      <c r="EM70" s="1"/>
      <c r="EN70" s="1"/>
      <c r="EO70" s="1"/>
      <c r="EP70" s="1"/>
      <c r="EQ70" s="1"/>
      <c r="ER70" s="1"/>
      <c r="ES70" s="1"/>
      <c r="ET70" s="1"/>
      <c r="EU70" s="1"/>
      <c r="EV70" s="1"/>
      <c r="EW70" s="1"/>
      <c r="EX70" s="1"/>
      <c r="EY70" s="1"/>
      <c r="EZ70" s="1"/>
      <c r="FA70" s="1"/>
      <c r="FB70" s="1"/>
      <c r="FC70" s="1"/>
      <c r="FD70" s="1"/>
      <c r="FE70" s="1"/>
      <c r="FF70" s="1"/>
      <c r="FG70" s="1"/>
      <c r="FH70" s="1"/>
      <c r="FI70" s="1"/>
      <c r="FJ70" s="1"/>
      <c r="FK70" s="1"/>
      <c r="FL70" s="1"/>
      <c r="FM70" s="1"/>
      <c r="FN70" s="1"/>
      <c r="FO70" s="1"/>
      <c r="FP70" s="1"/>
      <c r="FQ70" s="1"/>
      <c r="FR70" s="1"/>
      <c r="FS70" s="1"/>
      <c r="FT70" s="1"/>
      <c r="FU70" s="1"/>
      <c r="FV70" s="1"/>
      <c r="FW70" s="1"/>
      <c r="FX70" s="1"/>
      <c r="FY70" s="1"/>
      <c r="FZ70" s="1"/>
      <c r="GA70" s="1"/>
      <c r="GB70" s="1"/>
      <c r="GC70" s="1"/>
      <c r="GD70" s="1"/>
      <c r="GE70" s="1"/>
      <c r="GF70" s="1"/>
      <c r="GG70" s="1"/>
      <c r="GH70" s="1"/>
      <c r="GI70" s="1"/>
      <c r="GJ70" s="1"/>
      <c r="GK70" s="1"/>
      <c r="GL70" s="1"/>
      <c r="GM70" s="1"/>
      <c r="GN70" s="1"/>
      <c r="GO70" s="1"/>
      <c r="GP70" s="1"/>
      <c r="GQ70" s="1"/>
      <c r="GR70" s="1"/>
      <c r="GS70" s="1"/>
      <c r="GT70" s="1"/>
      <c r="GU70" s="1"/>
      <c r="GV70" s="1"/>
      <c r="GW70" s="1"/>
      <c r="GX70" s="1"/>
      <c r="GY70" s="1"/>
      <c r="GZ70" s="1"/>
      <c r="HA70" s="1"/>
      <c r="HB70" s="1"/>
      <c r="HC70" s="1"/>
      <c r="HD70" s="1"/>
      <c r="HE70" s="1"/>
      <c r="HF70" s="1"/>
      <c r="HG70" s="1"/>
      <c r="HH70" s="1"/>
      <c r="HI70" s="1"/>
      <c r="HJ70" s="1"/>
      <c r="HK70" s="1"/>
      <c r="HL70" s="1"/>
      <c r="HM70" s="1"/>
      <c r="HN70" s="1"/>
      <c r="HO70" s="1"/>
      <c r="HP70" s="1"/>
      <c r="HQ70" s="1"/>
      <c r="HR70" s="1"/>
      <c r="HS70" s="1"/>
      <c r="HT70" s="1"/>
      <c r="HU70" s="1"/>
      <c r="HV70" s="1"/>
      <c r="HW70" s="1"/>
      <c r="HX70" s="1"/>
      <c r="HY70" s="1"/>
      <c r="HZ70" s="1"/>
      <c r="IA70" s="1"/>
      <c r="IB70" s="1"/>
      <c r="IC70" s="1"/>
      <c r="ID70" s="1"/>
      <c r="IE70" s="1"/>
      <c r="IF70" s="1"/>
      <c r="IG70" s="1"/>
      <c r="IH70" s="1"/>
      <c r="II70" s="1"/>
      <c r="IJ70" s="1"/>
      <c r="IK70" s="1"/>
      <c r="IL70" s="1"/>
      <c r="IM70" s="1"/>
      <c r="IN70" s="1"/>
      <c r="IO70" s="1"/>
      <c r="IP70" s="1"/>
      <c r="IQ70" s="1"/>
      <c r="IR70" s="1"/>
      <c r="IS70" s="1"/>
      <c r="IT70" s="1"/>
      <c r="IU70" s="1"/>
      <c r="IV70" s="1"/>
      <c r="IW70" s="1"/>
      <c r="IX70" s="1"/>
      <c r="IY70" s="1"/>
      <c r="IZ70" s="1"/>
      <c r="JA70" s="1"/>
      <c r="JB70" s="1"/>
      <c r="JC70" s="1"/>
      <c r="JD70" s="1"/>
      <c r="JE70" s="1"/>
      <c r="JF70" s="1"/>
      <c r="JG70" s="1"/>
      <c r="JH70" s="1"/>
      <c r="JI70" s="1"/>
      <c r="JJ70" s="1"/>
      <c r="JK70" s="1"/>
      <c r="JL70" s="1"/>
      <c r="JM70" s="1"/>
      <c r="JN70" s="1"/>
      <c r="JO70" s="1"/>
      <c r="JP70" s="1"/>
      <c r="JQ70" s="1"/>
      <c r="JR70" s="1"/>
      <c r="JS70" s="1"/>
      <c r="JT70" s="1"/>
      <c r="JU70" s="1"/>
      <c r="JV70" s="1"/>
      <c r="JW70" s="1"/>
      <c r="JX70" s="1"/>
      <c r="JY70" s="1"/>
      <c r="JZ70" s="1"/>
      <c r="KA70" s="1"/>
      <c r="KB70" s="1"/>
      <c r="KC70" s="1"/>
      <c r="KD70" s="1"/>
      <c r="KE70" s="1"/>
      <c r="KF70" s="1"/>
      <c r="KG70" s="1"/>
      <c r="KH70" s="1"/>
      <c r="KI70" s="1"/>
      <c r="KJ70" s="1"/>
      <c r="KK70" s="1"/>
      <c r="KL70" s="1"/>
      <c r="KM70" s="1"/>
      <c r="KN70" s="1"/>
      <c r="KO70" s="1"/>
      <c r="KP70" s="1"/>
      <c r="KQ70" s="1"/>
      <c r="KR70" s="1"/>
      <c r="KS70" s="1"/>
      <c r="KT70" s="1"/>
      <c r="KU70" s="1"/>
      <c r="KV70" s="1"/>
      <c r="KW70" s="1"/>
      <c r="KX70" s="1"/>
      <c r="KY70" s="1"/>
      <c r="KZ70" s="1"/>
      <c r="LA70" s="1"/>
      <c r="LB70" s="1"/>
      <c r="LC70" s="1"/>
      <c r="LD70" s="1"/>
      <c r="LE70" s="1"/>
      <c r="LF70" s="1"/>
      <c r="LG70" s="1"/>
      <c r="LH70" s="1"/>
      <c r="LI70" s="1"/>
      <c r="LJ70" s="1"/>
      <c r="LK70" s="1"/>
      <c r="LL70" s="1"/>
      <c r="LM70" s="1"/>
      <c r="LN70" s="1"/>
      <c r="LO70" s="1"/>
      <c r="LP70" s="1"/>
      <c r="LQ70" s="1"/>
      <c r="LR70" s="1"/>
      <c r="LS70" s="1"/>
    </row>
    <row r="71" spans="1:331" s="25" customFormat="1" x14ac:dyDescent="0.25">
      <c r="A71" s="25" t="s">
        <v>322</v>
      </c>
      <c r="B71" s="29" t="s">
        <v>323</v>
      </c>
      <c r="C71" s="94" t="s">
        <v>1647</v>
      </c>
      <c r="D71" s="25">
        <v>0</v>
      </c>
      <c r="H71" s="25" t="s">
        <v>324</v>
      </c>
      <c r="I71" s="25" t="s">
        <v>325</v>
      </c>
      <c r="J71" s="25" t="s">
        <v>324</v>
      </c>
      <c r="K71" s="25" t="s">
        <v>1664</v>
      </c>
      <c r="L71" s="25">
        <v>0</v>
      </c>
      <c r="O71" s="25">
        <v>0</v>
      </c>
      <c r="Q71" s="96" t="s">
        <v>522</v>
      </c>
      <c r="R71" s="96"/>
      <c r="S71" s="25">
        <v>8.4</v>
      </c>
      <c r="V71" s="25">
        <v>9</v>
      </c>
      <c r="W71" s="96">
        <v>8</v>
      </c>
      <c r="X71" s="96"/>
      <c r="Y71" s="96"/>
      <c r="Z71" s="25">
        <v>5</v>
      </c>
      <c r="AA71" s="94" t="b">
        <v>1</v>
      </c>
      <c r="AB71" s="1"/>
      <c r="AC71" s="57" t="s">
        <v>1318</v>
      </c>
      <c r="AD71" s="1"/>
      <c r="AE71" s="57"/>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c r="BS71" s="1"/>
      <c r="BT71" s="1"/>
      <c r="BU71" s="1"/>
      <c r="BV71" s="1"/>
      <c r="BW71" s="1"/>
      <c r="BX71" s="1"/>
      <c r="BY71" s="1"/>
      <c r="BZ71" s="1"/>
      <c r="CA71" s="1"/>
      <c r="CB71" s="1"/>
      <c r="CC71" s="1"/>
      <c r="CD71" s="1"/>
      <c r="CE71" s="1"/>
      <c r="CF71" s="1"/>
      <c r="CG71" s="1"/>
      <c r="CH71" s="1"/>
      <c r="CI71" s="1"/>
      <c r="CJ71" s="1"/>
      <c r="CK71" s="1"/>
      <c r="CL71" s="1"/>
      <c r="CM71" s="1"/>
      <c r="CN71" s="1"/>
      <c r="CO71" s="1"/>
      <c r="CP71" s="1"/>
      <c r="CQ71" s="1"/>
      <c r="CR71" s="1"/>
      <c r="CS71" s="1"/>
      <c r="CT71" s="1"/>
      <c r="CU71" s="1"/>
      <c r="CV71" s="1"/>
      <c r="CW71" s="1"/>
      <c r="CX71" s="1"/>
      <c r="CY71" s="1"/>
      <c r="CZ71" s="1"/>
      <c r="DA71" s="1"/>
      <c r="DB71" s="1"/>
      <c r="DC71" s="1"/>
      <c r="DD71" s="1"/>
      <c r="DE71" s="1"/>
      <c r="DF71" s="1"/>
      <c r="DG71" s="1"/>
      <c r="DH71" s="1"/>
      <c r="DI71" s="1"/>
      <c r="DJ71" s="1"/>
      <c r="DK71" s="1"/>
      <c r="DL71" s="1"/>
      <c r="DM71" s="1"/>
      <c r="DN71" s="1"/>
      <c r="DO71" s="1"/>
      <c r="DP71" s="1"/>
      <c r="DQ71" s="1"/>
      <c r="DR71" s="1"/>
      <c r="DS71" s="1"/>
      <c r="DT71" s="1"/>
      <c r="DU71" s="1"/>
      <c r="DV71" s="1"/>
      <c r="DW71" s="1"/>
      <c r="DX71" s="1"/>
      <c r="DY71" s="1"/>
      <c r="DZ71" s="1"/>
      <c r="EA71" s="1"/>
      <c r="EB71" s="1"/>
      <c r="EC71" s="1"/>
      <c r="ED71" s="1"/>
      <c r="EE71" s="1"/>
      <c r="EF71" s="1"/>
      <c r="EG71" s="1"/>
      <c r="EH71" s="1"/>
      <c r="EI71" s="1"/>
      <c r="EJ71" s="1"/>
      <c r="EK71" s="1"/>
      <c r="EL71" s="1"/>
      <c r="EM71" s="1"/>
      <c r="EN71" s="1"/>
      <c r="EO71" s="1"/>
      <c r="EP71" s="1"/>
      <c r="EQ71" s="1"/>
      <c r="ER71" s="1"/>
      <c r="ES71" s="1"/>
      <c r="ET71" s="1"/>
      <c r="EU71" s="1"/>
      <c r="EV71" s="1"/>
      <c r="EW71" s="1"/>
      <c r="EX71" s="1"/>
      <c r="EY71" s="1"/>
      <c r="EZ71" s="1"/>
      <c r="FA71" s="1"/>
      <c r="FB71" s="1"/>
      <c r="FC71" s="1"/>
      <c r="FD71" s="1"/>
      <c r="FE71" s="1"/>
      <c r="FF71" s="1"/>
      <c r="FG71" s="1"/>
      <c r="FH71" s="1"/>
      <c r="FI71" s="1"/>
      <c r="FJ71" s="1"/>
      <c r="FK71" s="1"/>
      <c r="FL71" s="1"/>
      <c r="FM71" s="1"/>
      <c r="FN71" s="1"/>
      <c r="FO71" s="1"/>
      <c r="FP71" s="1"/>
      <c r="FQ71" s="1"/>
      <c r="FR71" s="1"/>
      <c r="FS71" s="1"/>
      <c r="FT71" s="1"/>
      <c r="FU71" s="1"/>
      <c r="FV71" s="1"/>
      <c r="FW71" s="1"/>
      <c r="FX71" s="1"/>
      <c r="FY71" s="1"/>
      <c r="FZ71" s="1"/>
      <c r="GA71" s="1"/>
      <c r="GB71" s="1"/>
      <c r="GC71" s="1"/>
      <c r="GD71" s="1"/>
      <c r="GE71" s="1"/>
      <c r="GF71" s="1"/>
      <c r="GG71" s="1"/>
      <c r="GH71" s="1"/>
      <c r="GI71" s="1"/>
      <c r="GJ71" s="1"/>
      <c r="GK71" s="1"/>
      <c r="GL71" s="1"/>
      <c r="GM71" s="1"/>
      <c r="GN71" s="1"/>
      <c r="GO71" s="1"/>
      <c r="GP71" s="1"/>
      <c r="GQ71" s="1"/>
      <c r="GR71" s="1"/>
      <c r="GS71" s="1"/>
      <c r="GT71" s="1"/>
      <c r="GU71" s="1"/>
      <c r="GV71" s="1"/>
      <c r="GW71" s="1"/>
      <c r="GX71" s="1"/>
      <c r="GY71" s="1"/>
      <c r="GZ71" s="1"/>
      <c r="HA71" s="1"/>
      <c r="HB71" s="1"/>
      <c r="HC71" s="1"/>
      <c r="HD71" s="1"/>
      <c r="HE71" s="1"/>
      <c r="HF71" s="1"/>
      <c r="HG71" s="1"/>
      <c r="HH71" s="1"/>
      <c r="HI71" s="1"/>
      <c r="HJ71" s="1"/>
      <c r="HK71" s="1"/>
      <c r="HL71" s="1"/>
      <c r="HM71" s="1"/>
      <c r="HN71" s="1"/>
      <c r="HO71" s="1"/>
      <c r="HP71" s="1"/>
      <c r="HQ71" s="1"/>
      <c r="HR71" s="1"/>
      <c r="HS71" s="1"/>
      <c r="HT71" s="1"/>
      <c r="HU71" s="1"/>
      <c r="HV71" s="1"/>
      <c r="HW71" s="1"/>
      <c r="HX71" s="1"/>
      <c r="HY71" s="1"/>
      <c r="HZ71" s="1"/>
      <c r="IA71" s="1"/>
      <c r="IB71" s="1"/>
      <c r="IC71" s="1"/>
      <c r="ID71" s="1"/>
      <c r="IE71" s="1"/>
      <c r="IF71" s="1"/>
      <c r="IG71" s="1"/>
      <c r="IH71" s="1"/>
      <c r="II71" s="1"/>
      <c r="IJ71" s="1"/>
      <c r="IK71" s="1"/>
      <c r="IL71" s="1"/>
      <c r="IM71" s="1"/>
      <c r="IN71" s="1"/>
      <c r="IO71" s="1"/>
      <c r="IP71" s="1"/>
      <c r="IQ71" s="1"/>
      <c r="IR71" s="1"/>
      <c r="IS71" s="1"/>
      <c r="IT71" s="1"/>
      <c r="IU71" s="1"/>
      <c r="IV71" s="1"/>
      <c r="IW71" s="1"/>
      <c r="IX71" s="1"/>
      <c r="IY71" s="1"/>
      <c r="IZ71" s="1"/>
      <c r="JA71" s="1"/>
      <c r="JB71" s="1"/>
      <c r="JC71" s="1"/>
      <c r="JD71" s="1"/>
      <c r="JE71" s="1"/>
      <c r="JF71" s="1"/>
      <c r="JG71" s="1"/>
      <c r="JH71" s="1"/>
      <c r="JI71" s="1"/>
      <c r="JJ71" s="1"/>
      <c r="JK71" s="1"/>
      <c r="JL71" s="1"/>
      <c r="JM71" s="1"/>
      <c r="JN71" s="1"/>
      <c r="JO71" s="1"/>
      <c r="JP71" s="1"/>
      <c r="JQ71" s="1"/>
      <c r="JR71" s="1"/>
      <c r="JS71" s="1"/>
      <c r="JT71" s="1"/>
      <c r="JU71" s="1"/>
      <c r="JV71" s="1"/>
      <c r="JW71" s="1"/>
      <c r="JX71" s="1"/>
      <c r="JY71" s="1"/>
      <c r="JZ71" s="1"/>
      <c r="KA71" s="1"/>
      <c r="KB71" s="1"/>
      <c r="KC71" s="1"/>
      <c r="KD71" s="1"/>
      <c r="KE71" s="1"/>
      <c r="KF71" s="1"/>
      <c r="KG71" s="1"/>
      <c r="KH71" s="1"/>
      <c r="KI71" s="1"/>
      <c r="KJ71" s="1"/>
      <c r="KK71" s="1"/>
      <c r="KL71" s="1"/>
      <c r="KM71" s="1"/>
      <c r="KN71" s="1"/>
      <c r="KO71" s="1"/>
      <c r="KP71" s="1"/>
      <c r="KQ71" s="1"/>
      <c r="KR71" s="1"/>
      <c r="KS71" s="1"/>
      <c r="KT71" s="1"/>
      <c r="KU71" s="1"/>
      <c r="KV71" s="1"/>
      <c r="KW71" s="1"/>
      <c r="KX71" s="1"/>
      <c r="KY71" s="1"/>
      <c r="KZ71" s="1"/>
      <c r="LA71" s="1"/>
      <c r="LB71" s="1"/>
      <c r="LC71" s="1"/>
      <c r="LD71" s="1"/>
      <c r="LE71" s="1"/>
      <c r="LF71" s="1"/>
      <c r="LG71" s="1"/>
      <c r="LH71" s="1"/>
      <c r="LI71" s="1"/>
      <c r="LJ71" s="1"/>
      <c r="LK71" s="1"/>
      <c r="LL71" s="1"/>
      <c r="LM71" s="1"/>
      <c r="LN71" s="1"/>
      <c r="LO71" s="1"/>
      <c r="LP71" s="1"/>
      <c r="LQ71" s="1"/>
      <c r="LR71" s="1"/>
      <c r="LS71" s="1"/>
    </row>
    <row r="72" spans="1:331" s="3" customFormat="1" x14ac:dyDescent="0.25">
      <c r="A72" s="3" t="s">
        <v>326</v>
      </c>
      <c r="B72" s="5" t="s">
        <v>327</v>
      </c>
      <c r="C72" s="94" t="s">
        <v>1647</v>
      </c>
      <c r="D72" s="3">
        <v>0</v>
      </c>
      <c r="H72" s="3" t="s">
        <v>328</v>
      </c>
      <c r="I72" s="3" t="s">
        <v>329</v>
      </c>
      <c r="J72" s="3" t="s">
        <v>330</v>
      </c>
      <c r="K72" s="3" t="s">
        <v>328</v>
      </c>
      <c r="L72" s="3">
        <v>1</v>
      </c>
      <c r="M72" s="3" t="s">
        <v>331</v>
      </c>
      <c r="O72" s="3">
        <v>1</v>
      </c>
      <c r="P72" s="3" t="s">
        <v>332</v>
      </c>
      <c r="Q72" s="96" t="s">
        <v>614</v>
      </c>
      <c r="R72" s="96"/>
      <c r="S72" s="3">
        <v>8</v>
      </c>
      <c r="V72" s="3">
        <v>12</v>
      </c>
      <c r="W72" s="96">
        <v>8</v>
      </c>
      <c r="X72" s="96"/>
      <c r="Y72" s="96"/>
      <c r="Z72" s="3">
        <v>1</v>
      </c>
      <c r="AA72" s="94" t="b">
        <v>1</v>
      </c>
      <c r="AB72" s="1" t="s">
        <v>1898</v>
      </c>
      <c r="AC72" s="57" t="s">
        <v>1319</v>
      </c>
      <c r="AD72" s="1"/>
      <c r="AE72" s="57"/>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c r="BS72" s="1"/>
      <c r="BT72" s="1"/>
      <c r="BU72" s="1"/>
      <c r="BV72" s="1"/>
      <c r="BW72" s="1"/>
      <c r="BX72" s="1"/>
      <c r="BY72" s="1"/>
      <c r="BZ72" s="1"/>
      <c r="CA72" s="1"/>
      <c r="CB72" s="1"/>
      <c r="CC72" s="1"/>
      <c r="CD72" s="1"/>
      <c r="CE72" s="1"/>
      <c r="CF72" s="1"/>
      <c r="CG72" s="1"/>
      <c r="CH72" s="1"/>
      <c r="CI72" s="1"/>
      <c r="CJ72" s="1"/>
      <c r="CK72" s="1"/>
      <c r="CL72" s="1"/>
      <c r="CM72" s="1"/>
      <c r="CN72" s="1"/>
      <c r="CO72" s="1"/>
      <c r="CP72" s="1"/>
      <c r="CQ72" s="1"/>
      <c r="CR72" s="1"/>
      <c r="CS72" s="1"/>
      <c r="CT72" s="1"/>
      <c r="CU72" s="1"/>
      <c r="CV72" s="1"/>
      <c r="CW72" s="1"/>
      <c r="CX72" s="1"/>
      <c r="CY72" s="1"/>
      <c r="CZ72" s="1"/>
      <c r="DA72" s="1"/>
      <c r="DB72" s="1"/>
      <c r="DC72" s="1"/>
      <c r="DD72" s="1"/>
      <c r="DE72" s="1"/>
      <c r="DF72" s="1"/>
      <c r="DG72" s="1"/>
      <c r="DH72" s="1"/>
      <c r="DI72" s="1"/>
      <c r="DJ72" s="1"/>
      <c r="DK72" s="1"/>
      <c r="DL72" s="1"/>
      <c r="DM72" s="1"/>
      <c r="DN72" s="1"/>
      <c r="DO72" s="1"/>
      <c r="DP72" s="1"/>
      <c r="DQ72" s="1"/>
      <c r="DR72" s="1"/>
      <c r="DS72" s="1"/>
      <c r="DT72" s="1"/>
      <c r="DU72" s="1"/>
      <c r="DV72" s="1"/>
      <c r="DW72" s="1"/>
      <c r="DX72" s="1"/>
      <c r="DY72" s="1"/>
      <c r="DZ72" s="1"/>
      <c r="EA72" s="1"/>
      <c r="EB72" s="1"/>
      <c r="EC72" s="1"/>
      <c r="ED72" s="1"/>
      <c r="EE72" s="1"/>
      <c r="EF72" s="1"/>
      <c r="EG72" s="1"/>
      <c r="EH72" s="1"/>
      <c r="EI72" s="1"/>
      <c r="EJ72" s="1"/>
      <c r="EK72" s="1"/>
      <c r="EL72" s="1"/>
      <c r="EM72" s="1"/>
      <c r="EN72" s="1"/>
      <c r="EO72" s="1"/>
      <c r="EP72" s="1"/>
      <c r="EQ72" s="1"/>
      <c r="ER72" s="1"/>
      <c r="ES72" s="1"/>
      <c r="ET72" s="1"/>
      <c r="EU72" s="1"/>
      <c r="EV72" s="1"/>
      <c r="EW72" s="1"/>
      <c r="EX72" s="1"/>
      <c r="EY72" s="1"/>
      <c r="EZ72" s="1"/>
      <c r="FA72" s="1"/>
      <c r="FB72" s="1"/>
      <c r="FC72" s="1"/>
      <c r="FD72" s="1"/>
      <c r="FE72" s="1"/>
      <c r="FF72" s="1"/>
      <c r="FG72" s="1"/>
      <c r="FH72" s="1"/>
      <c r="FI72" s="1"/>
      <c r="FJ72" s="1"/>
      <c r="FK72" s="1"/>
      <c r="FL72" s="1"/>
      <c r="FM72" s="1"/>
      <c r="FN72" s="1"/>
      <c r="FO72" s="1"/>
      <c r="FP72" s="1"/>
      <c r="FQ72" s="1"/>
      <c r="FR72" s="1"/>
      <c r="FS72" s="1"/>
      <c r="FT72" s="1"/>
      <c r="FU72" s="1"/>
      <c r="FV72" s="1"/>
      <c r="FW72" s="1"/>
      <c r="FX72" s="1"/>
      <c r="FY72" s="1"/>
      <c r="FZ72" s="1"/>
      <c r="GA72" s="1"/>
      <c r="GB72" s="1"/>
      <c r="GC72" s="1"/>
      <c r="GD72" s="1"/>
      <c r="GE72" s="1"/>
      <c r="GF72" s="1"/>
      <c r="GG72" s="1"/>
      <c r="GH72" s="1"/>
      <c r="GI72" s="1"/>
      <c r="GJ72" s="1"/>
      <c r="GK72" s="1"/>
      <c r="GL72" s="1"/>
      <c r="GM72" s="1"/>
      <c r="GN72" s="1"/>
      <c r="GO72" s="1"/>
      <c r="GP72" s="1"/>
      <c r="GQ72" s="1"/>
      <c r="GR72" s="1"/>
      <c r="GS72" s="1"/>
      <c r="GT72" s="1"/>
      <c r="GU72" s="1"/>
      <c r="GV72" s="1"/>
      <c r="GW72" s="1"/>
      <c r="GX72" s="1"/>
      <c r="GY72" s="1"/>
      <c r="GZ72" s="1"/>
      <c r="HA72" s="1"/>
      <c r="HB72" s="1"/>
      <c r="HC72" s="1"/>
      <c r="HD72" s="1"/>
      <c r="HE72" s="1"/>
      <c r="HF72" s="1"/>
      <c r="HG72" s="1"/>
      <c r="HH72" s="1"/>
      <c r="HI72" s="1"/>
      <c r="HJ72" s="1"/>
      <c r="HK72" s="1"/>
      <c r="HL72" s="1"/>
      <c r="HM72" s="1"/>
      <c r="HN72" s="1"/>
      <c r="HO72" s="1"/>
      <c r="HP72" s="1"/>
      <c r="HQ72" s="1"/>
      <c r="HR72" s="1"/>
      <c r="HS72" s="1"/>
      <c r="HT72" s="1"/>
      <c r="HU72" s="1"/>
      <c r="HV72" s="1"/>
      <c r="HW72" s="1"/>
      <c r="HX72" s="1"/>
      <c r="HY72" s="1"/>
      <c r="HZ72" s="1"/>
      <c r="IA72" s="1"/>
      <c r="IB72" s="1"/>
      <c r="IC72" s="1"/>
      <c r="ID72" s="1"/>
      <c r="IE72" s="1"/>
      <c r="IF72" s="1"/>
      <c r="IG72" s="1"/>
      <c r="IH72" s="1"/>
      <c r="II72" s="1"/>
      <c r="IJ72" s="1"/>
      <c r="IK72" s="1"/>
      <c r="IL72" s="1"/>
      <c r="IM72" s="1"/>
      <c r="IN72" s="1"/>
      <c r="IO72" s="1"/>
      <c r="IP72" s="1"/>
      <c r="IQ72" s="1"/>
      <c r="IR72" s="1"/>
      <c r="IS72" s="1"/>
      <c r="IT72" s="1"/>
      <c r="IU72" s="1"/>
      <c r="IV72" s="1"/>
      <c r="IW72" s="1"/>
      <c r="IX72" s="1"/>
      <c r="IY72" s="1"/>
      <c r="IZ72" s="1"/>
      <c r="JA72" s="1"/>
      <c r="JB72" s="1"/>
      <c r="JC72" s="1"/>
      <c r="JD72" s="1"/>
      <c r="JE72" s="1"/>
      <c r="JF72" s="1"/>
      <c r="JG72" s="1"/>
      <c r="JH72" s="1"/>
      <c r="JI72" s="1"/>
      <c r="JJ72" s="1"/>
      <c r="JK72" s="1"/>
      <c r="JL72" s="1"/>
      <c r="JM72" s="1"/>
      <c r="JN72" s="1"/>
      <c r="JO72" s="1"/>
      <c r="JP72" s="1"/>
      <c r="JQ72" s="1"/>
      <c r="JR72" s="1"/>
      <c r="JS72" s="1"/>
      <c r="JT72" s="1"/>
      <c r="JU72" s="1"/>
      <c r="JV72" s="1"/>
      <c r="JW72" s="1"/>
      <c r="JX72" s="1"/>
      <c r="JY72" s="1"/>
      <c r="JZ72" s="1"/>
      <c r="KA72" s="1"/>
      <c r="KB72" s="1"/>
      <c r="KC72" s="1"/>
      <c r="KD72" s="1"/>
      <c r="KE72" s="1"/>
      <c r="KF72" s="1"/>
      <c r="KG72" s="1"/>
      <c r="KH72" s="1"/>
      <c r="KI72" s="1"/>
      <c r="KJ72" s="1"/>
      <c r="KK72" s="1"/>
      <c r="KL72" s="1"/>
      <c r="KM72" s="1"/>
      <c r="KN72" s="1"/>
      <c r="KO72" s="1"/>
      <c r="KP72" s="1"/>
      <c r="KQ72" s="1"/>
      <c r="KR72" s="1"/>
      <c r="KS72" s="1"/>
      <c r="KT72" s="1"/>
      <c r="KU72" s="1"/>
      <c r="KV72" s="1"/>
      <c r="KW72" s="1"/>
      <c r="KX72" s="1"/>
      <c r="KY72" s="1"/>
      <c r="KZ72" s="1"/>
      <c r="LA72" s="1"/>
      <c r="LB72" s="1"/>
      <c r="LC72" s="1"/>
      <c r="LD72" s="1"/>
      <c r="LE72" s="1"/>
      <c r="LF72" s="1"/>
      <c r="LG72" s="1"/>
      <c r="LH72" s="1"/>
      <c r="LI72" s="1"/>
      <c r="LJ72" s="1"/>
      <c r="LK72" s="1"/>
      <c r="LL72" s="1"/>
      <c r="LM72" s="1"/>
      <c r="LN72" s="1"/>
      <c r="LO72" s="1"/>
      <c r="LP72" s="1"/>
      <c r="LQ72" s="1"/>
      <c r="LR72" s="1"/>
      <c r="LS72" s="1"/>
    </row>
    <row r="73" spans="1:331" s="30" customFormat="1" x14ac:dyDescent="0.25">
      <c r="A73" s="30" t="s">
        <v>333</v>
      </c>
      <c r="B73" s="30" t="s">
        <v>334</v>
      </c>
      <c r="C73" s="96" t="s">
        <v>1647</v>
      </c>
      <c r="D73" s="30">
        <v>0</v>
      </c>
      <c r="H73" s="30" t="s">
        <v>335</v>
      </c>
      <c r="I73" s="30" t="s">
        <v>230</v>
      </c>
      <c r="J73" s="30" t="s">
        <v>335</v>
      </c>
      <c r="K73" s="30" t="s">
        <v>230</v>
      </c>
      <c r="L73" s="30">
        <v>1</v>
      </c>
      <c r="M73" s="30" t="s">
        <v>336</v>
      </c>
      <c r="O73" s="30">
        <v>0</v>
      </c>
      <c r="Q73" s="96" t="s">
        <v>1517</v>
      </c>
      <c r="R73" s="96"/>
      <c r="T73" s="30">
        <v>15</v>
      </c>
      <c r="V73" s="30">
        <v>14</v>
      </c>
      <c r="W73" s="96">
        <v>15</v>
      </c>
      <c r="X73" s="96"/>
      <c r="Y73" s="96"/>
      <c r="Z73" s="30">
        <v>6</v>
      </c>
      <c r="AA73" s="94" t="b">
        <v>1</v>
      </c>
      <c r="AB73" s="1"/>
      <c r="AC73" s="57" t="s">
        <v>1320</v>
      </c>
      <c r="AD73" s="1"/>
      <c r="AE73" s="57"/>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c r="BS73" s="1"/>
      <c r="BT73" s="1"/>
      <c r="BU73" s="1"/>
      <c r="BV73" s="1"/>
    </row>
    <row r="74" spans="1:331" s="40" customFormat="1" x14ac:dyDescent="0.25">
      <c r="A74" s="40" t="s">
        <v>337</v>
      </c>
      <c r="B74" s="40" t="s">
        <v>338</v>
      </c>
      <c r="C74" s="96" t="s">
        <v>1647</v>
      </c>
      <c r="D74" s="40">
        <v>0</v>
      </c>
      <c r="H74" s="40" t="s">
        <v>339</v>
      </c>
      <c r="I74" s="40" t="s">
        <v>340</v>
      </c>
      <c r="J74" s="40" t="s">
        <v>339</v>
      </c>
      <c r="K74" s="40" t="s">
        <v>1665</v>
      </c>
      <c r="L74" s="40">
        <v>0</v>
      </c>
      <c r="O74" s="40">
        <v>1</v>
      </c>
      <c r="P74" s="40" t="s">
        <v>341</v>
      </c>
      <c r="Q74" s="96" t="s">
        <v>1518</v>
      </c>
      <c r="R74" s="96"/>
      <c r="S74" s="40">
        <v>3</v>
      </c>
      <c r="W74" s="96">
        <v>3</v>
      </c>
      <c r="X74" s="96"/>
      <c r="Y74" s="96"/>
      <c r="Z74" s="40">
        <v>8</v>
      </c>
      <c r="AA74" s="94" t="b">
        <v>1</v>
      </c>
      <c r="AB74" s="1"/>
      <c r="AC74" s="57" t="s">
        <v>1283</v>
      </c>
      <c r="AD74" s="1"/>
      <c r="AE74" s="57"/>
      <c r="AF74" s="1"/>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c r="BI74" s="1"/>
      <c r="BJ74" s="1"/>
      <c r="BK74" s="1"/>
      <c r="BL74" s="1"/>
      <c r="BM74" s="1"/>
      <c r="BN74" s="1"/>
      <c r="BO74" s="1"/>
      <c r="BP74" s="1"/>
      <c r="BQ74" s="1"/>
      <c r="BR74" s="1"/>
      <c r="BS74" s="1"/>
      <c r="BT74" s="1"/>
      <c r="BU74" s="1"/>
      <c r="BV74" s="1"/>
      <c r="BW74" s="1"/>
      <c r="BX74" s="1"/>
      <c r="BY74" s="1"/>
      <c r="BZ74" s="1"/>
      <c r="CA74" s="1"/>
      <c r="CB74" s="1"/>
      <c r="CC74" s="1"/>
      <c r="CD74" s="1"/>
      <c r="CE74" s="1"/>
      <c r="CF74" s="1"/>
      <c r="CG74" s="1"/>
      <c r="CH74" s="1"/>
      <c r="CI74" s="1"/>
      <c r="CJ74" s="1"/>
      <c r="CK74" s="1"/>
      <c r="CL74" s="1"/>
      <c r="CM74" s="1"/>
      <c r="CN74" s="1"/>
      <c r="CO74" s="1"/>
      <c r="CP74" s="1"/>
      <c r="CQ74" s="1"/>
      <c r="CR74" s="1"/>
      <c r="CS74" s="1"/>
      <c r="CT74" s="1"/>
      <c r="CU74" s="1"/>
      <c r="CV74" s="1"/>
      <c r="CW74" s="1"/>
      <c r="CX74" s="1"/>
      <c r="CY74" s="1"/>
      <c r="CZ74" s="1"/>
      <c r="DA74" s="1"/>
      <c r="DB74" s="1"/>
      <c r="DC74" s="1"/>
      <c r="DD74" s="1"/>
      <c r="DE74" s="1"/>
      <c r="DF74" s="1"/>
      <c r="DG74" s="1"/>
      <c r="DH74" s="1"/>
      <c r="DI74" s="1"/>
      <c r="DJ74" s="1"/>
      <c r="DK74" s="1"/>
      <c r="DL74" s="1"/>
      <c r="DM74" s="1"/>
      <c r="DN74" s="1"/>
      <c r="DO74" s="1"/>
      <c r="DP74" s="1"/>
      <c r="DQ74" s="1"/>
      <c r="DR74" s="1"/>
      <c r="DS74" s="1"/>
      <c r="DT74" s="1"/>
      <c r="DU74" s="1"/>
      <c r="DV74" s="1"/>
      <c r="DW74" s="1"/>
      <c r="DX74" s="1"/>
      <c r="DY74" s="1"/>
      <c r="DZ74" s="1"/>
      <c r="EA74" s="1"/>
      <c r="EB74" s="1"/>
      <c r="EC74" s="1"/>
      <c r="ED74" s="1"/>
      <c r="EE74" s="1"/>
      <c r="EF74" s="1"/>
      <c r="EG74" s="1"/>
      <c r="EH74" s="1"/>
      <c r="EI74" s="1"/>
      <c r="EJ74" s="1"/>
      <c r="EK74" s="1"/>
      <c r="EL74" s="1"/>
      <c r="EM74" s="1"/>
      <c r="EN74" s="1"/>
      <c r="EO74" s="1"/>
      <c r="EP74" s="1"/>
      <c r="EQ74" s="1"/>
      <c r="ER74" s="1"/>
      <c r="ES74" s="1"/>
      <c r="ET74" s="1"/>
      <c r="EU74" s="1"/>
      <c r="EV74" s="1"/>
      <c r="EW74" s="1"/>
      <c r="EX74" s="1"/>
      <c r="EY74" s="1"/>
      <c r="EZ74" s="1"/>
      <c r="FA74" s="1"/>
      <c r="FB74" s="1"/>
      <c r="FC74" s="1"/>
      <c r="FD74" s="1"/>
      <c r="FE74" s="1"/>
      <c r="FF74" s="1"/>
      <c r="FG74" s="1"/>
      <c r="FH74" s="1"/>
      <c r="FI74" s="1"/>
      <c r="FJ74" s="1"/>
      <c r="FK74" s="1"/>
      <c r="FL74" s="1"/>
      <c r="FM74" s="1"/>
      <c r="FN74" s="1"/>
      <c r="FO74" s="1"/>
      <c r="FP74" s="1"/>
      <c r="FQ74" s="1"/>
      <c r="FR74" s="1"/>
      <c r="FS74" s="1"/>
      <c r="FT74" s="1"/>
      <c r="FU74" s="1"/>
      <c r="FV74" s="1"/>
      <c r="FW74" s="1"/>
      <c r="FX74" s="1"/>
      <c r="FY74" s="1"/>
      <c r="FZ74" s="1"/>
      <c r="GA74" s="1"/>
      <c r="GB74" s="1"/>
      <c r="GC74" s="1"/>
      <c r="GD74" s="1"/>
      <c r="GE74" s="1"/>
      <c r="GF74" s="1"/>
      <c r="GG74" s="1"/>
      <c r="GH74" s="1"/>
      <c r="GI74" s="1"/>
      <c r="GJ74" s="1"/>
      <c r="GK74" s="1"/>
      <c r="GL74" s="1"/>
      <c r="GM74" s="1"/>
      <c r="GN74" s="1"/>
      <c r="GO74" s="1"/>
      <c r="GP74" s="1"/>
      <c r="GQ74" s="1"/>
      <c r="GR74" s="1"/>
      <c r="GS74" s="1"/>
      <c r="GT74" s="1"/>
      <c r="GU74" s="1"/>
      <c r="GV74" s="1"/>
      <c r="GW74" s="1"/>
      <c r="GX74" s="1"/>
      <c r="GY74" s="1"/>
      <c r="GZ74" s="1"/>
      <c r="HA74" s="1"/>
      <c r="HB74" s="1"/>
      <c r="HC74" s="1"/>
      <c r="HD74" s="1"/>
      <c r="HE74" s="1"/>
      <c r="HF74" s="1"/>
      <c r="HG74" s="1"/>
      <c r="HH74" s="1"/>
      <c r="HI74" s="1"/>
      <c r="HJ74" s="1"/>
      <c r="HK74" s="1"/>
      <c r="HL74" s="1"/>
      <c r="HM74" s="1"/>
      <c r="HN74" s="1"/>
      <c r="HO74" s="1"/>
      <c r="HP74" s="1"/>
      <c r="HQ74" s="1"/>
      <c r="HR74" s="1"/>
      <c r="HS74" s="1"/>
      <c r="HT74" s="1"/>
      <c r="HU74" s="1"/>
      <c r="HV74" s="1"/>
      <c r="HW74" s="1"/>
      <c r="HX74" s="1"/>
      <c r="HY74" s="1"/>
      <c r="HZ74" s="1"/>
      <c r="IA74" s="1"/>
      <c r="IB74" s="1"/>
      <c r="IC74" s="1"/>
      <c r="ID74" s="1"/>
      <c r="IE74" s="1"/>
      <c r="IF74" s="1"/>
      <c r="IG74" s="1"/>
      <c r="IH74" s="1"/>
      <c r="II74" s="1"/>
      <c r="IJ74" s="1"/>
      <c r="IK74" s="1"/>
      <c r="IL74" s="1"/>
      <c r="IM74" s="1"/>
      <c r="IN74" s="1"/>
      <c r="IO74" s="1"/>
      <c r="IP74" s="1"/>
      <c r="IQ74" s="1"/>
      <c r="IR74" s="1"/>
      <c r="IS74" s="1"/>
      <c r="IT74" s="1"/>
      <c r="IU74" s="1"/>
      <c r="IV74" s="1"/>
      <c r="IW74" s="1"/>
      <c r="IX74" s="1"/>
      <c r="IY74" s="1"/>
      <c r="IZ74" s="1"/>
      <c r="JA74" s="1"/>
      <c r="JB74" s="1"/>
      <c r="JC74" s="1"/>
      <c r="JD74" s="1"/>
      <c r="JE74" s="1"/>
      <c r="JF74" s="1"/>
      <c r="JG74" s="1"/>
      <c r="JH74" s="1"/>
      <c r="JI74" s="1"/>
      <c r="JJ74" s="1"/>
      <c r="JK74" s="1"/>
      <c r="JL74" s="1"/>
      <c r="JM74" s="1"/>
      <c r="JN74" s="1"/>
      <c r="JO74" s="1"/>
      <c r="JP74" s="1"/>
      <c r="JQ74" s="1"/>
      <c r="JR74" s="1"/>
      <c r="JS74" s="1"/>
      <c r="JT74" s="1"/>
      <c r="JU74" s="1"/>
      <c r="JV74" s="1"/>
      <c r="JW74" s="1"/>
      <c r="JX74" s="1"/>
      <c r="JY74" s="1"/>
      <c r="JZ74" s="1"/>
      <c r="KA74" s="1"/>
      <c r="KB74" s="1"/>
      <c r="KC74" s="1"/>
      <c r="KD74" s="1"/>
      <c r="KE74" s="1"/>
      <c r="KF74" s="1"/>
      <c r="KG74" s="1"/>
      <c r="KH74" s="1"/>
      <c r="KI74" s="1"/>
      <c r="KJ74" s="1"/>
      <c r="KK74" s="1"/>
      <c r="KL74" s="1"/>
      <c r="KM74" s="1"/>
      <c r="KN74" s="1"/>
      <c r="KO74" s="1"/>
      <c r="KP74" s="1"/>
      <c r="KQ74" s="1"/>
      <c r="KR74" s="1"/>
      <c r="KS74" s="1"/>
      <c r="KT74" s="1"/>
      <c r="KU74" s="1"/>
      <c r="KV74" s="1"/>
      <c r="KW74" s="1"/>
      <c r="KX74" s="1"/>
      <c r="KY74" s="1"/>
      <c r="KZ74" s="1"/>
      <c r="LA74" s="1"/>
      <c r="LB74" s="1"/>
      <c r="LC74" s="1"/>
      <c r="LD74" s="1"/>
      <c r="LE74" s="1"/>
      <c r="LF74" s="1"/>
      <c r="LG74" s="1"/>
      <c r="LH74" s="1"/>
      <c r="LI74" s="1"/>
      <c r="LJ74" s="1"/>
      <c r="LK74" s="1"/>
      <c r="LL74" s="1"/>
      <c r="LM74" s="1"/>
      <c r="LN74" s="1"/>
      <c r="LO74" s="1"/>
      <c r="LP74" s="1"/>
      <c r="LQ74" s="1"/>
      <c r="LR74" s="1"/>
      <c r="LS74" s="1"/>
    </row>
    <row r="75" spans="1:331" s="40" customFormat="1" x14ac:dyDescent="0.25">
      <c r="A75" s="40" t="s">
        <v>342</v>
      </c>
      <c r="B75" s="40" t="s">
        <v>343</v>
      </c>
      <c r="C75" s="96" t="s">
        <v>1647</v>
      </c>
      <c r="D75" s="40">
        <v>0</v>
      </c>
      <c r="H75" s="40" t="s">
        <v>344</v>
      </c>
      <c r="I75" s="40" t="s">
        <v>345</v>
      </c>
      <c r="J75" s="40" t="s">
        <v>346</v>
      </c>
      <c r="K75" s="40" t="s">
        <v>526</v>
      </c>
      <c r="L75" s="40">
        <v>0</v>
      </c>
      <c r="O75" s="40">
        <v>1</v>
      </c>
      <c r="P75" s="40" t="s">
        <v>347</v>
      </c>
      <c r="Q75" s="96" t="s">
        <v>210</v>
      </c>
      <c r="R75" s="96"/>
      <c r="S75" s="40">
        <v>16</v>
      </c>
      <c r="W75" s="96">
        <v>16</v>
      </c>
      <c r="X75" s="96"/>
      <c r="Y75" s="96"/>
      <c r="Z75" s="40">
        <v>8</v>
      </c>
      <c r="AA75" s="94" t="b">
        <v>1</v>
      </c>
      <c r="AB75" s="1"/>
      <c r="AC75" s="57" t="s">
        <v>1403</v>
      </c>
      <c r="AD75" s="1"/>
      <c r="AE75" s="57"/>
      <c r="AF75" s="1"/>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c r="BH75" s="1"/>
      <c r="BI75" s="1"/>
      <c r="BJ75" s="1"/>
      <c r="BK75" s="1"/>
      <c r="BL75" s="1"/>
      <c r="BM75" s="1"/>
      <c r="BN75" s="1"/>
      <c r="BO75" s="1"/>
      <c r="BP75" s="1"/>
      <c r="BQ75" s="1"/>
      <c r="BR75" s="1"/>
      <c r="BS75" s="1"/>
      <c r="BT75" s="1"/>
      <c r="BU75" s="1"/>
      <c r="BV75" s="1"/>
      <c r="BW75" s="1"/>
      <c r="BX75" s="1"/>
      <c r="BY75" s="1"/>
      <c r="BZ75" s="1"/>
      <c r="CA75" s="1"/>
      <c r="CB75" s="1"/>
      <c r="CC75" s="1"/>
      <c r="CD75" s="1"/>
      <c r="CE75" s="1"/>
      <c r="CF75" s="1"/>
      <c r="CG75" s="1"/>
      <c r="CH75" s="1"/>
      <c r="CI75" s="1"/>
      <c r="CJ75" s="1"/>
      <c r="CK75" s="1"/>
      <c r="CL75" s="1"/>
      <c r="CM75" s="1"/>
      <c r="CN75" s="1"/>
      <c r="CO75" s="1"/>
      <c r="CP75" s="1"/>
      <c r="CQ75" s="1"/>
      <c r="CR75" s="1"/>
      <c r="CS75" s="1"/>
      <c r="CT75" s="1"/>
      <c r="CU75" s="1"/>
      <c r="CV75" s="1"/>
      <c r="CW75" s="1"/>
      <c r="CX75" s="1"/>
      <c r="CY75" s="1"/>
      <c r="CZ75" s="1"/>
      <c r="DA75" s="1"/>
      <c r="DB75" s="1"/>
      <c r="DC75" s="1"/>
      <c r="DD75" s="1"/>
      <c r="DE75" s="1"/>
      <c r="DF75" s="1"/>
      <c r="DG75" s="1"/>
      <c r="DH75" s="1"/>
      <c r="DI75" s="1"/>
      <c r="DJ75" s="1"/>
      <c r="DK75" s="1"/>
      <c r="DL75" s="1"/>
      <c r="DM75" s="1"/>
      <c r="DN75" s="1"/>
      <c r="DO75" s="1"/>
      <c r="DP75" s="1"/>
      <c r="DQ75" s="1"/>
      <c r="DR75" s="1"/>
      <c r="DS75" s="1"/>
      <c r="DT75" s="1"/>
      <c r="DU75" s="1"/>
      <c r="DV75" s="1"/>
      <c r="DW75" s="1"/>
      <c r="DX75" s="1"/>
      <c r="DY75" s="1"/>
      <c r="DZ75" s="1"/>
      <c r="EA75" s="1"/>
      <c r="EB75" s="1"/>
      <c r="EC75" s="1"/>
      <c r="ED75" s="1"/>
      <c r="EE75" s="1"/>
      <c r="EF75" s="1"/>
      <c r="EG75" s="1"/>
      <c r="EH75" s="1"/>
      <c r="EI75" s="1"/>
      <c r="EJ75" s="1"/>
      <c r="EK75" s="1"/>
      <c r="EL75" s="1"/>
      <c r="EM75" s="1"/>
      <c r="EN75" s="1"/>
      <c r="EO75" s="1"/>
      <c r="EP75" s="1"/>
      <c r="EQ75" s="1"/>
      <c r="ER75" s="1"/>
      <c r="ES75" s="1"/>
      <c r="ET75" s="1"/>
      <c r="EU75" s="1"/>
      <c r="EV75" s="1"/>
      <c r="EW75" s="1"/>
      <c r="EX75" s="1"/>
      <c r="EY75" s="1"/>
      <c r="EZ75" s="1"/>
      <c r="FA75" s="1"/>
      <c r="FB75" s="1"/>
      <c r="FC75" s="1"/>
      <c r="FD75" s="1"/>
      <c r="FE75" s="1"/>
      <c r="FF75" s="1"/>
      <c r="FG75" s="1"/>
      <c r="FH75" s="1"/>
      <c r="FI75" s="1"/>
      <c r="FJ75" s="1"/>
      <c r="FK75" s="1"/>
      <c r="FL75" s="1"/>
      <c r="FM75" s="1"/>
      <c r="FN75" s="1"/>
      <c r="FO75" s="1"/>
      <c r="FP75" s="1"/>
      <c r="FQ75" s="1"/>
      <c r="FR75" s="1"/>
      <c r="FS75" s="1"/>
      <c r="FT75" s="1"/>
      <c r="FU75" s="1"/>
      <c r="FV75" s="1"/>
      <c r="FW75" s="1"/>
      <c r="FX75" s="1"/>
      <c r="FY75" s="1"/>
      <c r="FZ75" s="1"/>
      <c r="GA75" s="1"/>
      <c r="GB75" s="1"/>
      <c r="GC75" s="1"/>
      <c r="GD75" s="1"/>
      <c r="GE75" s="1"/>
      <c r="GF75" s="1"/>
      <c r="GG75" s="1"/>
      <c r="GH75" s="1"/>
      <c r="GI75" s="1"/>
      <c r="GJ75" s="1"/>
      <c r="GK75" s="1"/>
      <c r="GL75" s="1"/>
      <c r="GM75" s="1"/>
      <c r="GN75" s="1"/>
      <c r="GO75" s="1"/>
      <c r="GP75" s="1"/>
      <c r="GQ75" s="1"/>
      <c r="GR75" s="1"/>
      <c r="GS75" s="1"/>
      <c r="GT75" s="1"/>
      <c r="GU75" s="1"/>
      <c r="GV75" s="1"/>
      <c r="GW75" s="1"/>
      <c r="GX75" s="1"/>
      <c r="GY75" s="1"/>
      <c r="GZ75" s="1"/>
      <c r="HA75" s="1"/>
      <c r="HB75" s="1"/>
      <c r="HC75" s="1"/>
      <c r="HD75" s="1"/>
      <c r="HE75" s="1"/>
      <c r="HF75" s="1"/>
      <c r="HG75" s="1"/>
      <c r="HH75" s="1"/>
      <c r="HI75" s="1"/>
      <c r="HJ75" s="1"/>
      <c r="HK75" s="1"/>
      <c r="HL75" s="1"/>
      <c r="HM75" s="1"/>
      <c r="HN75" s="1"/>
      <c r="HO75" s="1"/>
      <c r="HP75" s="1"/>
      <c r="HQ75" s="1"/>
      <c r="HR75" s="1"/>
      <c r="HS75" s="1"/>
      <c r="HT75" s="1"/>
      <c r="HU75" s="1"/>
      <c r="HV75" s="1"/>
      <c r="HW75" s="1"/>
      <c r="HX75" s="1"/>
      <c r="HY75" s="1"/>
      <c r="HZ75" s="1"/>
      <c r="IA75" s="1"/>
      <c r="IB75" s="1"/>
      <c r="IC75" s="1"/>
      <c r="ID75" s="1"/>
      <c r="IE75" s="1"/>
      <c r="IF75" s="1"/>
      <c r="IG75" s="1"/>
      <c r="IH75" s="1"/>
      <c r="II75" s="1"/>
      <c r="IJ75" s="1"/>
      <c r="IK75" s="1"/>
      <c r="IL75" s="1"/>
      <c r="IM75" s="1"/>
      <c r="IN75" s="1"/>
      <c r="IO75" s="1"/>
      <c r="IP75" s="1"/>
      <c r="IQ75" s="1"/>
      <c r="IR75" s="1"/>
      <c r="IS75" s="1"/>
      <c r="IT75" s="1"/>
      <c r="IU75" s="1"/>
      <c r="IV75" s="1"/>
      <c r="IW75" s="1"/>
      <c r="IX75" s="1"/>
      <c r="IY75" s="1"/>
      <c r="IZ75" s="1"/>
      <c r="JA75" s="1"/>
      <c r="JB75" s="1"/>
      <c r="JC75" s="1"/>
      <c r="JD75" s="1"/>
      <c r="JE75" s="1"/>
      <c r="JF75" s="1"/>
      <c r="JG75" s="1"/>
      <c r="JH75" s="1"/>
      <c r="JI75" s="1"/>
      <c r="JJ75" s="1"/>
      <c r="JK75" s="1"/>
      <c r="JL75" s="1"/>
      <c r="JM75" s="1"/>
      <c r="JN75" s="1"/>
      <c r="JO75" s="1"/>
      <c r="JP75" s="1"/>
      <c r="JQ75" s="1"/>
      <c r="JR75" s="1"/>
      <c r="JS75" s="1"/>
      <c r="JT75" s="1"/>
      <c r="JU75" s="1"/>
      <c r="JV75" s="1"/>
      <c r="JW75" s="1"/>
      <c r="JX75" s="1"/>
      <c r="JY75" s="1"/>
      <c r="JZ75" s="1"/>
      <c r="KA75" s="1"/>
      <c r="KB75" s="1"/>
      <c r="KC75" s="1"/>
      <c r="KD75" s="1"/>
      <c r="KE75" s="1"/>
      <c r="KF75" s="1"/>
      <c r="KG75" s="1"/>
      <c r="KH75" s="1"/>
      <c r="KI75" s="1"/>
      <c r="KJ75" s="1"/>
      <c r="KK75" s="1"/>
      <c r="KL75" s="1"/>
      <c r="KM75" s="1"/>
      <c r="KN75" s="1"/>
      <c r="KO75" s="1"/>
      <c r="KP75" s="1"/>
      <c r="KQ75" s="1"/>
      <c r="KR75" s="1"/>
      <c r="KS75" s="1"/>
      <c r="KT75" s="1"/>
      <c r="KU75" s="1"/>
      <c r="KV75" s="1"/>
      <c r="KW75" s="1"/>
      <c r="KX75" s="1"/>
      <c r="KY75" s="1"/>
      <c r="KZ75" s="1"/>
      <c r="LA75" s="1"/>
      <c r="LB75" s="1"/>
      <c r="LC75" s="1"/>
      <c r="LD75" s="1"/>
      <c r="LE75" s="1"/>
      <c r="LF75" s="1"/>
      <c r="LG75" s="1"/>
      <c r="LH75" s="1"/>
      <c r="LI75" s="1"/>
      <c r="LJ75" s="1"/>
      <c r="LK75" s="1"/>
      <c r="LL75" s="1"/>
      <c r="LM75" s="1"/>
      <c r="LN75" s="1"/>
      <c r="LO75" s="1"/>
      <c r="LP75" s="1"/>
      <c r="LQ75" s="1"/>
      <c r="LR75" s="1"/>
      <c r="LS75" s="1"/>
    </row>
    <row r="76" spans="1:331" s="59" customFormat="1" x14ac:dyDescent="0.25">
      <c r="A76" s="59" t="s">
        <v>348</v>
      </c>
      <c r="B76" s="61">
        <v>483418</v>
      </c>
      <c r="C76" s="94" t="s">
        <v>1647</v>
      </c>
      <c r="D76" s="59">
        <v>1</v>
      </c>
      <c r="H76" s="59" t="s">
        <v>349</v>
      </c>
      <c r="I76" s="59" t="s">
        <v>350</v>
      </c>
      <c r="J76" s="59" t="s">
        <v>349</v>
      </c>
      <c r="K76" s="59" t="s">
        <v>1643</v>
      </c>
      <c r="L76" s="59">
        <v>1</v>
      </c>
      <c r="M76" s="59" t="s">
        <v>351</v>
      </c>
      <c r="O76" s="59">
        <v>1</v>
      </c>
      <c r="Q76" s="96"/>
      <c r="R76" s="96" t="s">
        <v>1791</v>
      </c>
      <c r="S76" s="59">
        <v>12.27</v>
      </c>
      <c r="U76" s="59">
        <v>13</v>
      </c>
      <c r="W76" s="96">
        <v>12</v>
      </c>
      <c r="X76" s="96"/>
      <c r="Y76" s="96"/>
      <c r="Z76" s="59">
        <v>11</v>
      </c>
      <c r="AA76" s="94" t="b">
        <v>1</v>
      </c>
      <c r="AB76" s="1"/>
      <c r="AC76" s="57" t="s">
        <v>1906</v>
      </c>
      <c r="AD76" s="1"/>
      <c r="AE76" s="57"/>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c r="BI76" s="1"/>
      <c r="BJ76" s="1"/>
      <c r="BK76" s="1"/>
      <c r="BL76" s="1"/>
      <c r="BM76" s="1"/>
      <c r="BN76" s="1"/>
      <c r="BO76" s="1"/>
      <c r="BP76" s="1"/>
      <c r="BQ76" s="1"/>
      <c r="BR76" s="1"/>
      <c r="BS76" s="1"/>
      <c r="BT76" s="1"/>
      <c r="BU76" s="1"/>
      <c r="BV76" s="1"/>
      <c r="BW76" s="1"/>
      <c r="BX76" s="1"/>
      <c r="BY76" s="1"/>
      <c r="BZ76" s="1"/>
      <c r="CA76" s="1"/>
      <c r="CB76" s="1"/>
      <c r="CC76" s="1"/>
      <c r="CD76" s="1"/>
      <c r="CE76" s="1"/>
      <c r="CF76" s="1"/>
      <c r="CG76" s="1"/>
      <c r="CH76" s="1"/>
      <c r="CI76" s="1"/>
      <c r="CJ76" s="1"/>
      <c r="CK76" s="1"/>
      <c r="CL76" s="1"/>
      <c r="CM76" s="1"/>
      <c r="CN76" s="1"/>
      <c r="CO76" s="1"/>
      <c r="CP76" s="1"/>
      <c r="CQ76" s="1"/>
      <c r="CR76" s="1"/>
      <c r="CS76" s="1"/>
      <c r="CT76" s="1"/>
      <c r="CU76" s="1"/>
      <c r="CV76" s="1"/>
      <c r="CW76" s="1"/>
      <c r="CX76" s="1"/>
      <c r="CY76" s="1"/>
      <c r="CZ76" s="1"/>
      <c r="DA76" s="1"/>
      <c r="DB76" s="1"/>
      <c r="DC76" s="1"/>
      <c r="DD76" s="1"/>
      <c r="DE76" s="1"/>
      <c r="DF76" s="1"/>
      <c r="DG76" s="1"/>
      <c r="DH76" s="1"/>
      <c r="DI76" s="1"/>
      <c r="DJ76" s="1"/>
      <c r="DK76" s="1"/>
      <c r="DL76" s="1"/>
      <c r="DM76" s="1"/>
      <c r="DN76" s="1"/>
      <c r="DO76" s="1"/>
      <c r="DP76" s="1"/>
      <c r="DQ76" s="1"/>
      <c r="DR76" s="1"/>
      <c r="DS76" s="1"/>
      <c r="DT76" s="1"/>
      <c r="DU76" s="1"/>
      <c r="DV76" s="1"/>
      <c r="DW76" s="1"/>
      <c r="DX76" s="1"/>
      <c r="DY76" s="1"/>
      <c r="DZ76" s="1"/>
      <c r="EA76" s="1"/>
      <c r="EB76" s="1"/>
      <c r="EC76" s="1"/>
      <c r="ED76" s="1"/>
      <c r="EE76" s="1"/>
      <c r="EF76" s="1"/>
      <c r="EG76" s="1"/>
      <c r="EH76" s="1"/>
      <c r="EI76" s="1"/>
      <c r="EJ76" s="1"/>
      <c r="EK76" s="1"/>
      <c r="EL76" s="1"/>
      <c r="EM76" s="1"/>
      <c r="EN76" s="1"/>
      <c r="EO76" s="1"/>
      <c r="EP76" s="1"/>
      <c r="EQ76" s="1"/>
      <c r="ER76" s="1"/>
      <c r="ES76" s="1"/>
      <c r="ET76" s="1"/>
      <c r="EU76" s="1"/>
      <c r="EV76" s="1"/>
      <c r="EW76" s="1"/>
      <c r="EX76" s="1"/>
      <c r="EY76" s="1"/>
      <c r="EZ76" s="1"/>
      <c r="FA76" s="1"/>
      <c r="FB76" s="1"/>
      <c r="FC76" s="1"/>
      <c r="FD76" s="1"/>
      <c r="FE76" s="1"/>
      <c r="FF76" s="1"/>
      <c r="FG76" s="1"/>
      <c r="FH76" s="1"/>
      <c r="FI76" s="1"/>
      <c r="FJ76" s="1"/>
      <c r="FK76" s="1"/>
      <c r="FL76" s="1"/>
      <c r="FM76" s="1"/>
      <c r="FN76" s="1"/>
      <c r="FO76" s="1"/>
      <c r="FP76" s="1"/>
      <c r="FQ76" s="1"/>
      <c r="FR76" s="1"/>
      <c r="FS76" s="1"/>
      <c r="FT76" s="1"/>
      <c r="FU76" s="1"/>
      <c r="FV76" s="1"/>
      <c r="FW76" s="1"/>
      <c r="FX76" s="1"/>
      <c r="FY76" s="1"/>
      <c r="FZ76" s="1"/>
      <c r="GA76" s="1"/>
      <c r="GB76" s="1"/>
      <c r="GC76" s="1"/>
      <c r="GD76" s="1"/>
      <c r="GE76" s="1"/>
      <c r="GF76" s="1"/>
      <c r="GG76" s="1"/>
      <c r="GH76" s="1"/>
      <c r="GI76" s="1"/>
      <c r="GJ76" s="1"/>
      <c r="GK76" s="1"/>
      <c r="GL76" s="1"/>
      <c r="GM76" s="1"/>
      <c r="GN76" s="1"/>
      <c r="GO76" s="1"/>
      <c r="GP76" s="1"/>
      <c r="GQ76" s="1"/>
      <c r="GR76" s="1"/>
      <c r="GS76" s="1"/>
      <c r="GT76" s="1"/>
      <c r="GU76" s="1"/>
      <c r="GV76" s="1"/>
      <c r="GW76" s="1"/>
      <c r="GX76" s="1"/>
      <c r="GY76" s="1"/>
      <c r="GZ76" s="1"/>
      <c r="HA76" s="1"/>
      <c r="HB76" s="1"/>
      <c r="HC76" s="1"/>
      <c r="HD76" s="1"/>
      <c r="HE76" s="1"/>
      <c r="HF76" s="1"/>
      <c r="HG76" s="1"/>
      <c r="HH76" s="1"/>
      <c r="HI76" s="1"/>
      <c r="HJ76" s="1"/>
      <c r="HK76" s="1"/>
      <c r="HL76" s="1"/>
      <c r="HM76" s="1"/>
      <c r="HN76" s="1"/>
      <c r="HO76" s="1"/>
      <c r="HP76" s="1"/>
      <c r="HQ76" s="1"/>
      <c r="HR76" s="1"/>
      <c r="HS76" s="1"/>
      <c r="HT76" s="1"/>
      <c r="HU76" s="1"/>
      <c r="HV76" s="1"/>
      <c r="HW76" s="1"/>
      <c r="HX76" s="1"/>
      <c r="HY76" s="1"/>
      <c r="HZ76" s="1"/>
      <c r="IA76" s="1"/>
      <c r="IB76" s="1"/>
      <c r="IC76" s="1"/>
      <c r="ID76" s="1"/>
      <c r="IE76" s="1"/>
      <c r="IF76" s="1"/>
      <c r="IG76" s="1"/>
      <c r="IH76" s="1"/>
      <c r="II76" s="1"/>
      <c r="IJ76" s="1"/>
      <c r="IK76" s="1"/>
      <c r="IL76" s="1"/>
      <c r="IM76" s="1"/>
      <c r="IN76" s="1"/>
      <c r="IO76" s="1"/>
      <c r="IP76" s="1"/>
      <c r="IQ76" s="1"/>
      <c r="IR76" s="1"/>
      <c r="IS76" s="1"/>
      <c r="IT76" s="1"/>
      <c r="IU76" s="1"/>
      <c r="IV76" s="1"/>
      <c r="IW76" s="1"/>
      <c r="IX76" s="1"/>
      <c r="IY76" s="1"/>
      <c r="IZ76" s="1"/>
      <c r="JA76" s="1"/>
      <c r="JB76" s="1"/>
      <c r="JC76" s="1"/>
      <c r="JD76" s="1"/>
      <c r="JE76" s="1"/>
      <c r="JF76" s="1"/>
      <c r="JG76" s="1"/>
      <c r="JH76" s="1"/>
      <c r="JI76" s="1"/>
      <c r="JJ76" s="1"/>
      <c r="JK76" s="1"/>
      <c r="JL76" s="1"/>
      <c r="JM76" s="1"/>
      <c r="JN76" s="1"/>
      <c r="JO76" s="1"/>
      <c r="JP76" s="1"/>
      <c r="JQ76" s="1"/>
      <c r="JR76" s="1"/>
      <c r="JS76" s="1"/>
      <c r="JT76" s="1"/>
      <c r="JU76" s="1"/>
      <c r="JV76" s="1"/>
      <c r="JW76" s="1"/>
      <c r="JX76" s="1"/>
      <c r="JY76" s="1"/>
      <c r="JZ76" s="1"/>
      <c r="KA76" s="1"/>
      <c r="KB76" s="1"/>
      <c r="KC76" s="1"/>
      <c r="KD76" s="1"/>
      <c r="KE76" s="1"/>
      <c r="KF76" s="1"/>
      <c r="KG76" s="1"/>
      <c r="KH76" s="1"/>
      <c r="KI76" s="1"/>
      <c r="KJ76" s="1"/>
      <c r="KK76" s="1"/>
      <c r="KL76" s="1"/>
      <c r="KM76" s="1"/>
      <c r="KN76" s="1"/>
      <c r="KO76" s="1"/>
      <c r="KP76" s="1"/>
      <c r="KQ76" s="1"/>
      <c r="KR76" s="1"/>
      <c r="KS76" s="1"/>
      <c r="KT76" s="1"/>
      <c r="KU76" s="1"/>
      <c r="KV76" s="1"/>
      <c r="KW76" s="1"/>
      <c r="KX76" s="1"/>
      <c r="KY76" s="1"/>
      <c r="KZ76" s="1"/>
      <c r="LA76" s="1"/>
      <c r="LB76" s="1"/>
      <c r="LC76" s="1"/>
      <c r="LD76" s="1"/>
      <c r="LE76" s="1"/>
      <c r="LF76" s="1"/>
      <c r="LG76" s="1"/>
      <c r="LH76" s="1"/>
      <c r="LI76" s="1"/>
      <c r="LJ76" s="1"/>
      <c r="LK76" s="1"/>
      <c r="LL76" s="1"/>
      <c r="LM76" s="1"/>
      <c r="LN76" s="1"/>
      <c r="LO76" s="1"/>
      <c r="LP76" s="1"/>
      <c r="LQ76" s="1"/>
      <c r="LR76" s="1"/>
      <c r="LS76" s="1"/>
    </row>
    <row r="77" spans="1:331" s="3" customFormat="1" x14ac:dyDescent="0.25">
      <c r="A77" s="3" t="s">
        <v>352</v>
      </c>
      <c r="B77" s="3" t="s">
        <v>353</v>
      </c>
      <c r="C77" s="96" t="s">
        <v>1647</v>
      </c>
      <c r="D77" s="3">
        <v>1</v>
      </c>
      <c r="E77" s="3" t="s">
        <v>354</v>
      </c>
      <c r="H77" s="3" t="s">
        <v>355</v>
      </c>
      <c r="I77" s="3" t="s">
        <v>355</v>
      </c>
      <c r="J77" s="3" t="s">
        <v>356</v>
      </c>
      <c r="K77" s="3" t="s">
        <v>355</v>
      </c>
      <c r="L77" s="3">
        <v>0</v>
      </c>
      <c r="O77" s="3">
        <v>1</v>
      </c>
      <c r="P77" s="3" t="s">
        <v>252</v>
      </c>
      <c r="Q77" s="96" t="s">
        <v>1519</v>
      </c>
      <c r="R77" s="96"/>
      <c r="S77" s="3">
        <v>25</v>
      </c>
      <c r="U77" s="3">
        <v>34</v>
      </c>
      <c r="V77" s="3">
        <v>24</v>
      </c>
      <c r="W77" s="96">
        <v>25</v>
      </c>
      <c r="X77" s="96"/>
      <c r="Y77" s="96"/>
      <c r="Z77" s="3">
        <v>1</v>
      </c>
      <c r="AA77" s="94" t="b">
        <v>1</v>
      </c>
      <c r="AB77" s="1"/>
      <c r="AC77" s="57" t="s">
        <v>1717</v>
      </c>
      <c r="AD77" s="1"/>
      <c r="AE77" s="57"/>
      <c r="AF77" s="1"/>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
      <c r="BH77" s="1"/>
      <c r="BI77" s="1"/>
      <c r="BJ77" s="1"/>
      <c r="BK77" s="1"/>
      <c r="BL77" s="1"/>
      <c r="BM77" s="1"/>
      <c r="BN77" s="1"/>
      <c r="BO77" s="1"/>
      <c r="BP77" s="1"/>
      <c r="BQ77" s="1"/>
      <c r="BR77" s="1"/>
      <c r="BS77" s="1"/>
      <c r="BT77" s="1"/>
      <c r="BU77" s="1"/>
      <c r="BV77" s="1"/>
    </row>
    <row r="78" spans="1:331" s="25" customFormat="1" x14ac:dyDescent="0.25">
      <c r="A78" s="25" t="s">
        <v>357</v>
      </c>
      <c r="B78" s="25" t="s">
        <v>358</v>
      </c>
      <c r="C78" s="96" t="s">
        <v>1647</v>
      </c>
      <c r="D78" s="25">
        <v>0</v>
      </c>
      <c r="H78" s="25" t="s">
        <v>359</v>
      </c>
      <c r="I78" s="25" t="s">
        <v>360</v>
      </c>
      <c r="J78" s="25" t="s">
        <v>359</v>
      </c>
      <c r="K78" s="25" t="s">
        <v>359</v>
      </c>
      <c r="L78" s="25">
        <v>0</v>
      </c>
      <c r="O78" s="25">
        <v>1</v>
      </c>
      <c r="Q78" s="96" t="s">
        <v>783</v>
      </c>
      <c r="R78" s="96"/>
      <c r="S78" s="25">
        <v>7</v>
      </c>
      <c r="W78" s="96">
        <v>7</v>
      </c>
      <c r="X78" s="96"/>
      <c r="Y78" s="96"/>
      <c r="Z78" s="25">
        <v>5</v>
      </c>
      <c r="AA78" s="94" t="b">
        <v>1</v>
      </c>
      <c r="AB78" s="1"/>
      <c r="AC78" s="57" t="s">
        <v>1284</v>
      </c>
      <c r="AD78" s="1"/>
      <c r="AE78" s="57"/>
      <c r="AF78" s="1"/>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c r="BI78" s="1"/>
      <c r="BJ78" s="1"/>
      <c r="BK78" s="1"/>
      <c r="BL78" s="1"/>
      <c r="BM78" s="1"/>
      <c r="BN78" s="1"/>
      <c r="BO78" s="1"/>
      <c r="BP78" s="1"/>
      <c r="BQ78" s="1"/>
      <c r="BR78" s="1"/>
      <c r="BS78" s="1"/>
      <c r="BT78" s="1"/>
      <c r="BU78" s="1"/>
      <c r="BV78" s="1"/>
      <c r="BW78" s="1"/>
      <c r="BX78" s="1"/>
      <c r="BY78" s="1"/>
      <c r="BZ78" s="1"/>
      <c r="CA78" s="1"/>
      <c r="CB78" s="1"/>
      <c r="CC78" s="1"/>
      <c r="CD78" s="1"/>
      <c r="CE78" s="1"/>
      <c r="CF78" s="1"/>
      <c r="CG78" s="1"/>
      <c r="CH78" s="1"/>
      <c r="CI78" s="1"/>
      <c r="CJ78" s="1"/>
      <c r="CK78" s="1"/>
      <c r="CL78" s="1"/>
      <c r="CM78" s="1"/>
      <c r="CN78" s="1"/>
      <c r="CO78" s="1"/>
      <c r="CP78" s="1"/>
      <c r="CQ78" s="1"/>
      <c r="CR78" s="1"/>
      <c r="CS78" s="1"/>
      <c r="CT78" s="1"/>
      <c r="CU78" s="1"/>
      <c r="CV78" s="1"/>
      <c r="CW78" s="1"/>
      <c r="CX78" s="1"/>
      <c r="CY78" s="1"/>
      <c r="CZ78" s="1"/>
      <c r="DA78" s="1"/>
      <c r="DB78" s="1"/>
      <c r="DC78" s="1"/>
      <c r="DD78" s="1"/>
      <c r="DE78" s="1"/>
      <c r="DF78" s="1"/>
      <c r="DG78" s="1"/>
      <c r="DH78" s="1"/>
      <c r="DI78" s="1"/>
      <c r="DJ78" s="1"/>
      <c r="DK78" s="1"/>
      <c r="DL78" s="1"/>
      <c r="DM78" s="1"/>
      <c r="DN78" s="1"/>
      <c r="DO78" s="1"/>
      <c r="DP78" s="1"/>
      <c r="DQ78" s="1"/>
      <c r="DR78" s="1"/>
      <c r="DS78" s="1"/>
      <c r="DT78" s="1"/>
      <c r="DU78" s="1"/>
      <c r="DV78" s="1"/>
      <c r="DW78" s="1"/>
      <c r="DX78" s="1"/>
      <c r="DY78" s="1"/>
      <c r="DZ78" s="1"/>
      <c r="EA78" s="1"/>
      <c r="EB78" s="1"/>
      <c r="EC78" s="1"/>
      <c r="ED78" s="1"/>
      <c r="EE78" s="1"/>
      <c r="EF78" s="1"/>
      <c r="EG78" s="1"/>
      <c r="EH78" s="1"/>
      <c r="EI78" s="1"/>
      <c r="EJ78" s="1"/>
      <c r="EK78" s="1"/>
      <c r="EL78" s="1"/>
      <c r="EM78" s="1"/>
      <c r="EN78" s="1"/>
      <c r="EO78" s="1"/>
      <c r="EP78" s="1"/>
      <c r="EQ78" s="1"/>
      <c r="ER78" s="1"/>
      <c r="ES78" s="1"/>
      <c r="ET78" s="1"/>
      <c r="EU78" s="1"/>
      <c r="EV78" s="1"/>
      <c r="EW78" s="1"/>
      <c r="EX78" s="1"/>
      <c r="EY78" s="1"/>
      <c r="EZ78" s="1"/>
      <c r="FA78" s="1"/>
      <c r="FB78" s="1"/>
      <c r="FC78" s="1"/>
      <c r="FD78" s="1"/>
      <c r="FE78" s="1"/>
      <c r="FF78" s="1"/>
      <c r="FG78" s="1"/>
      <c r="FH78" s="1"/>
      <c r="FI78" s="1"/>
      <c r="FJ78" s="1"/>
      <c r="FK78" s="1"/>
      <c r="FL78" s="1"/>
      <c r="FM78" s="1"/>
      <c r="FN78" s="1"/>
      <c r="FO78" s="1"/>
      <c r="FP78" s="1"/>
      <c r="FQ78" s="1"/>
      <c r="FR78" s="1"/>
      <c r="FS78" s="1"/>
      <c r="FT78" s="1"/>
      <c r="FU78" s="1"/>
      <c r="FV78" s="1"/>
      <c r="FW78" s="1"/>
      <c r="FX78" s="1"/>
      <c r="FY78" s="1"/>
      <c r="FZ78" s="1"/>
      <c r="GA78" s="1"/>
      <c r="GB78" s="1"/>
      <c r="GC78" s="1"/>
      <c r="GD78" s="1"/>
      <c r="GE78" s="1"/>
      <c r="GF78" s="1"/>
      <c r="GG78" s="1"/>
      <c r="GH78" s="1"/>
      <c r="GI78" s="1"/>
      <c r="GJ78" s="1"/>
      <c r="GK78" s="1"/>
      <c r="GL78" s="1"/>
      <c r="GM78" s="1"/>
      <c r="GN78" s="1"/>
      <c r="GO78" s="1"/>
      <c r="GP78" s="1"/>
      <c r="GQ78" s="1"/>
      <c r="GR78" s="1"/>
      <c r="GS78" s="1"/>
      <c r="GT78" s="1"/>
      <c r="GU78" s="1"/>
      <c r="GV78" s="1"/>
      <c r="GW78" s="1"/>
      <c r="GX78" s="1"/>
      <c r="GY78" s="1"/>
      <c r="GZ78" s="1"/>
      <c r="HA78" s="1"/>
      <c r="HB78" s="1"/>
      <c r="HC78" s="1"/>
      <c r="HD78" s="1"/>
      <c r="HE78" s="1"/>
      <c r="HF78" s="1"/>
      <c r="HG78" s="1"/>
      <c r="HH78" s="1"/>
      <c r="HI78" s="1"/>
      <c r="HJ78" s="1"/>
      <c r="HK78" s="1"/>
      <c r="HL78" s="1"/>
      <c r="HM78" s="1"/>
      <c r="HN78" s="1"/>
      <c r="HO78" s="1"/>
      <c r="HP78" s="1"/>
      <c r="HQ78" s="1"/>
      <c r="HR78" s="1"/>
      <c r="HS78" s="1"/>
      <c r="HT78" s="1"/>
      <c r="HU78" s="1"/>
      <c r="HV78" s="1"/>
      <c r="HW78" s="1"/>
      <c r="HX78" s="1"/>
      <c r="HY78" s="1"/>
      <c r="HZ78" s="1"/>
      <c r="IA78" s="1"/>
      <c r="IB78" s="1"/>
      <c r="IC78" s="1"/>
      <c r="ID78" s="1"/>
      <c r="IE78" s="1"/>
      <c r="IF78" s="1"/>
      <c r="IG78" s="1"/>
      <c r="IH78" s="1"/>
      <c r="II78" s="1"/>
      <c r="IJ78" s="1"/>
      <c r="IK78" s="1"/>
      <c r="IL78" s="1"/>
      <c r="IM78" s="1"/>
      <c r="IN78" s="1"/>
      <c r="IO78" s="1"/>
      <c r="IP78" s="1"/>
      <c r="IQ78" s="1"/>
      <c r="IR78" s="1"/>
      <c r="IS78" s="1"/>
      <c r="IT78" s="1"/>
      <c r="IU78" s="1"/>
      <c r="IV78" s="1"/>
      <c r="IW78" s="1"/>
      <c r="IX78" s="1"/>
      <c r="IY78" s="1"/>
      <c r="IZ78" s="1"/>
      <c r="JA78" s="1"/>
      <c r="JB78" s="1"/>
      <c r="JC78" s="1"/>
      <c r="JD78" s="1"/>
      <c r="JE78" s="1"/>
      <c r="JF78" s="1"/>
      <c r="JG78" s="1"/>
      <c r="JH78" s="1"/>
      <c r="JI78" s="1"/>
      <c r="JJ78" s="1"/>
      <c r="JK78" s="1"/>
      <c r="JL78" s="1"/>
      <c r="JM78" s="1"/>
      <c r="JN78" s="1"/>
      <c r="JO78" s="1"/>
      <c r="JP78" s="1"/>
      <c r="JQ78" s="1"/>
      <c r="JR78" s="1"/>
      <c r="JS78" s="1"/>
      <c r="JT78" s="1"/>
      <c r="JU78" s="1"/>
      <c r="JV78" s="1"/>
      <c r="JW78" s="1"/>
      <c r="JX78" s="1"/>
      <c r="JY78" s="1"/>
      <c r="JZ78" s="1"/>
      <c r="KA78" s="1"/>
      <c r="KB78" s="1"/>
      <c r="KC78" s="1"/>
      <c r="KD78" s="1"/>
      <c r="KE78" s="1"/>
      <c r="KF78" s="1"/>
      <c r="KG78" s="1"/>
      <c r="KH78" s="1"/>
      <c r="KI78" s="1"/>
      <c r="KJ78" s="1"/>
      <c r="KK78" s="1"/>
      <c r="KL78" s="1"/>
      <c r="KM78" s="1"/>
      <c r="KN78" s="1"/>
      <c r="KO78" s="1"/>
      <c r="KP78" s="1"/>
      <c r="KQ78" s="1"/>
      <c r="KR78" s="1"/>
      <c r="KS78" s="1"/>
      <c r="KT78" s="1"/>
      <c r="KU78" s="1"/>
      <c r="KV78" s="1"/>
      <c r="KW78" s="1"/>
      <c r="KX78" s="1"/>
      <c r="KY78" s="1"/>
      <c r="KZ78" s="1"/>
      <c r="LA78" s="1"/>
      <c r="LB78" s="1"/>
      <c r="LC78" s="1"/>
      <c r="LD78" s="1"/>
      <c r="LE78" s="1"/>
      <c r="LF78" s="1"/>
      <c r="LG78" s="1"/>
      <c r="LH78" s="1"/>
      <c r="LI78" s="1"/>
      <c r="LJ78" s="1"/>
      <c r="LK78" s="1"/>
      <c r="LL78" s="1"/>
      <c r="LM78" s="1"/>
      <c r="LN78" s="1"/>
      <c r="LO78" s="1"/>
      <c r="LP78" s="1"/>
      <c r="LQ78" s="1"/>
      <c r="LR78" s="1"/>
      <c r="LS78" s="1"/>
    </row>
    <row r="79" spans="1:331" s="40" customFormat="1" x14ac:dyDescent="0.25">
      <c r="A79" s="40" t="s">
        <v>361</v>
      </c>
      <c r="B79" s="40" t="s">
        <v>362</v>
      </c>
      <c r="C79" s="96" t="s">
        <v>1647</v>
      </c>
      <c r="D79" s="40">
        <v>0</v>
      </c>
      <c r="H79" s="40" t="s">
        <v>363</v>
      </c>
      <c r="I79" s="40" t="s">
        <v>364</v>
      </c>
      <c r="J79" s="40" t="s">
        <v>364</v>
      </c>
      <c r="K79" s="40" t="s">
        <v>1666</v>
      </c>
      <c r="L79" s="40">
        <v>0</v>
      </c>
      <c r="O79" s="40">
        <v>1</v>
      </c>
      <c r="P79" s="40" t="s">
        <v>365</v>
      </c>
      <c r="Q79" s="96" t="s">
        <v>1520</v>
      </c>
      <c r="R79" s="96"/>
      <c r="S79" s="40">
        <v>15</v>
      </c>
      <c r="T79" s="40">
        <v>18</v>
      </c>
      <c r="W79" s="96">
        <v>15</v>
      </c>
      <c r="X79" s="96"/>
      <c r="Y79" s="96"/>
      <c r="Z79" s="40">
        <v>8</v>
      </c>
      <c r="AA79" s="94" t="b">
        <v>1</v>
      </c>
      <c r="AB79" s="1"/>
      <c r="AC79" s="57" t="s">
        <v>1404</v>
      </c>
      <c r="AD79" s="1"/>
      <c r="AE79" s="57"/>
      <c r="AF79" s="1"/>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c r="BH79" s="1"/>
      <c r="BI79" s="1"/>
      <c r="BJ79" s="1"/>
      <c r="BK79" s="1"/>
      <c r="BL79" s="1"/>
      <c r="BM79" s="1"/>
      <c r="BN79" s="1"/>
      <c r="BO79" s="1"/>
      <c r="BP79" s="1"/>
      <c r="BQ79" s="1"/>
      <c r="BR79" s="1"/>
      <c r="BS79" s="1"/>
      <c r="BT79" s="1"/>
      <c r="BU79" s="1"/>
      <c r="BV79" s="1"/>
      <c r="BW79" s="1"/>
      <c r="BX79" s="1"/>
      <c r="BY79" s="1"/>
      <c r="BZ79" s="1"/>
      <c r="CA79" s="1"/>
      <c r="CB79" s="1"/>
      <c r="CC79" s="1"/>
      <c r="CD79" s="1"/>
      <c r="CE79" s="1"/>
      <c r="CF79" s="1"/>
      <c r="CG79" s="1"/>
      <c r="CH79" s="1"/>
      <c r="CI79" s="1"/>
      <c r="CJ79" s="1"/>
      <c r="CK79" s="1"/>
      <c r="CL79" s="1"/>
      <c r="CM79" s="1"/>
      <c r="CN79" s="1"/>
      <c r="CO79" s="1"/>
      <c r="CP79" s="1"/>
      <c r="CQ79" s="1"/>
      <c r="CR79" s="1"/>
      <c r="CS79" s="1"/>
      <c r="CT79" s="1"/>
      <c r="CU79" s="1"/>
      <c r="CV79" s="1"/>
      <c r="CW79" s="1"/>
      <c r="CX79" s="1"/>
      <c r="CY79" s="1"/>
      <c r="CZ79" s="1"/>
      <c r="DA79" s="1"/>
      <c r="DB79" s="1"/>
      <c r="DC79" s="1"/>
      <c r="DD79" s="1"/>
      <c r="DE79" s="1"/>
      <c r="DF79" s="1"/>
      <c r="DG79" s="1"/>
      <c r="DH79" s="1"/>
      <c r="DI79" s="1"/>
      <c r="DJ79" s="1"/>
      <c r="DK79" s="1"/>
      <c r="DL79" s="1"/>
      <c r="DM79" s="1"/>
      <c r="DN79" s="1"/>
      <c r="DO79" s="1"/>
      <c r="DP79" s="1"/>
      <c r="DQ79" s="1"/>
      <c r="DR79" s="1"/>
      <c r="DS79" s="1"/>
      <c r="DT79" s="1"/>
      <c r="DU79" s="1"/>
      <c r="DV79" s="1"/>
      <c r="DW79" s="1"/>
      <c r="DX79" s="1"/>
      <c r="DY79" s="1"/>
      <c r="DZ79" s="1"/>
      <c r="EA79" s="1"/>
      <c r="EB79" s="1"/>
      <c r="EC79" s="1"/>
      <c r="ED79" s="1"/>
      <c r="EE79" s="1"/>
      <c r="EF79" s="1"/>
      <c r="EG79" s="1"/>
      <c r="EH79" s="1"/>
      <c r="EI79" s="1"/>
      <c r="EJ79" s="1"/>
      <c r="EK79" s="1"/>
      <c r="EL79" s="1"/>
      <c r="EM79" s="1"/>
      <c r="EN79" s="1"/>
      <c r="EO79" s="1"/>
      <c r="EP79" s="1"/>
      <c r="EQ79" s="1"/>
      <c r="ER79" s="1"/>
      <c r="ES79" s="1"/>
      <c r="ET79" s="1"/>
      <c r="EU79" s="1"/>
      <c r="EV79" s="1"/>
      <c r="EW79" s="1"/>
      <c r="EX79" s="1"/>
      <c r="EY79" s="1"/>
      <c r="EZ79" s="1"/>
      <c r="FA79" s="1"/>
      <c r="FB79" s="1"/>
      <c r="FC79" s="1"/>
      <c r="FD79" s="1"/>
      <c r="FE79" s="1"/>
      <c r="FF79" s="1"/>
      <c r="FG79" s="1"/>
      <c r="FH79" s="1"/>
      <c r="FI79" s="1"/>
      <c r="FJ79" s="1"/>
      <c r="FK79" s="1"/>
      <c r="FL79" s="1"/>
      <c r="FM79" s="1"/>
      <c r="FN79" s="1"/>
      <c r="FO79" s="1"/>
      <c r="FP79" s="1"/>
      <c r="FQ79" s="1"/>
      <c r="FR79" s="1"/>
      <c r="FS79" s="1"/>
      <c r="FT79" s="1"/>
      <c r="FU79" s="1"/>
      <c r="FV79" s="1"/>
      <c r="FW79" s="1"/>
      <c r="FX79" s="1"/>
      <c r="FY79" s="1"/>
      <c r="FZ79" s="1"/>
      <c r="GA79" s="1"/>
      <c r="GB79" s="1"/>
      <c r="GC79" s="1"/>
      <c r="GD79" s="1"/>
      <c r="GE79" s="1"/>
      <c r="GF79" s="1"/>
      <c r="GG79" s="1"/>
      <c r="GH79" s="1"/>
      <c r="GI79" s="1"/>
      <c r="GJ79" s="1"/>
      <c r="GK79" s="1"/>
      <c r="GL79" s="1"/>
      <c r="GM79" s="1"/>
      <c r="GN79" s="1"/>
      <c r="GO79" s="1"/>
      <c r="GP79" s="1"/>
      <c r="GQ79" s="1"/>
      <c r="GR79" s="1"/>
      <c r="GS79" s="1"/>
      <c r="GT79" s="1"/>
      <c r="GU79" s="1"/>
      <c r="GV79" s="1"/>
      <c r="GW79" s="1"/>
      <c r="GX79" s="1"/>
      <c r="GY79" s="1"/>
      <c r="GZ79" s="1"/>
      <c r="HA79" s="1"/>
      <c r="HB79" s="1"/>
      <c r="HC79" s="1"/>
      <c r="HD79" s="1"/>
      <c r="HE79" s="1"/>
      <c r="HF79" s="1"/>
      <c r="HG79" s="1"/>
      <c r="HH79" s="1"/>
      <c r="HI79" s="1"/>
      <c r="HJ79" s="1"/>
      <c r="HK79" s="1"/>
      <c r="HL79" s="1"/>
      <c r="HM79" s="1"/>
      <c r="HN79" s="1"/>
      <c r="HO79" s="1"/>
      <c r="HP79" s="1"/>
      <c r="HQ79" s="1"/>
      <c r="HR79" s="1"/>
      <c r="HS79" s="1"/>
      <c r="HT79" s="1"/>
      <c r="HU79" s="1"/>
      <c r="HV79" s="1"/>
      <c r="HW79" s="1"/>
      <c r="HX79" s="1"/>
      <c r="HY79" s="1"/>
      <c r="HZ79" s="1"/>
      <c r="IA79" s="1"/>
      <c r="IB79" s="1"/>
      <c r="IC79" s="1"/>
      <c r="ID79" s="1"/>
      <c r="IE79" s="1"/>
      <c r="IF79" s="1"/>
      <c r="IG79" s="1"/>
      <c r="IH79" s="1"/>
      <c r="II79" s="1"/>
      <c r="IJ79" s="1"/>
      <c r="IK79" s="1"/>
      <c r="IL79" s="1"/>
      <c r="IM79" s="1"/>
      <c r="IN79" s="1"/>
      <c r="IO79" s="1"/>
      <c r="IP79" s="1"/>
      <c r="IQ79" s="1"/>
      <c r="IR79" s="1"/>
      <c r="IS79" s="1"/>
      <c r="IT79" s="1"/>
      <c r="IU79" s="1"/>
      <c r="IV79" s="1"/>
      <c r="IW79" s="1"/>
      <c r="IX79" s="1"/>
      <c r="IY79" s="1"/>
      <c r="IZ79" s="1"/>
      <c r="JA79" s="1"/>
      <c r="JB79" s="1"/>
      <c r="JC79" s="1"/>
      <c r="JD79" s="1"/>
      <c r="JE79" s="1"/>
      <c r="JF79" s="1"/>
      <c r="JG79" s="1"/>
      <c r="JH79" s="1"/>
      <c r="JI79" s="1"/>
      <c r="JJ79" s="1"/>
      <c r="JK79" s="1"/>
      <c r="JL79" s="1"/>
      <c r="JM79" s="1"/>
      <c r="JN79" s="1"/>
      <c r="JO79" s="1"/>
      <c r="JP79" s="1"/>
      <c r="JQ79" s="1"/>
      <c r="JR79" s="1"/>
      <c r="JS79" s="1"/>
      <c r="JT79" s="1"/>
      <c r="JU79" s="1"/>
      <c r="JV79" s="1"/>
      <c r="JW79" s="1"/>
      <c r="JX79" s="1"/>
      <c r="JY79" s="1"/>
      <c r="JZ79" s="1"/>
      <c r="KA79" s="1"/>
      <c r="KB79" s="1"/>
      <c r="KC79" s="1"/>
      <c r="KD79" s="1"/>
      <c r="KE79" s="1"/>
      <c r="KF79" s="1"/>
      <c r="KG79" s="1"/>
      <c r="KH79" s="1"/>
      <c r="KI79" s="1"/>
      <c r="KJ79" s="1"/>
      <c r="KK79" s="1"/>
      <c r="KL79" s="1"/>
      <c r="KM79" s="1"/>
      <c r="KN79" s="1"/>
      <c r="KO79" s="1"/>
      <c r="KP79" s="1"/>
      <c r="KQ79" s="1"/>
      <c r="KR79" s="1"/>
      <c r="KS79" s="1"/>
      <c r="KT79" s="1"/>
      <c r="KU79" s="1"/>
      <c r="KV79" s="1"/>
      <c r="KW79" s="1"/>
      <c r="KX79" s="1"/>
      <c r="KY79" s="1"/>
      <c r="KZ79" s="1"/>
      <c r="LA79" s="1"/>
      <c r="LB79" s="1"/>
      <c r="LC79" s="1"/>
      <c r="LD79" s="1"/>
      <c r="LE79" s="1"/>
      <c r="LF79" s="1"/>
      <c r="LG79" s="1"/>
      <c r="LH79" s="1"/>
      <c r="LI79" s="1"/>
      <c r="LJ79" s="1"/>
      <c r="LK79" s="1"/>
      <c r="LL79" s="1"/>
      <c r="LM79" s="1"/>
      <c r="LN79" s="1"/>
      <c r="LO79" s="1"/>
      <c r="LP79" s="1"/>
      <c r="LQ79" s="1"/>
      <c r="LR79" s="1"/>
      <c r="LS79" s="1"/>
    </row>
    <row r="80" spans="1:331" s="25" customFormat="1" x14ac:dyDescent="0.25">
      <c r="A80" s="25" t="s">
        <v>366</v>
      </c>
      <c r="B80" s="29" t="s">
        <v>367</v>
      </c>
      <c r="C80" s="94" t="s">
        <v>1647</v>
      </c>
      <c r="D80" s="25">
        <v>0</v>
      </c>
      <c r="H80" s="25" t="s">
        <v>368</v>
      </c>
      <c r="I80" s="25" t="s">
        <v>369</v>
      </c>
      <c r="J80" s="25" t="s">
        <v>368</v>
      </c>
      <c r="K80" s="25" t="s">
        <v>369</v>
      </c>
      <c r="L80" s="25">
        <v>0</v>
      </c>
      <c r="O80" s="25">
        <v>0</v>
      </c>
      <c r="Q80" s="96" t="s">
        <v>1521</v>
      </c>
      <c r="R80" s="96"/>
      <c r="S80" s="25">
        <v>15</v>
      </c>
      <c r="W80" s="96">
        <v>15</v>
      </c>
      <c r="X80" s="96"/>
      <c r="Y80" s="96"/>
      <c r="Z80" s="25">
        <v>5</v>
      </c>
      <c r="AA80" s="94" t="b">
        <v>1</v>
      </c>
      <c r="AB80" s="1" t="s">
        <v>1894</v>
      </c>
      <c r="AC80" s="57" t="s">
        <v>1311</v>
      </c>
      <c r="AD80" s="1"/>
      <c r="AE80" s="57"/>
      <c r="AF80" s="1"/>
      <c r="AG80" s="1"/>
      <c r="AH80" s="1"/>
      <c r="AI80" s="1"/>
      <c r="AJ80" s="1"/>
      <c r="AK80" s="1"/>
      <c r="AL80" s="1"/>
      <c r="AM80" s="1"/>
      <c r="AN80" s="1"/>
      <c r="AO80" s="1"/>
      <c r="AP80" s="1"/>
      <c r="AQ80" s="1"/>
      <c r="AR80" s="1"/>
      <c r="AS80" s="1"/>
      <c r="AT80" s="1"/>
      <c r="AU80" s="1"/>
      <c r="AV80" s="1"/>
      <c r="AW80" s="1"/>
      <c r="AX80" s="1"/>
      <c r="AY80" s="1"/>
      <c r="AZ80" s="1"/>
      <c r="BA80" s="1"/>
      <c r="BB80" s="1"/>
      <c r="BC80" s="1"/>
      <c r="BD80" s="1"/>
      <c r="BE80" s="1"/>
      <c r="BF80" s="1"/>
      <c r="BG80" s="1"/>
      <c r="BH80" s="1"/>
      <c r="BI80" s="1"/>
      <c r="BJ80" s="1"/>
      <c r="BK80" s="1"/>
      <c r="BL80" s="1"/>
      <c r="BM80" s="1"/>
      <c r="BN80" s="1"/>
      <c r="BO80" s="1"/>
      <c r="BP80" s="1"/>
      <c r="BQ80" s="1"/>
      <c r="BR80" s="1"/>
      <c r="BS80" s="1"/>
      <c r="BT80" s="1"/>
      <c r="BU80" s="1"/>
      <c r="BV80" s="1"/>
      <c r="BW80" s="1"/>
      <c r="BX80" s="1"/>
      <c r="BY80" s="1"/>
      <c r="BZ80" s="1"/>
      <c r="CA80" s="1"/>
      <c r="CB80" s="1"/>
      <c r="CC80" s="1"/>
      <c r="CD80" s="1"/>
      <c r="CE80" s="1"/>
      <c r="CF80" s="1"/>
      <c r="CG80" s="1"/>
      <c r="CH80" s="1"/>
      <c r="CI80" s="1"/>
      <c r="CJ80" s="1"/>
      <c r="CK80" s="1"/>
      <c r="CL80" s="1"/>
      <c r="CM80" s="1"/>
      <c r="CN80" s="1"/>
      <c r="CO80" s="1"/>
      <c r="CP80" s="1"/>
      <c r="CQ80" s="1"/>
      <c r="CR80" s="1"/>
      <c r="CS80" s="1"/>
      <c r="CT80" s="1"/>
      <c r="CU80" s="1"/>
      <c r="CV80" s="1"/>
      <c r="CW80" s="1"/>
      <c r="CX80" s="1"/>
      <c r="CY80" s="1"/>
      <c r="CZ80" s="1"/>
      <c r="DA80" s="1"/>
      <c r="DB80" s="1"/>
      <c r="DC80" s="1"/>
      <c r="DD80" s="1"/>
      <c r="DE80" s="1"/>
      <c r="DF80" s="1"/>
      <c r="DG80" s="1"/>
      <c r="DH80" s="1"/>
      <c r="DI80" s="1"/>
      <c r="DJ80" s="1"/>
      <c r="DK80" s="1"/>
      <c r="DL80" s="1"/>
      <c r="DM80" s="1"/>
      <c r="DN80" s="1"/>
      <c r="DO80" s="1"/>
      <c r="DP80" s="1"/>
      <c r="DQ80" s="1"/>
      <c r="DR80" s="1"/>
      <c r="DS80" s="1"/>
      <c r="DT80" s="1"/>
      <c r="DU80" s="1"/>
      <c r="DV80" s="1"/>
      <c r="DW80" s="1"/>
      <c r="DX80" s="1"/>
      <c r="DY80" s="1"/>
      <c r="DZ80" s="1"/>
      <c r="EA80" s="1"/>
      <c r="EB80" s="1"/>
      <c r="EC80" s="1"/>
      <c r="ED80" s="1"/>
      <c r="EE80" s="1"/>
      <c r="EF80" s="1"/>
      <c r="EG80" s="1"/>
      <c r="EH80" s="1"/>
      <c r="EI80" s="1"/>
      <c r="EJ80" s="1"/>
      <c r="EK80" s="1"/>
      <c r="EL80" s="1"/>
      <c r="EM80" s="1"/>
      <c r="EN80" s="1"/>
      <c r="EO80" s="1"/>
      <c r="EP80" s="1"/>
      <c r="EQ80" s="1"/>
      <c r="ER80" s="1"/>
      <c r="ES80" s="1"/>
      <c r="ET80" s="1"/>
      <c r="EU80" s="1"/>
      <c r="EV80" s="1"/>
      <c r="EW80" s="1"/>
      <c r="EX80" s="1"/>
      <c r="EY80" s="1"/>
      <c r="EZ80" s="1"/>
      <c r="FA80" s="1"/>
      <c r="FB80" s="1"/>
      <c r="FC80" s="1"/>
      <c r="FD80" s="1"/>
      <c r="FE80" s="1"/>
      <c r="FF80" s="1"/>
      <c r="FG80" s="1"/>
      <c r="FH80" s="1"/>
      <c r="FI80" s="1"/>
      <c r="FJ80" s="1"/>
      <c r="FK80" s="1"/>
      <c r="FL80" s="1"/>
      <c r="FM80" s="1"/>
      <c r="FN80" s="1"/>
      <c r="FO80" s="1"/>
      <c r="FP80" s="1"/>
      <c r="FQ80" s="1"/>
      <c r="FR80" s="1"/>
      <c r="FS80" s="1"/>
      <c r="FT80" s="1"/>
      <c r="FU80" s="1"/>
      <c r="FV80" s="1"/>
      <c r="FW80" s="1"/>
      <c r="FX80" s="1"/>
      <c r="FY80" s="1"/>
      <c r="FZ80" s="1"/>
      <c r="GA80" s="1"/>
      <c r="GB80" s="1"/>
      <c r="GC80" s="1"/>
      <c r="GD80" s="1"/>
      <c r="GE80" s="1"/>
      <c r="GF80" s="1"/>
      <c r="GG80" s="1"/>
      <c r="GH80" s="1"/>
      <c r="GI80" s="1"/>
      <c r="GJ80" s="1"/>
      <c r="GK80" s="1"/>
      <c r="GL80" s="1"/>
      <c r="GM80" s="1"/>
      <c r="GN80" s="1"/>
      <c r="GO80" s="1"/>
      <c r="GP80" s="1"/>
      <c r="GQ80" s="1"/>
      <c r="GR80" s="1"/>
      <c r="GS80" s="1"/>
      <c r="GT80" s="1"/>
      <c r="GU80" s="1"/>
      <c r="GV80" s="1"/>
      <c r="GW80" s="1"/>
      <c r="GX80" s="1"/>
      <c r="GY80" s="1"/>
      <c r="GZ80" s="1"/>
      <c r="HA80" s="1"/>
      <c r="HB80" s="1"/>
      <c r="HC80" s="1"/>
      <c r="HD80" s="1"/>
      <c r="HE80" s="1"/>
      <c r="HF80" s="1"/>
      <c r="HG80" s="1"/>
      <c r="HH80" s="1"/>
      <c r="HI80" s="1"/>
      <c r="HJ80" s="1"/>
      <c r="HK80" s="1"/>
      <c r="HL80" s="1"/>
      <c r="HM80" s="1"/>
      <c r="HN80" s="1"/>
      <c r="HO80" s="1"/>
      <c r="HP80" s="1"/>
      <c r="HQ80" s="1"/>
      <c r="HR80" s="1"/>
      <c r="HS80" s="1"/>
      <c r="HT80" s="1"/>
      <c r="HU80" s="1"/>
      <c r="HV80" s="1"/>
      <c r="HW80" s="1"/>
      <c r="HX80" s="1"/>
      <c r="HY80" s="1"/>
      <c r="HZ80" s="1"/>
      <c r="IA80" s="1"/>
      <c r="IB80" s="1"/>
      <c r="IC80" s="1"/>
      <c r="ID80" s="1"/>
      <c r="IE80" s="1"/>
      <c r="IF80" s="1"/>
      <c r="IG80" s="1"/>
      <c r="IH80" s="1"/>
      <c r="II80" s="1"/>
      <c r="IJ80" s="1"/>
      <c r="IK80" s="1"/>
      <c r="IL80" s="1"/>
      <c r="IM80" s="1"/>
      <c r="IN80" s="1"/>
      <c r="IO80" s="1"/>
      <c r="IP80" s="1"/>
      <c r="IQ80" s="1"/>
      <c r="IR80" s="1"/>
      <c r="IS80" s="1"/>
      <c r="IT80" s="1"/>
      <c r="IU80" s="1"/>
      <c r="IV80" s="1"/>
      <c r="IW80" s="1"/>
      <c r="IX80" s="1"/>
      <c r="IY80" s="1"/>
      <c r="IZ80" s="1"/>
      <c r="JA80" s="1"/>
      <c r="JB80" s="1"/>
      <c r="JC80" s="1"/>
      <c r="JD80" s="1"/>
      <c r="JE80" s="1"/>
      <c r="JF80" s="1"/>
      <c r="JG80" s="1"/>
      <c r="JH80" s="1"/>
      <c r="JI80" s="1"/>
      <c r="JJ80" s="1"/>
      <c r="JK80" s="1"/>
      <c r="JL80" s="1"/>
      <c r="JM80" s="1"/>
      <c r="JN80" s="1"/>
      <c r="JO80" s="1"/>
      <c r="JP80" s="1"/>
      <c r="JQ80" s="1"/>
      <c r="JR80" s="1"/>
      <c r="JS80" s="1"/>
      <c r="JT80" s="1"/>
      <c r="JU80" s="1"/>
      <c r="JV80" s="1"/>
      <c r="JW80" s="1"/>
      <c r="JX80" s="1"/>
      <c r="JY80" s="1"/>
      <c r="JZ80" s="1"/>
      <c r="KA80" s="1"/>
      <c r="KB80" s="1"/>
      <c r="KC80" s="1"/>
      <c r="KD80" s="1"/>
      <c r="KE80" s="1"/>
      <c r="KF80" s="1"/>
      <c r="KG80" s="1"/>
      <c r="KH80" s="1"/>
      <c r="KI80" s="1"/>
      <c r="KJ80" s="1"/>
      <c r="KK80" s="1"/>
      <c r="KL80" s="1"/>
      <c r="KM80" s="1"/>
      <c r="KN80" s="1"/>
      <c r="KO80" s="1"/>
      <c r="KP80" s="1"/>
      <c r="KQ80" s="1"/>
      <c r="KR80" s="1"/>
      <c r="KS80" s="1"/>
      <c r="KT80" s="1"/>
      <c r="KU80" s="1"/>
      <c r="KV80" s="1"/>
      <c r="KW80" s="1"/>
      <c r="KX80" s="1"/>
      <c r="KY80" s="1"/>
      <c r="KZ80" s="1"/>
      <c r="LA80" s="1"/>
      <c r="LB80" s="1"/>
      <c r="LC80" s="1"/>
      <c r="LD80" s="1"/>
      <c r="LE80" s="1"/>
      <c r="LF80" s="1"/>
      <c r="LG80" s="1"/>
      <c r="LH80" s="1"/>
      <c r="LI80" s="1"/>
      <c r="LJ80" s="1"/>
      <c r="LK80" s="1"/>
      <c r="LL80" s="1"/>
      <c r="LM80" s="1"/>
      <c r="LN80" s="1"/>
      <c r="LO80" s="1"/>
      <c r="LP80" s="1"/>
      <c r="LQ80" s="1"/>
      <c r="LR80" s="1"/>
      <c r="LS80" s="1"/>
    </row>
    <row r="81" spans="1:331" s="35" customFormat="1" x14ac:dyDescent="0.25">
      <c r="A81" s="35" t="s">
        <v>370</v>
      </c>
      <c r="B81" s="35" t="s">
        <v>370</v>
      </c>
      <c r="C81" s="96" t="s">
        <v>1647</v>
      </c>
      <c r="D81" s="35">
        <v>1</v>
      </c>
      <c r="E81" s="35" t="s">
        <v>371</v>
      </c>
      <c r="H81" s="35" t="s">
        <v>372</v>
      </c>
      <c r="I81" s="35" t="s">
        <v>373</v>
      </c>
      <c r="J81" s="35" t="s">
        <v>374</v>
      </c>
      <c r="K81" s="35" t="s">
        <v>373</v>
      </c>
      <c r="L81" s="35">
        <v>0</v>
      </c>
      <c r="O81" s="35">
        <v>1</v>
      </c>
      <c r="P81" s="35" t="s">
        <v>375</v>
      </c>
      <c r="Q81" s="96" t="s">
        <v>380</v>
      </c>
      <c r="R81" s="96"/>
      <c r="T81" s="35">
        <v>11</v>
      </c>
      <c r="V81" s="35">
        <v>14</v>
      </c>
      <c r="W81" s="96">
        <v>11</v>
      </c>
      <c r="X81" s="96"/>
      <c r="Y81" s="96"/>
      <c r="Z81" s="35">
        <v>7</v>
      </c>
      <c r="AA81" s="94" t="b">
        <v>1</v>
      </c>
      <c r="AB81" s="1"/>
      <c r="AC81" s="57" t="s">
        <v>1395</v>
      </c>
      <c r="AD81" s="1"/>
      <c r="AE81" s="57"/>
      <c r="AF81" s="1"/>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c r="BI81" s="1"/>
      <c r="BJ81" s="1"/>
      <c r="BK81" s="1"/>
      <c r="BL81" s="1"/>
      <c r="BM81" s="1"/>
      <c r="BN81" s="1"/>
      <c r="BO81" s="1"/>
      <c r="BP81" s="1"/>
      <c r="BQ81" s="1"/>
      <c r="BR81" s="1"/>
      <c r="BS81" s="1"/>
      <c r="BT81" s="1"/>
      <c r="BU81" s="1"/>
      <c r="BV81" s="1"/>
      <c r="BW81" s="1"/>
      <c r="BX81" s="1"/>
      <c r="BY81" s="1"/>
      <c r="BZ81" s="1"/>
      <c r="CA81" s="1"/>
      <c r="CB81" s="1"/>
      <c r="CC81" s="1"/>
      <c r="CD81" s="1"/>
      <c r="CE81" s="1"/>
      <c r="CF81" s="1"/>
      <c r="CG81" s="1"/>
      <c r="CH81" s="1"/>
      <c r="CI81" s="1"/>
      <c r="CJ81" s="1"/>
      <c r="CK81" s="1"/>
      <c r="CL81" s="1"/>
      <c r="CM81" s="1"/>
      <c r="CN81" s="1"/>
      <c r="CO81" s="1"/>
      <c r="CP81" s="1"/>
      <c r="CQ81" s="1"/>
      <c r="CR81" s="1"/>
      <c r="CS81" s="1"/>
      <c r="CT81" s="1"/>
      <c r="CU81" s="1"/>
      <c r="CV81" s="1"/>
      <c r="CW81" s="1"/>
      <c r="CX81" s="1"/>
      <c r="CY81" s="1"/>
      <c r="CZ81" s="1"/>
      <c r="DA81" s="1"/>
      <c r="DB81" s="1"/>
      <c r="DC81" s="1"/>
      <c r="DD81" s="1"/>
      <c r="DE81" s="1"/>
      <c r="DF81" s="1"/>
      <c r="DG81" s="1"/>
      <c r="DH81" s="1"/>
      <c r="DI81" s="1"/>
      <c r="DJ81" s="1"/>
      <c r="DK81" s="1"/>
      <c r="DL81" s="1"/>
      <c r="DM81" s="1"/>
      <c r="DN81" s="1"/>
      <c r="DO81" s="1"/>
      <c r="DP81" s="1"/>
      <c r="DQ81" s="1"/>
      <c r="DR81" s="1"/>
      <c r="DS81" s="1"/>
      <c r="DT81" s="1"/>
      <c r="DU81" s="1"/>
      <c r="DV81" s="1"/>
      <c r="DW81" s="1"/>
      <c r="DX81" s="1"/>
      <c r="DY81" s="1"/>
      <c r="DZ81" s="1"/>
      <c r="EA81" s="1"/>
      <c r="EB81" s="1"/>
      <c r="EC81" s="1"/>
      <c r="ED81" s="1"/>
      <c r="EE81" s="1"/>
      <c r="EF81" s="1"/>
      <c r="EG81" s="1"/>
      <c r="EH81" s="1"/>
      <c r="EI81" s="1"/>
      <c r="EJ81" s="1"/>
      <c r="EK81" s="1"/>
      <c r="EL81" s="1"/>
      <c r="EM81" s="1"/>
      <c r="EN81" s="1"/>
      <c r="EO81" s="1"/>
      <c r="EP81" s="1"/>
      <c r="EQ81" s="1"/>
      <c r="ER81" s="1"/>
      <c r="ES81" s="1"/>
      <c r="ET81" s="1"/>
      <c r="EU81" s="1"/>
      <c r="EV81" s="1"/>
      <c r="EW81" s="1"/>
      <c r="EX81" s="1"/>
      <c r="EY81" s="1"/>
      <c r="EZ81" s="1"/>
      <c r="FA81" s="1"/>
      <c r="FB81" s="1"/>
      <c r="FC81" s="1"/>
      <c r="FD81" s="1"/>
      <c r="FE81" s="1"/>
      <c r="FF81" s="1"/>
      <c r="FG81" s="1"/>
      <c r="FH81" s="1"/>
      <c r="FI81" s="1"/>
      <c r="FJ81" s="1"/>
      <c r="FK81" s="1"/>
      <c r="FL81" s="1"/>
      <c r="FM81" s="1"/>
      <c r="FN81" s="1"/>
      <c r="FO81" s="1"/>
      <c r="FP81" s="1"/>
      <c r="FQ81" s="1"/>
      <c r="FR81" s="1"/>
      <c r="FS81" s="1"/>
      <c r="FT81" s="1"/>
      <c r="FU81" s="1"/>
      <c r="FV81" s="1"/>
      <c r="FW81" s="1"/>
      <c r="FX81" s="1"/>
      <c r="FY81" s="1"/>
      <c r="FZ81" s="1"/>
      <c r="GA81" s="1"/>
      <c r="GB81" s="1"/>
      <c r="GC81" s="1"/>
      <c r="GD81" s="1"/>
      <c r="GE81" s="1"/>
      <c r="GF81" s="1"/>
      <c r="GG81" s="1"/>
      <c r="GH81" s="1"/>
      <c r="GI81" s="1"/>
      <c r="GJ81" s="1"/>
      <c r="GK81" s="1"/>
      <c r="GL81" s="1"/>
      <c r="GM81" s="1"/>
      <c r="GN81" s="1"/>
      <c r="GO81" s="1"/>
      <c r="GP81" s="1"/>
      <c r="GQ81" s="1"/>
      <c r="GR81" s="1"/>
      <c r="GS81" s="1"/>
      <c r="GT81" s="1"/>
      <c r="GU81" s="1"/>
      <c r="GV81" s="1"/>
      <c r="GW81" s="1"/>
      <c r="GX81" s="1"/>
      <c r="GY81" s="1"/>
      <c r="GZ81" s="1"/>
      <c r="HA81" s="1"/>
      <c r="HB81" s="1"/>
      <c r="HC81" s="1"/>
      <c r="HD81" s="1"/>
      <c r="HE81" s="1"/>
      <c r="HF81" s="1"/>
      <c r="HG81" s="1"/>
      <c r="HH81" s="1"/>
      <c r="HI81" s="1"/>
      <c r="HJ81" s="1"/>
      <c r="HK81" s="1"/>
      <c r="HL81" s="1"/>
      <c r="HM81" s="1"/>
      <c r="HN81" s="1"/>
      <c r="HO81" s="1"/>
      <c r="HP81" s="1"/>
      <c r="HQ81" s="1"/>
      <c r="HR81" s="1"/>
      <c r="HS81" s="1"/>
      <c r="HT81" s="1"/>
      <c r="HU81" s="1"/>
      <c r="HV81" s="1"/>
      <c r="HW81" s="1"/>
      <c r="HX81" s="1"/>
      <c r="HY81" s="1"/>
      <c r="HZ81" s="1"/>
      <c r="IA81" s="1"/>
      <c r="IB81" s="1"/>
      <c r="IC81" s="1"/>
      <c r="ID81" s="1"/>
      <c r="IE81" s="1"/>
      <c r="IF81" s="1"/>
      <c r="IG81" s="1"/>
      <c r="IH81" s="1"/>
      <c r="II81" s="1"/>
      <c r="IJ81" s="1"/>
      <c r="IK81" s="1"/>
      <c r="IL81" s="1"/>
      <c r="IM81" s="1"/>
      <c r="IN81" s="1"/>
      <c r="IO81" s="1"/>
      <c r="IP81" s="1"/>
      <c r="IQ81" s="1"/>
      <c r="IR81" s="1"/>
      <c r="IS81" s="1"/>
      <c r="IT81" s="1"/>
      <c r="IU81" s="1"/>
      <c r="IV81" s="1"/>
      <c r="IW81" s="1"/>
      <c r="IX81" s="1"/>
      <c r="IY81" s="1"/>
      <c r="IZ81" s="1"/>
      <c r="JA81" s="1"/>
      <c r="JB81" s="1"/>
      <c r="JC81" s="1"/>
      <c r="JD81" s="1"/>
      <c r="JE81" s="1"/>
      <c r="JF81" s="1"/>
      <c r="JG81" s="1"/>
      <c r="JH81" s="1"/>
      <c r="JI81" s="1"/>
      <c r="JJ81" s="1"/>
      <c r="JK81" s="1"/>
      <c r="JL81" s="1"/>
      <c r="JM81" s="1"/>
      <c r="JN81" s="1"/>
      <c r="JO81" s="1"/>
      <c r="JP81" s="1"/>
      <c r="JQ81" s="1"/>
      <c r="JR81" s="1"/>
      <c r="JS81" s="1"/>
      <c r="JT81" s="1"/>
      <c r="JU81" s="1"/>
      <c r="JV81" s="1"/>
      <c r="JW81" s="1"/>
      <c r="JX81" s="1"/>
      <c r="JY81" s="1"/>
      <c r="JZ81" s="1"/>
      <c r="KA81" s="1"/>
      <c r="KB81" s="1"/>
      <c r="KC81" s="1"/>
      <c r="KD81" s="1"/>
      <c r="KE81" s="1"/>
      <c r="KF81" s="1"/>
      <c r="KG81" s="1"/>
      <c r="KH81" s="1"/>
      <c r="KI81" s="1"/>
      <c r="KJ81" s="1"/>
      <c r="KK81" s="1"/>
      <c r="KL81" s="1"/>
      <c r="KM81" s="1"/>
      <c r="KN81" s="1"/>
      <c r="KO81" s="1"/>
      <c r="KP81" s="1"/>
      <c r="KQ81" s="1"/>
      <c r="KR81" s="1"/>
      <c r="KS81" s="1"/>
      <c r="KT81" s="1"/>
      <c r="KU81" s="1"/>
      <c r="KV81" s="1"/>
      <c r="KW81" s="1"/>
      <c r="KX81" s="1"/>
      <c r="KY81" s="1"/>
      <c r="KZ81" s="1"/>
      <c r="LA81" s="1"/>
      <c r="LB81" s="1"/>
      <c r="LC81" s="1"/>
      <c r="LD81" s="1"/>
      <c r="LE81" s="1"/>
      <c r="LF81" s="1"/>
      <c r="LG81" s="1"/>
      <c r="LH81" s="1"/>
      <c r="LI81" s="1"/>
      <c r="LJ81" s="1"/>
      <c r="LK81" s="1"/>
      <c r="LL81" s="1"/>
      <c r="LM81" s="1"/>
      <c r="LN81" s="1"/>
      <c r="LO81" s="1"/>
      <c r="LP81" s="1"/>
      <c r="LQ81" s="1"/>
      <c r="LR81" s="1"/>
      <c r="LS81" s="1"/>
    </row>
    <row r="82" spans="1:331" s="25" customFormat="1" x14ac:dyDescent="0.25">
      <c r="A82" s="25" t="s">
        <v>376</v>
      </c>
      <c r="B82" s="29" t="s">
        <v>377</v>
      </c>
      <c r="C82" s="94" t="s">
        <v>1647</v>
      </c>
      <c r="D82" s="25">
        <v>0</v>
      </c>
      <c r="H82" s="25" t="s">
        <v>378</v>
      </c>
      <c r="I82" s="25" t="s">
        <v>185</v>
      </c>
      <c r="J82" s="25" t="s">
        <v>378</v>
      </c>
      <c r="K82" s="25" t="s">
        <v>185</v>
      </c>
      <c r="L82" s="25">
        <v>0</v>
      </c>
      <c r="O82" s="25">
        <v>1</v>
      </c>
      <c r="Q82" s="96" t="s">
        <v>1522</v>
      </c>
      <c r="R82" s="96"/>
      <c r="T82" s="25">
        <v>11</v>
      </c>
      <c r="V82" s="25">
        <v>11</v>
      </c>
      <c r="W82" s="96">
        <v>11</v>
      </c>
      <c r="X82" s="96"/>
      <c r="Y82" s="96"/>
      <c r="Z82" s="25">
        <v>5</v>
      </c>
      <c r="AA82" s="94" t="b">
        <v>1</v>
      </c>
      <c r="AB82" s="1"/>
      <c r="AC82" s="57" t="s">
        <v>1321</v>
      </c>
      <c r="AD82" s="1"/>
      <c r="AE82" s="57"/>
      <c r="AF82" s="1"/>
      <c r="AG82" s="1"/>
      <c r="AH82" s="1"/>
      <c r="AI82" s="1"/>
      <c r="AJ82" s="1"/>
      <c r="AK82" s="1"/>
      <c r="AL82" s="1"/>
      <c r="AM82" s="1"/>
      <c r="AN82" s="1"/>
      <c r="AO82" s="1"/>
      <c r="AP82" s="1"/>
      <c r="AQ82" s="1"/>
      <c r="AR82" s="1"/>
      <c r="AS82" s="1"/>
      <c r="AT82" s="1"/>
      <c r="AU82" s="1"/>
      <c r="AV82" s="1"/>
      <c r="AW82" s="1"/>
      <c r="AX82" s="1"/>
      <c r="AY82" s="1"/>
      <c r="AZ82" s="1"/>
      <c r="BA82" s="1"/>
      <c r="BB82" s="1"/>
      <c r="BC82" s="1"/>
      <c r="BD82" s="1"/>
      <c r="BE82" s="1"/>
      <c r="BF82" s="1"/>
      <c r="BG82" s="1"/>
      <c r="BH82" s="1"/>
      <c r="BI82" s="1"/>
      <c r="BJ82" s="1"/>
      <c r="BK82" s="1"/>
      <c r="BL82" s="1"/>
      <c r="BM82" s="1"/>
      <c r="BN82" s="1"/>
      <c r="BO82" s="1"/>
      <c r="BP82" s="1"/>
      <c r="BQ82" s="1"/>
      <c r="BR82" s="1"/>
      <c r="BS82" s="1"/>
      <c r="BT82" s="1"/>
      <c r="BU82" s="1"/>
      <c r="BV82" s="1"/>
      <c r="BW82" s="1"/>
      <c r="BX82" s="1"/>
      <c r="BY82" s="1"/>
      <c r="BZ82" s="1"/>
      <c r="CA82" s="1"/>
      <c r="CB82" s="1"/>
      <c r="CC82" s="1"/>
      <c r="CD82" s="1"/>
      <c r="CE82" s="1"/>
      <c r="CF82" s="1"/>
      <c r="CG82" s="1"/>
      <c r="CH82" s="1"/>
      <c r="CI82" s="1"/>
      <c r="CJ82" s="1"/>
      <c r="CK82" s="1"/>
      <c r="CL82" s="1"/>
      <c r="CM82" s="1"/>
      <c r="CN82" s="1"/>
      <c r="CO82" s="1"/>
      <c r="CP82" s="1"/>
      <c r="CQ82" s="1"/>
      <c r="CR82" s="1"/>
      <c r="CS82" s="1"/>
      <c r="CT82" s="1"/>
      <c r="CU82" s="1"/>
      <c r="CV82" s="1"/>
      <c r="CW82" s="1"/>
      <c r="CX82" s="1"/>
      <c r="CY82" s="1"/>
      <c r="CZ82" s="1"/>
      <c r="DA82" s="1"/>
      <c r="DB82" s="1"/>
      <c r="DC82" s="1"/>
      <c r="DD82" s="1"/>
      <c r="DE82" s="1"/>
      <c r="DF82" s="1"/>
      <c r="DG82" s="1"/>
      <c r="DH82" s="1"/>
      <c r="DI82" s="1"/>
      <c r="DJ82" s="1"/>
      <c r="DK82" s="1"/>
      <c r="DL82" s="1"/>
      <c r="DM82" s="1"/>
      <c r="DN82" s="1"/>
      <c r="DO82" s="1"/>
      <c r="DP82" s="1"/>
      <c r="DQ82" s="1"/>
      <c r="DR82" s="1"/>
      <c r="DS82" s="1"/>
      <c r="DT82" s="1"/>
      <c r="DU82" s="1"/>
      <c r="DV82" s="1"/>
      <c r="DW82" s="1"/>
      <c r="DX82" s="1"/>
      <c r="DY82" s="1"/>
      <c r="DZ82" s="1"/>
      <c r="EA82" s="1"/>
      <c r="EB82" s="1"/>
      <c r="EC82" s="1"/>
      <c r="ED82" s="1"/>
      <c r="EE82" s="1"/>
      <c r="EF82" s="1"/>
      <c r="EG82" s="1"/>
      <c r="EH82" s="1"/>
      <c r="EI82" s="1"/>
      <c r="EJ82" s="1"/>
      <c r="EK82" s="1"/>
      <c r="EL82" s="1"/>
      <c r="EM82" s="1"/>
      <c r="EN82" s="1"/>
      <c r="EO82" s="1"/>
      <c r="EP82" s="1"/>
      <c r="EQ82" s="1"/>
      <c r="ER82" s="1"/>
      <c r="ES82" s="1"/>
      <c r="ET82" s="1"/>
      <c r="EU82" s="1"/>
      <c r="EV82" s="1"/>
      <c r="EW82" s="1"/>
      <c r="EX82" s="1"/>
      <c r="EY82" s="1"/>
      <c r="EZ82" s="1"/>
      <c r="FA82" s="1"/>
      <c r="FB82" s="1"/>
      <c r="FC82" s="1"/>
      <c r="FD82" s="1"/>
      <c r="FE82" s="1"/>
      <c r="FF82" s="1"/>
      <c r="FG82" s="1"/>
      <c r="FH82" s="1"/>
      <c r="FI82" s="1"/>
      <c r="FJ82" s="1"/>
      <c r="FK82" s="1"/>
      <c r="FL82" s="1"/>
      <c r="FM82" s="1"/>
      <c r="FN82" s="1"/>
      <c r="FO82" s="1"/>
      <c r="FP82" s="1"/>
      <c r="FQ82" s="1"/>
      <c r="FR82" s="1"/>
      <c r="FS82" s="1"/>
      <c r="FT82" s="1"/>
      <c r="FU82" s="1"/>
      <c r="FV82" s="1"/>
      <c r="FW82" s="1"/>
      <c r="FX82" s="1"/>
      <c r="FY82" s="1"/>
      <c r="FZ82" s="1"/>
      <c r="GA82" s="1"/>
      <c r="GB82" s="1"/>
      <c r="GC82" s="1"/>
      <c r="GD82" s="1"/>
      <c r="GE82" s="1"/>
      <c r="GF82" s="1"/>
      <c r="GG82" s="1"/>
      <c r="GH82" s="1"/>
      <c r="GI82" s="1"/>
      <c r="GJ82" s="1"/>
      <c r="GK82" s="1"/>
      <c r="GL82" s="1"/>
      <c r="GM82" s="1"/>
      <c r="GN82" s="1"/>
      <c r="GO82" s="1"/>
      <c r="GP82" s="1"/>
      <c r="GQ82" s="1"/>
      <c r="GR82" s="1"/>
      <c r="GS82" s="1"/>
      <c r="GT82" s="1"/>
      <c r="GU82" s="1"/>
      <c r="GV82" s="1"/>
      <c r="GW82" s="1"/>
      <c r="GX82" s="1"/>
      <c r="GY82" s="1"/>
      <c r="GZ82" s="1"/>
      <c r="HA82" s="1"/>
      <c r="HB82" s="1"/>
      <c r="HC82" s="1"/>
      <c r="HD82" s="1"/>
      <c r="HE82" s="1"/>
      <c r="HF82" s="1"/>
      <c r="HG82" s="1"/>
      <c r="HH82" s="1"/>
      <c r="HI82" s="1"/>
      <c r="HJ82" s="1"/>
      <c r="HK82" s="1"/>
      <c r="HL82" s="1"/>
      <c r="HM82" s="1"/>
      <c r="HN82" s="1"/>
      <c r="HO82" s="1"/>
      <c r="HP82" s="1"/>
      <c r="HQ82" s="1"/>
      <c r="HR82" s="1"/>
      <c r="HS82" s="1"/>
      <c r="HT82" s="1"/>
      <c r="HU82" s="1"/>
      <c r="HV82" s="1"/>
      <c r="HW82" s="1"/>
      <c r="HX82" s="1"/>
      <c r="HY82" s="1"/>
      <c r="HZ82" s="1"/>
      <c r="IA82" s="1"/>
      <c r="IB82" s="1"/>
      <c r="IC82" s="1"/>
      <c r="ID82" s="1"/>
      <c r="IE82" s="1"/>
      <c r="IF82" s="1"/>
      <c r="IG82" s="1"/>
      <c r="IH82" s="1"/>
      <c r="II82" s="1"/>
      <c r="IJ82" s="1"/>
      <c r="IK82" s="1"/>
      <c r="IL82" s="1"/>
      <c r="IM82" s="1"/>
      <c r="IN82" s="1"/>
      <c r="IO82" s="1"/>
      <c r="IP82" s="1"/>
      <c r="IQ82" s="1"/>
      <c r="IR82" s="1"/>
      <c r="IS82" s="1"/>
      <c r="IT82" s="1"/>
      <c r="IU82" s="1"/>
      <c r="IV82" s="1"/>
      <c r="IW82" s="1"/>
      <c r="IX82" s="1"/>
      <c r="IY82" s="1"/>
      <c r="IZ82" s="1"/>
      <c r="JA82" s="1"/>
      <c r="JB82" s="1"/>
      <c r="JC82" s="1"/>
      <c r="JD82" s="1"/>
      <c r="JE82" s="1"/>
      <c r="JF82" s="1"/>
      <c r="JG82" s="1"/>
      <c r="JH82" s="1"/>
      <c r="JI82" s="1"/>
      <c r="JJ82" s="1"/>
      <c r="JK82" s="1"/>
      <c r="JL82" s="1"/>
      <c r="JM82" s="1"/>
      <c r="JN82" s="1"/>
      <c r="JO82" s="1"/>
      <c r="JP82" s="1"/>
      <c r="JQ82" s="1"/>
      <c r="JR82" s="1"/>
      <c r="JS82" s="1"/>
      <c r="JT82" s="1"/>
      <c r="JU82" s="1"/>
      <c r="JV82" s="1"/>
      <c r="JW82" s="1"/>
      <c r="JX82" s="1"/>
      <c r="JY82" s="1"/>
      <c r="JZ82" s="1"/>
      <c r="KA82" s="1"/>
      <c r="KB82" s="1"/>
      <c r="KC82" s="1"/>
      <c r="KD82" s="1"/>
      <c r="KE82" s="1"/>
      <c r="KF82" s="1"/>
      <c r="KG82" s="1"/>
      <c r="KH82" s="1"/>
      <c r="KI82" s="1"/>
      <c r="KJ82" s="1"/>
      <c r="KK82" s="1"/>
      <c r="KL82" s="1"/>
      <c r="KM82" s="1"/>
      <c r="KN82" s="1"/>
      <c r="KO82" s="1"/>
      <c r="KP82" s="1"/>
      <c r="KQ82" s="1"/>
      <c r="KR82" s="1"/>
      <c r="KS82" s="1"/>
      <c r="KT82" s="1"/>
      <c r="KU82" s="1"/>
      <c r="KV82" s="1"/>
      <c r="KW82" s="1"/>
      <c r="KX82" s="1"/>
      <c r="KY82" s="1"/>
      <c r="KZ82" s="1"/>
      <c r="LA82" s="1"/>
      <c r="LB82" s="1"/>
      <c r="LC82" s="1"/>
      <c r="LD82" s="1"/>
      <c r="LE82" s="1"/>
      <c r="LF82" s="1"/>
      <c r="LG82" s="1"/>
      <c r="LH82" s="1"/>
      <c r="LI82" s="1"/>
      <c r="LJ82" s="1"/>
      <c r="LK82" s="1"/>
      <c r="LL82" s="1"/>
      <c r="LM82" s="1"/>
      <c r="LN82" s="1"/>
      <c r="LO82" s="1"/>
      <c r="LP82" s="1"/>
      <c r="LQ82" s="1"/>
      <c r="LR82" s="1"/>
      <c r="LS82" s="1"/>
    </row>
    <row r="83" spans="1:331" s="40" customFormat="1" x14ac:dyDescent="0.25">
      <c r="A83" s="40" t="s">
        <v>379</v>
      </c>
      <c r="B83" s="44" t="s">
        <v>379</v>
      </c>
      <c r="C83" s="94" t="s">
        <v>1647</v>
      </c>
      <c r="D83" s="40">
        <v>0</v>
      </c>
      <c r="H83" s="40" t="s">
        <v>25</v>
      </c>
      <c r="I83" s="40" t="s">
        <v>380</v>
      </c>
      <c r="J83" s="40" t="s">
        <v>25</v>
      </c>
      <c r="K83" s="40" t="s">
        <v>25</v>
      </c>
      <c r="L83" s="40">
        <v>0</v>
      </c>
      <c r="O83" s="40">
        <v>1</v>
      </c>
      <c r="P83" s="40" t="s">
        <v>381</v>
      </c>
      <c r="Q83" s="96" t="s">
        <v>316</v>
      </c>
      <c r="R83" s="96"/>
      <c r="S83" s="40">
        <v>7</v>
      </c>
      <c r="U83" s="40">
        <v>10</v>
      </c>
      <c r="W83" s="96">
        <v>7</v>
      </c>
      <c r="X83" s="96"/>
      <c r="Y83" s="96"/>
      <c r="Z83" s="40">
        <v>8</v>
      </c>
      <c r="AA83" s="94" t="b">
        <v>1</v>
      </c>
      <c r="AB83" s="1"/>
      <c r="AC83" s="57" t="s">
        <v>1402</v>
      </c>
      <c r="AD83" s="1"/>
      <c r="AE83" s="57"/>
      <c r="AF83" s="1"/>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c r="BI83" s="1"/>
      <c r="BJ83" s="1"/>
      <c r="BK83" s="1"/>
      <c r="BL83" s="1"/>
      <c r="BM83" s="1"/>
      <c r="BN83" s="1"/>
      <c r="BO83" s="1"/>
      <c r="BP83" s="1"/>
      <c r="BQ83" s="1"/>
      <c r="BR83" s="1"/>
      <c r="BS83" s="1"/>
      <c r="BT83" s="1"/>
      <c r="BU83" s="1"/>
      <c r="BV83" s="1"/>
      <c r="BW83" s="1"/>
      <c r="BX83" s="1"/>
      <c r="BY83" s="1"/>
      <c r="BZ83" s="1"/>
      <c r="CA83" s="1"/>
      <c r="CB83" s="1"/>
      <c r="CC83" s="1"/>
      <c r="CD83" s="1"/>
      <c r="CE83" s="1"/>
      <c r="CF83" s="1"/>
      <c r="CG83" s="1"/>
      <c r="CH83" s="1"/>
      <c r="CI83" s="1"/>
      <c r="CJ83" s="1"/>
      <c r="CK83" s="1"/>
      <c r="CL83" s="1"/>
      <c r="CM83" s="1"/>
      <c r="CN83" s="1"/>
      <c r="CO83" s="1"/>
      <c r="CP83" s="1"/>
      <c r="CQ83" s="1"/>
      <c r="CR83" s="1"/>
      <c r="CS83" s="1"/>
      <c r="CT83" s="1"/>
      <c r="CU83" s="1"/>
      <c r="CV83" s="1"/>
      <c r="CW83" s="1"/>
      <c r="CX83" s="1"/>
      <c r="CY83" s="1"/>
      <c r="CZ83" s="1"/>
      <c r="DA83" s="1"/>
      <c r="DB83" s="1"/>
      <c r="DC83" s="1"/>
      <c r="DD83" s="1"/>
      <c r="DE83" s="1"/>
      <c r="DF83" s="1"/>
      <c r="DG83" s="1"/>
      <c r="DH83" s="1"/>
      <c r="DI83" s="1"/>
      <c r="DJ83" s="1"/>
      <c r="DK83" s="1"/>
      <c r="DL83" s="1"/>
      <c r="DM83" s="1"/>
      <c r="DN83" s="1"/>
      <c r="DO83" s="1"/>
      <c r="DP83" s="1"/>
      <c r="DQ83" s="1"/>
      <c r="DR83" s="1"/>
      <c r="DS83" s="1"/>
      <c r="DT83" s="1"/>
      <c r="DU83" s="1"/>
      <c r="DV83" s="1"/>
      <c r="DW83" s="1"/>
      <c r="DX83" s="1"/>
      <c r="DY83" s="1"/>
      <c r="DZ83" s="1"/>
      <c r="EA83" s="1"/>
      <c r="EB83" s="1"/>
      <c r="EC83" s="1"/>
      <c r="ED83" s="1"/>
      <c r="EE83" s="1"/>
      <c r="EF83" s="1"/>
      <c r="EG83" s="1"/>
      <c r="EH83" s="1"/>
      <c r="EI83" s="1"/>
      <c r="EJ83" s="1"/>
      <c r="EK83" s="1"/>
      <c r="EL83" s="1"/>
      <c r="EM83" s="1"/>
      <c r="EN83" s="1"/>
      <c r="EO83" s="1"/>
      <c r="EP83" s="1"/>
      <c r="EQ83" s="1"/>
      <c r="ER83" s="1"/>
      <c r="ES83" s="1"/>
      <c r="ET83" s="1"/>
      <c r="EU83" s="1"/>
      <c r="EV83" s="1"/>
      <c r="EW83" s="1"/>
      <c r="EX83" s="1"/>
      <c r="EY83" s="1"/>
      <c r="EZ83" s="1"/>
      <c r="FA83" s="1"/>
      <c r="FB83" s="1"/>
      <c r="FC83" s="1"/>
      <c r="FD83" s="1"/>
      <c r="FE83" s="1"/>
      <c r="FF83" s="1"/>
      <c r="FG83" s="1"/>
      <c r="FH83" s="1"/>
      <c r="FI83" s="1"/>
      <c r="FJ83" s="1"/>
      <c r="FK83" s="1"/>
      <c r="FL83" s="1"/>
      <c r="FM83" s="1"/>
      <c r="FN83" s="1"/>
      <c r="FO83" s="1"/>
      <c r="FP83" s="1"/>
      <c r="FQ83" s="1"/>
      <c r="FR83" s="1"/>
      <c r="FS83" s="1"/>
      <c r="FT83" s="1"/>
      <c r="FU83" s="1"/>
      <c r="FV83" s="1"/>
      <c r="FW83" s="1"/>
      <c r="FX83" s="1"/>
      <c r="FY83" s="1"/>
      <c r="FZ83" s="1"/>
      <c r="GA83" s="1"/>
      <c r="GB83" s="1"/>
      <c r="GC83" s="1"/>
      <c r="GD83" s="1"/>
      <c r="GE83" s="1"/>
      <c r="GF83" s="1"/>
      <c r="GG83" s="1"/>
      <c r="GH83" s="1"/>
      <c r="GI83" s="1"/>
      <c r="GJ83" s="1"/>
      <c r="GK83" s="1"/>
      <c r="GL83" s="1"/>
      <c r="GM83" s="1"/>
      <c r="GN83" s="1"/>
      <c r="GO83" s="1"/>
      <c r="GP83" s="1"/>
      <c r="GQ83" s="1"/>
      <c r="GR83" s="1"/>
      <c r="GS83" s="1"/>
      <c r="GT83" s="1"/>
      <c r="GU83" s="1"/>
      <c r="GV83" s="1"/>
      <c r="GW83" s="1"/>
      <c r="GX83" s="1"/>
      <c r="GY83" s="1"/>
      <c r="GZ83" s="1"/>
      <c r="HA83" s="1"/>
      <c r="HB83" s="1"/>
      <c r="HC83" s="1"/>
      <c r="HD83" s="1"/>
      <c r="HE83" s="1"/>
      <c r="HF83" s="1"/>
      <c r="HG83" s="1"/>
      <c r="HH83" s="1"/>
      <c r="HI83" s="1"/>
      <c r="HJ83" s="1"/>
      <c r="HK83" s="1"/>
      <c r="HL83" s="1"/>
      <c r="HM83" s="1"/>
      <c r="HN83" s="1"/>
      <c r="HO83" s="1"/>
      <c r="HP83" s="1"/>
      <c r="HQ83" s="1"/>
      <c r="HR83" s="1"/>
      <c r="HS83" s="1"/>
      <c r="HT83" s="1"/>
      <c r="HU83" s="1"/>
      <c r="HV83" s="1"/>
      <c r="HW83" s="1"/>
      <c r="HX83" s="1"/>
      <c r="HY83" s="1"/>
      <c r="HZ83" s="1"/>
      <c r="IA83" s="1"/>
      <c r="IB83" s="1"/>
      <c r="IC83" s="1"/>
      <c r="ID83" s="1"/>
      <c r="IE83" s="1"/>
      <c r="IF83" s="1"/>
      <c r="IG83" s="1"/>
      <c r="IH83" s="1"/>
      <c r="II83" s="1"/>
      <c r="IJ83" s="1"/>
      <c r="IK83" s="1"/>
      <c r="IL83" s="1"/>
      <c r="IM83" s="1"/>
      <c r="IN83" s="1"/>
      <c r="IO83" s="1"/>
      <c r="IP83" s="1"/>
      <c r="IQ83" s="1"/>
      <c r="IR83" s="1"/>
      <c r="IS83" s="1"/>
      <c r="IT83" s="1"/>
      <c r="IU83" s="1"/>
      <c r="IV83" s="1"/>
      <c r="IW83" s="1"/>
      <c r="IX83" s="1"/>
      <c r="IY83" s="1"/>
      <c r="IZ83" s="1"/>
      <c r="JA83" s="1"/>
      <c r="JB83" s="1"/>
      <c r="JC83" s="1"/>
      <c r="JD83" s="1"/>
      <c r="JE83" s="1"/>
      <c r="JF83" s="1"/>
      <c r="JG83" s="1"/>
      <c r="JH83" s="1"/>
      <c r="JI83" s="1"/>
      <c r="JJ83" s="1"/>
      <c r="JK83" s="1"/>
      <c r="JL83" s="1"/>
      <c r="JM83" s="1"/>
      <c r="JN83" s="1"/>
      <c r="JO83" s="1"/>
      <c r="JP83" s="1"/>
      <c r="JQ83" s="1"/>
      <c r="JR83" s="1"/>
      <c r="JS83" s="1"/>
      <c r="JT83" s="1"/>
      <c r="JU83" s="1"/>
      <c r="JV83" s="1"/>
      <c r="JW83" s="1"/>
      <c r="JX83" s="1"/>
      <c r="JY83" s="1"/>
      <c r="JZ83" s="1"/>
      <c r="KA83" s="1"/>
      <c r="KB83" s="1"/>
      <c r="KC83" s="1"/>
      <c r="KD83" s="1"/>
      <c r="KE83" s="1"/>
      <c r="KF83" s="1"/>
      <c r="KG83" s="1"/>
      <c r="KH83" s="1"/>
      <c r="KI83" s="1"/>
      <c r="KJ83" s="1"/>
      <c r="KK83" s="1"/>
      <c r="KL83" s="1"/>
      <c r="KM83" s="1"/>
      <c r="KN83" s="1"/>
      <c r="KO83" s="1"/>
      <c r="KP83" s="1"/>
      <c r="KQ83" s="1"/>
      <c r="KR83" s="1"/>
      <c r="KS83" s="1"/>
      <c r="KT83" s="1"/>
      <c r="KU83" s="1"/>
      <c r="KV83" s="1"/>
      <c r="KW83" s="1"/>
      <c r="KX83" s="1"/>
      <c r="KY83" s="1"/>
      <c r="KZ83" s="1"/>
      <c r="LA83" s="1"/>
      <c r="LB83" s="1"/>
      <c r="LC83" s="1"/>
      <c r="LD83" s="1"/>
      <c r="LE83" s="1"/>
      <c r="LF83" s="1"/>
      <c r="LG83" s="1"/>
      <c r="LH83" s="1"/>
      <c r="LI83" s="1"/>
      <c r="LJ83" s="1"/>
      <c r="LK83" s="1"/>
      <c r="LL83" s="1"/>
      <c r="LM83" s="1"/>
      <c r="LN83" s="1"/>
      <c r="LO83" s="1"/>
      <c r="LP83" s="1"/>
      <c r="LQ83" s="1"/>
      <c r="LR83" s="1"/>
      <c r="LS83" s="1"/>
    </row>
    <row r="84" spans="1:331" s="72" customFormat="1" x14ac:dyDescent="0.25">
      <c r="A84" s="72" t="s">
        <v>382</v>
      </c>
      <c r="B84" s="75" t="s">
        <v>382</v>
      </c>
      <c r="C84" s="94" t="s">
        <v>1647</v>
      </c>
      <c r="D84" s="72">
        <v>0</v>
      </c>
      <c r="H84" s="72" t="s">
        <v>383</v>
      </c>
      <c r="I84" s="72" t="s">
        <v>31</v>
      </c>
      <c r="J84" s="72" t="s">
        <v>383</v>
      </c>
      <c r="K84" s="72" t="s">
        <v>32</v>
      </c>
      <c r="L84" s="72">
        <v>0</v>
      </c>
      <c r="O84" s="72">
        <v>1</v>
      </c>
      <c r="P84" s="72" t="s">
        <v>384</v>
      </c>
      <c r="Q84" s="96"/>
      <c r="R84" s="96" t="s">
        <v>1792</v>
      </c>
      <c r="S84" s="72">
        <v>7</v>
      </c>
      <c r="U84" s="72">
        <v>8</v>
      </c>
      <c r="W84" s="96">
        <v>7</v>
      </c>
      <c r="X84" s="96"/>
      <c r="Y84" s="96"/>
      <c r="Z84" s="72">
        <v>14</v>
      </c>
      <c r="AA84" s="94" t="b">
        <v>1</v>
      </c>
      <c r="AB84" s="1"/>
      <c r="AC84" s="57" t="s">
        <v>1405</v>
      </c>
      <c r="AD84" s="1"/>
      <c r="AE84" s="57"/>
      <c r="AF84" s="1"/>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c r="BI84" s="1"/>
      <c r="BJ84" s="1"/>
      <c r="BK84" s="1"/>
      <c r="BL84" s="1"/>
      <c r="BM84" s="1"/>
      <c r="BN84" s="1"/>
      <c r="BO84" s="1"/>
      <c r="BP84" s="1"/>
      <c r="BQ84" s="1"/>
      <c r="BR84" s="1"/>
      <c r="BS84" s="1"/>
      <c r="BT84" s="1"/>
      <c r="BU84" s="1"/>
      <c r="BV84" s="1"/>
    </row>
    <row r="85" spans="1:331" s="25" customFormat="1" x14ac:dyDescent="0.25">
      <c r="A85" s="25" t="s">
        <v>385</v>
      </c>
      <c r="B85" s="29" t="s">
        <v>385</v>
      </c>
      <c r="C85" s="94" t="s">
        <v>1647</v>
      </c>
      <c r="D85" s="25">
        <v>0</v>
      </c>
      <c r="H85" s="25" t="s">
        <v>35</v>
      </c>
      <c r="I85" s="25" t="s">
        <v>386</v>
      </c>
      <c r="J85" s="25" t="s">
        <v>35</v>
      </c>
      <c r="K85" s="25" t="s">
        <v>1546</v>
      </c>
      <c r="L85" s="25">
        <v>0</v>
      </c>
      <c r="O85" s="25">
        <v>0</v>
      </c>
      <c r="Q85" s="96" t="s">
        <v>974</v>
      </c>
      <c r="R85" s="96"/>
      <c r="S85" s="25">
        <v>7</v>
      </c>
      <c r="U85" s="25">
        <v>6</v>
      </c>
      <c r="W85" s="96">
        <v>7</v>
      </c>
      <c r="X85" s="96"/>
      <c r="Y85" s="96"/>
      <c r="Z85" s="25">
        <v>5</v>
      </c>
      <c r="AA85" s="94" t="b">
        <v>1</v>
      </c>
      <c r="AB85" s="1"/>
      <c r="AC85" s="57" t="s">
        <v>1329</v>
      </c>
      <c r="AD85" s="1"/>
      <c r="AE85" s="57"/>
      <c r="AF85" s="1"/>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c r="BI85" s="1"/>
      <c r="BJ85" s="1"/>
      <c r="BK85" s="1"/>
      <c r="BL85" s="1"/>
      <c r="BM85" s="1"/>
      <c r="BN85" s="1"/>
      <c r="BO85" s="1"/>
      <c r="BP85" s="1"/>
      <c r="BQ85" s="1"/>
      <c r="BR85" s="1"/>
      <c r="BS85" s="1"/>
      <c r="BT85" s="1"/>
      <c r="BU85" s="1"/>
      <c r="BV85" s="1"/>
      <c r="BW85" s="1"/>
      <c r="BX85" s="1"/>
      <c r="BY85" s="1"/>
      <c r="BZ85" s="1"/>
      <c r="CA85" s="1"/>
      <c r="CB85" s="1"/>
      <c r="CC85" s="1"/>
      <c r="CD85" s="1"/>
      <c r="CE85" s="1"/>
      <c r="CF85" s="1"/>
      <c r="CG85" s="1"/>
      <c r="CH85" s="1"/>
      <c r="CI85" s="1"/>
      <c r="CJ85" s="1"/>
      <c r="CK85" s="1"/>
      <c r="CL85" s="1"/>
      <c r="CM85" s="1"/>
      <c r="CN85" s="1"/>
      <c r="CO85" s="1"/>
      <c r="CP85" s="1"/>
      <c r="CQ85" s="1"/>
      <c r="CR85" s="1"/>
      <c r="CS85" s="1"/>
      <c r="CT85" s="1"/>
      <c r="CU85" s="1"/>
      <c r="CV85" s="1"/>
      <c r="CW85" s="1"/>
      <c r="CX85" s="1"/>
      <c r="CY85" s="1"/>
      <c r="CZ85" s="1"/>
      <c r="DA85" s="1"/>
      <c r="DB85" s="1"/>
      <c r="DC85" s="1"/>
      <c r="DD85" s="1"/>
      <c r="DE85" s="1"/>
      <c r="DF85" s="1"/>
      <c r="DG85" s="1"/>
      <c r="DH85" s="1"/>
      <c r="DI85" s="1"/>
      <c r="DJ85" s="1"/>
      <c r="DK85" s="1"/>
      <c r="DL85" s="1"/>
      <c r="DM85" s="1"/>
      <c r="DN85" s="1"/>
      <c r="DO85" s="1"/>
      <c r="DP85" s="1"/>
      <c r="DQ85" s="1"/>
      <c r="DR85" s="1"/>
      <c r="DS85" s="1"/>
      <c r="DT85" s="1"/>
      <c r="DU85" s="1"/>
      <c r="DV85" s="1"/>
      <c r="DW85" s="1"/>
      <c r="DX85" s="1"/>
      <c r="DY85" s="1"/>
      <c r="DZ85" s="1"/>
      <c r="EA85" s="1"/>
      <c r="EB85" s="1"/>
      <c r="EC85" s="1"/>
      <c r="ED85" s="1"/>
      <c r="EE85" s="1"/>
      <c r="EF85" s="1"/>
      <c r="EG85" s="1"/>
      <c r="EH85" s="1"/>
      <c r="EI85" s="1"/>
      <c r="EJ85" s="1"/>
      <c r="EK85" s="1"/>
      <c r="EL85" s="1"/>
      <c r="EM85" s="1"/>
      <c r="EN85" s="1"/>
      <c r="EO85" s="1"/>
      <c r="EP85" s="1"/>
      <c r="EQ85" s="1"/>
      <c r="ER85" s="1"/>
      <c r="ES85" s="1"/>
      <c r="ET85" s="1"/>
      <c r="EU85" s="1"/>
      <c r="EV85" s="1"/>
      <c r="EW85" s="1"/>
      <c r="EX85" s="1"/>
      <c r="EY85" s="1"/>
      <c r="EZ85" s="1"/>
      <c r="FA85" s="1"/>
      <c r="FB85" s="1"/>
      <c r="FC85" s="1"/>
      <c r="FD85" s="1"/>
      <c r="FE85" s="1"/>
      <c r="FF85" s="1"/>
      <c r="FG85" s="1"/>
      <c r="FH85" s="1"/>
      <c r="FI85" s="1"/>
      <c r="FJ85" s="1"/>
      <c r="FK85" s="1"/>
      <c r="FL85" s="1"/>
      <c r="FM85" s="1"/>
      <c r="FN85" s="1"/>
      <c r="FO85" s="1"/>
      <c r="FP85" s="1"/>
      <c r="FQ85" s="1"/>
      <c r="FR85" s="1"/>
      <c r="FS85" s="1"/>
      <c r="FT85" s="1"/>
      <c r="FU85" s="1"/>
      <c r="FV85" s="1"/>
      <c r="FW85" s="1"/>
      <c r="FX85" s="1"/>
      <c r="FY85" s="1"/>
      <c r="FZ85" s="1"/>
      <c r="GA85" s="1"/>
      <c r="GB85" s="1"/>
      <c r="GC85" s="1"/>
      <c r="GD85" s="1"/>
      <c r="GE85" s="1"/>
      <c r="GF85" s="1"/>
      <c r="GG85" s="1"/>
      <c r="GH85" s="1"/>
      <c r="GI85" s="1"/>
      <c r="GJ85" s="1"/>
      <c r="GK85" s="1"/>
      <c r="GL85" s="1"/>
      <c r="GM85" s="1"/>
      <c r="GN85" s="1"/>
      <c r="GO85" s="1"/>
      <c r="GP85" s="1"/>
      <c r="GQ85" s="1"/>
      <c r="GR85" s="1"/>
      <c r="GS85" s="1"/>
      <c r="GT85" s="1"/>
      <c r="GU85" s="1"/>
      <c r="GV85" s="1"/>
      <c r="GW85" s="1"/>
      <c r="GX85" s="1"/>
      <c r="GY85" s="1"/>
      <c r="GZ85" s="1"/>
      <c r="HA85" s="1"/>
      <c r="HB85" s="1"/>
      <c r="HC85" s="1"/>
      <c r="HD85" s="1"/>
      <c r="HE85" s="1"/>
      <c r="HF85" s="1"/>
      <c r="HG85" s="1"/>
      <c r="HH85" s="1"/>
      <c r="HI85" s="1"/>
      <c r="HJ85" s="1"/>
      <c r="HK85" s="1"/>
      <c r="HL85" s="1"/>
      <c r="HM85" s="1"/>
      <c r="HN85" s="1"/>
      <c r="HO85" s="1"/>
      <c r="HP85" s="1"/>
      <c r="HQ85" s="1"/>
      <c r="HR85" s="1"/>
      <c r="HS85" s="1"/>
      <c r="HT85" s="1"/>
      <c r="HU85" s="1"/>
      <c r="HV85" s="1"/>
      <c r="HW85" s="1"/>
      <c r="HX85" s="1"/>
      <c r="HY85" s="1"/>
      <c r="HZ85" s="1"/>
      <c r="IA85" s="1"/>
      <c r="IB85" s="1"/>
      <c r="IC85" s="1"/>
      <c r="ID85" s="1"/>
      <c r="IE85" s="1"/>
      <c r="IF85" s="1"/>
      <c r="IG85" s="1"/>
      <c r="IH85" s="1"/>
      <c r="II85" s="1"/>
      <c r="IJ85" s="1"/>
      <c r="IK85" s="1"/>
      <c r="IL85" s="1"/>
      <c r="IM85" s="1"/>
      <c r="IN85" s="1"/>
      <c r="IO85" s="1"/>
      <c r="IP85" s="1"/>
      <c r="IQ85" s="1"/>
      <c r="IR85" s="1"/>
      <c r="IS85" s="1"/>
      <c r="IT85" s="1"/>
      <c r="IU85" s="1"/>
      <c r="IV85" s="1"/>
      <c r="IW85" s="1"/>
      <c r="IX85" s="1"/>
      <c r="IY85" s="1"/>
      <c r="IZ85" s="1"/>
      <c r="JA85" s="1"/>
      <c r="JB85" s="1"/>
      <c r="JC85" s="1"/>
      <c r="JD85" s="1"/>
      <c r="JE85" s="1"/>
      <c r="JF85" s="1"/>
      <c r="JG85" s="1"/>
      <c r="JH85" s="1"/>
      <c r="JI85" s="1"/>
      <c r="JJ85" s="1"/>
      <c r="JK85" s="1"/>
      <c r="JL85" s="1"/>
      <c r="JM85" s="1"/>
      <c r="JN85" s="1"/>
      <c r="JO85" s="1"/>
      <c r="JP85" s="1"/>
      <c r="JQ85" s="1"/>
      <c r="JR85" s="1"/>
      <c r="JS85" s="1"/>
      <c r="JT85" s="1"/>
      <c r="JU85" s="1"/>
      <c r="JV85" s="1"/>
      <c r="JW85" s="1"/>
      <c r="JX85" s="1"/>
      <c r="JY85" s="1"/>
      <c r="JZ85" s="1"/>
      <c r="KA85" s="1"/>
      <c r="KB85" s="1"/>
      <c r="KC85" s="1"/>
      <c r="KD85" s="1"/>
      <c r="KE85" s="1"/>
      <c r="KF85" s="1"/>
      <c r="KG85" s="1"/>
      <c r="KH85" s="1"/>
      <c r="KI85" s="1"/>
      <c r="KJ85" s="1"/>
      <c r="KK85" s="1"/>
      <c r="KL85" s="1"/>
      <c r="KM85" s="1"/>
      <c r="KN85" s="1"/>
      <c r="KO85" s="1"/>
      <c r="KP85" s="1"/>
      <c r="KQ85" s="1"/>
      <c r="KR85" s="1"/>
      <c r="KS85" s="1"/>
      <c r="KT85" s="1"/>
      <c r="KU85" s="1"/>
      <c r="KV85" s="1"/>
      <c r="KW85" s="1"/>
      <c r="KX85" s="1"/>
      <c r="KY85" s="1"/>
      <c r="KZ85" s="1"/>
      <c r="LA85" s="1"/>
      <c r="LB85" s="1"/>
      <c r="LC85" s="1"/>
      <c r="LD85" s="1"/>
      <c r="LE85" s="1"/>
      <c r="LF85" s="1"/>
      <c r="LG85" s="1"/>
      <c r="LH85" s="1"/>
      <c r="LI85" s="1"/>
      <c r="LJ85" s="1"/>
      <c r="LK85" s="1"/>
      <c r="LL85" s="1"/>
      <c r="LM85" s="1"/>
      <c r="LN85" s="1"/>
      <c r="LO85" s="1"/>
      <c r="LP85" s="1"/>
      <c r="LQ85" s="1"/>
      <c r="LR85" s="1"/>
      <c r="LS85" s="1"/>
    </row>
    <row r="86" spans="1:331" s="30" customFormat="1" x14ac:dyDescent="0.25">
      <c r="A86" s="30" t="s">
        <v>387</v>
      </c>
      <c r="B86" s="30" t="s">
        <v>387</v>
      </c>
      <c r="C86" s="96" t="s">
        <v>1647</v>
      </c>
      <c r="D86" s="30">
        <v>1</v>
      </c>
      <c r="H86" s="30" t="s">
        <v>388</v>
      </c>
      <c r="I86" s="30" t="s">
        <v>389</v>
      </c>
      <c r="J86" s="30" t="s">
        <v>388</v>
      </c>
      <c r="K86" s="30" t="s">
        <v>1667</v>
      </c>
      <c r="L86" s="30">
        <v>0</v>
      </c>
      <c r="O86" s="30">
        <v>0</v>
      </c>
      <c r="Q86" s="96" t="s">
        <v>1514</v>
      </c>
      <c r="R86" s="96"/>
      <c r="T86" s="30">
        <v>16</v>
      </c>
      <c r="W86" s="96">
        <v>16</v>
      </c>
      <c r="X86" s="96"/>
      <c r="Y86" s="96"/>
      <c r="Z86" s="30">
        <v>6</v>
      </c>
      <c r="AA86" s="94" t="b">
        <v>1</v>
      </c>
      <c r="AB86" s="1" t="s">
        <v>1890</v>
      </c>
      <c r="AC86" s="57" t="s">
        <v>1924</v>
      </c>
      <c r="AD86" s="1"/>
      <c r="AE86" s="57"/>
      <c r="AF86" s="1"/>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
      <c r="BI86" s="1"/>
      <c r="BJ86" s="1"/>
      <c r="BK86" s="1"/>
      <c r="BL86" s="1"/>
      <c r="BM86" s="1"/>
      <c r="BN86" s="1"/>
      <c r="BO86" s="1"/>
      <c r="BP86" s="1"/>
      <c r="BQ86" s="1"/>
      <c r="BR86" s="1"/>
      <c r="BS86" s="1"/>
      <c r="BT86" s="1"/>
      <c r="BU86" s="1"/>
      <c r="BV86" s="1"/>
      <c r="BW86" s="1"/>
      <c r="BX86" s="1"/>
      <c r="BY86" s="1"/>
      <c r="BZ86" s="1"/>
      <c r="CA86" s="1"/>
      <c r="CB86" s="1"/>
      <c r="CC86" s="1"/>
      <c r="CD86" s="1"/>
      <c r="CE86" s="1"/>
      <c r="CF86" s="1"/>
      <c r="CG86" s="1"/>
      <c r="CH86" s="1"/>
      <c r="CI86" s="1"/>
      <c r="CJ86" s="1"/>
      <c r="CK86" s="1"/>
      <c r="CL86" s="1"/>
      <c r="CM86" s="1"/>
      <c r="CN86" s="1"/>
      <c r="CO86" s="1"/>
      <c r="CP86" s="1"/>
      <c r="CQ86" s="1"/>
      <c r="CR86" s="1"/>
      <c r="CS86" s="1"/>
      <c r="CT86" s="1"/>
      <c r="CU86" s="1"/>
      <c r="CV86" s="1"/>
      <c r="CW86" s="1"/>
      <c r="CX86" s="1"/>
      <c r="CY86" s="1"/>
      <c r="CZ86" s="1"/>
      <c r="DA86" s="1"/>
      <c r="DB86" s="1"/>
      <c r="DC86" s="1"/>
      <c r="DD86" s="1"/>
      <c r="DE86" s="1"/>
      <c r="DF86" s="1"/>
      <c r="DG86" s="1"/>
      <c r="DH86" s="1"/>
      <c r="DI86" s="1"/>
      <c r="DJ86" s="1"/>
      <c r="DK86" s="1"/>
      <c r="DL86" s="1"/>
      <c r="DM86" s="1"/>
      <c r="DN86" s="1"/>
      <c r="DO86" s="1"/>
      <c r="DP86" s="1"/>
      <c r="DQ86" s="1"/>
      <c r="DR86" s="1"/>
      <c r="DS86" s="1"/>
      <c r="DT86" s="1"/>
      <c r="DU86" s="1"/>
      <c r="DV86" s="1"/>
      <c r="DW86" s="1"/>
      <c r="DX86" s="1"/>
      <c r="DY86" s="1"/>
      <c r="DZ86" s="1"/>
      <c r="EA86" s="1"/>
      <c r="EB86" s="1"/>
      <c r="EC86" s="1"/>
      <c r="ED86" s="1"/>
      <c r="EE86" s="1"/>
      <c r="EF86" s="1"/>
      <c r="EG86" s="1"/>
      <c r="EH86" s="1"/>
      <c r="EI86" s="1"/>
      <c r="EJ86" s="1"/>
      <c r="EK86" s="1"/>
      <c r="EL86" s="1"/>
      <c r="EM86" s="1"/>
      <c r="EN86" s="1"/>
      <c r="EO86" s="1"/>
      <c r="EP86" s="1"/>
      <c r="EQ86" s="1"/>
      <c r="ER86" s="1"/>
      <c r="ES86" s="1"/>
      <c r="ET86" s="1"/>
      <c r="EU86" s="1"/>
      <c r="EV86" s="1"/>
      <c r="EW86" s="1"/>
      <c r="EX86" s="1"/>
      <c r="EY86" s="1"/>
      <c r="EZ86" s="1"/>
      <c r="FA86" s="1"/>
      <c r="FB86" s="1"/>
      <c r="FC86" s="1"/>
      <c r="FD86" s="1"/>
      <c r="FE86" s="1"/>
      <c r="FF86" s="1"/>
      <c r="FG86" s="1"/>
      <c r="FH86" s="1"/>
      <c r="FI86" s="1"/>
      <c r="FJ86" s="1"/>
      <c r="FK86" s="1"/>
      <c r="FL86" s="1"/>
      <c r="FM86" s="1"/>
      <c r="FN86" s="1"/>
      <c r="FO86" s="1"/>
      <c r="FP86" s="1"/>
      <c r="FQ86" s="1"/>
      <c r="FR86" s="1"/>
      <c r="FS86" s="1"/>
      <c r="FT86" s="1"/>
      <c r="FU86" s="1"/>
      <c r="FV86" s="1"/>
      <c r="FW86" s="1"/>
      <c r="FX86" s="1"/>
      <c r="FY86" s="1"/>
      <c r="FZ86" s="1"/>
      <c r="GA86" s="1"/>
      <c r="GB86" s="1"/>
      <c r="GC86" s="1"/>
      <c r="GD86" s="1"/>
      <c r="GE86" s="1"/>
      <c r="GF86" s="1"/>
      <c r="GG86" s="1"/>
      <c r="GH86" s="1"/>
      <c r="GI86" s="1"/>
      <c r="GJ86" s="1"/>
      <c r="GK86" s="1"/>
      <c r="GL86" s="1"/>
      <c r="GM86" s="1"/>
      <c r="GN86" s="1"/>
      <c r="GO86" s="1"/>
      <c r="GP86" s="1"/>
      <c r="GQ86" s="1"/>
      <c r="GR86" s="1"/>
      <c r="GS86" s="1"/>
      <c r="GT86" s="1"/>
      <c r="GU86" s="1"/>
      <c r="GV86" s="1"/>
      <c r="GW86" s="1"/>
      <c r="GX86" s="1"/>
      <c r="GY86" s="1"/>
      <c r="GZ86" s="1"/>
      <c r="HA86" s="1"/>
      <c r="HB86" s="1"/>
      <c r="HC86" s="1"/>
      <c r="HD86" s="1"/>
      <c r="HE86" s="1"/>
      <c r="HF86" s="1"/>
      <c r="HG86" s="1"/>
      <c r="HH86" s="1"/>
      <c r="HI86" s="1"/>
      <c r="HJ86" s="1"/>
      <c r="HK86" s="1"/>
      <c r="HL86" s="1"/>
      <c r="HM86" s="1"/>
      <c r="HN86" s="1"/>
      <c r="HO86" s="1"/>
      <c r="HP86" s="1"/>
      <c r="HQ86" s="1"/>
      <c r="HR86" s="1"/>
      <c r="HS86" s="1"/>
      <c r="HT86" s="1"/>
      <c r="HU86" s="1"/>
      <c r="HV86" s="1"/>
      <c r="HW86" s="1"/>
      <c r="HX86" s="1"/>
      <c r="HY86" s="1"/>
      <c r="HZ86" s="1"/>
      <c r="IA86" s="1"/>
      <c r="IB86" s="1"/>
      <c r="IC86" s="1"/>
      <c r="ID86" s="1"/>
      <c r="IE86" s="1"/>
      <c r="IF86" s="1"/>
      <c r="IG86" s="1"/>
      <c r="IH86" s="1"/>
      <c r="II86" s="1"/>
      <c r="IJ86" s="1"/>
      <c r="IK86" s="1"/>
      <c r="IL86" s="1"/>
      <c r="IM86" s="1"/>
      <c r="IN86" s="1"/>
      <c r="IO86" s="1"/>
      <c r="IP86" s="1"/>
      <c r="IQ86" s="1"/>
      <c r="IR86" s="1"/>
      <c r="IS86" s="1"/>
      <c r="IT86" s="1"/>
      <c r="IU86" s="1"/>
      <c r="IV86" s="1"/>
      <c r="IW86" s="1"/>
      <c r="IX86" s="1"/>
      <c r="IY86" s="1"/>
      <c r="IZ86" s="1"/>
      <c r="JA86" s="1"/>
      <c r="JB86" s="1"/>
      <c r="JC86" s="1"/>
      <c r="JD86" s="1"/>
      <c r="JE86" s="1"/>
      <c r="JF86" s="1"/>
      <c r="JG86" s="1"/>
      <c r="JH86" s="1"/>
      <c r="JI86" s="1"/>
      <c r="JJ86" s="1"/>
      <c r="JK86" s="1"/>
      <c r="JL86" s="1"/>
      <c r="JM86" s="1"/>
      <c r="JN86" s="1"/>
      <c r="JO86" s="1"/>
      <c r="JP86" s="1"/>
      <c r="JQ86" s="1"/>
      <c r="JR86" s="1"/>
      <c r="JS86" s="1"/>
      <c r="JT86" s="1"/>
      <c r="JU86" s="1"/>
      <c r="JV86" s="1"/>
      <c r="JW86" s="1"/>
      <c r="JX86" s="1"/>
      <c r="JY86" s="1"/>
      <c r="JZ86" s="1"/>
      <c r="KA86" s="1"/>
      <c r="KB86" s="1"/>
      <c r="KC86" s="1"/>
      <c r="KD86" s="1"/>
      <c r="KE86" s="1"/>
      <c r="KF86" s="1"/>
      <c r="KG86" s="1"/>
      <c r="KH86" s="1"/>
      <c r="KI86" s="1"/>
      <c r="KJ86" s="1"/>
      <c r="KK86" s="1"/>
      <c r="KL86" s="1"/>
      <c r="KM86" s="1"/>
      <c r="KN86" s="1"/>
      <c r="KO86" s="1"/>
      <c r="KP86" s="1"/>
      <c r="KQ86" s="1"/>
      <c r="KR86" s="1"/>
      <c r="KS86" s="1"/>
      <c r="KT86" s="1"/>
      <c r="KU86" s="1"/>
      <c r="KV86" s="1"/>
      <c r="KW86" s="1"/>
      <c r="KX86" s="1"/>
      <c r="KY86" s="1"/>
      <c r="KZ86" s="1"/>
      <c r="LA86" s="1"/>
      <c r="LB86" s="1"/>
      <c r="LC86" s="1"/>
      <c r="LD86" s="1"/>
      <c r="LE86" s="1"/>
      <c r="LF86" s="1"/>
      <c r="LG86" s="1"/>
      <c r="LH86" s="1"/>
      <c r="LI86" s="1"/>
      <c r="LJ86" s="1"/>
      <c r="LK86" s="1"/>
      <c r="LL86" s="1"/>
      <c r="LM86" s="1"/>
      <c r="LN86" s="1"/>
      <c r="LO86" s="1"/>
      <c r="LP86" s="1"/>
      <c r="LQ86" s="1"/>
      <c r="LR86" s="1"/>
      <c r="LS86" s="1"/>
    </row>
    <row r="87" spans="1:331" s="25" customFormat="1" x14ac:dyDescent="0.25">
      <c r="A87" s="25" t="s">
        <v>390</v>
      </c>
      <c r="B87" s="29" t="s">
        <v>390</v>
      </c>
      <c r="C87" s="94" t="s">
        <v>1647</v>
      </c>
      <c r="D87" s="25">
        <v>0</v>
      </c>
      <c r="H87" s="25" t="s">
        <v>391</v>
      </c>
      <c r="I87" s="25" t="s">
        <v>392</v>
      </c>
      <c r="J87" s="25" t="s">
        <v>391</v>
      </c>
      <c r="K87" s="25" t="s">
        <v>1668</v>
      </c>
      <c r="L87" s="25">
        <v>0</v>
      </c>
      <c r="O87" s="25">
        <v>0</v>
      </c>
      <c r="Q87" s="96" t="s">
        <v>1523</v>
      </c>
      <c r="R87" s="96"/>
      <c r="S87" s="25">
        <v>7</v>
      </c>
      <c r="U87" s="25">
        <v>8</v>
      </c>
      <c r="W87" s="96">
        <v>7</v>
      </c>
      <c r="X87" s="96"/>
      <c r="Y87" s="96"/>
      <c r="Z87" s="25">
        <v>5</v>
      </c>
      <c r="AA87" s="94" t="b">
        <v>1</v>
      </c>
      <c r="AB87" s="1"/>
      <c r="AC87" s="57" t="s">
        <v>1330</v>
      </c>
      <c r="AD87" s="1"/>
      <c r="AE87" s="57"/>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c r="BI87" s="1"/>
      <c r="BJ87" s="1"/>
      <c r="BK87" s="1"/>
      <c r="BL87" s="1"/>
      <c r="BM87" s="1"/>
      <c r="BN87" s="1"/>
      <c r="BO87" s="1"/>
      <c r="BP87" s="1"/>
      <c r="BQ87" s="1"/>
      <c r="BR87" s="1"/>
      <c r="BS87" s="1"/>
      <c r="BT87" s="1"/>
      <c r="BU87" s="1"/>
      <c r="BV87" s="1"/>
      <c r="BW87" s="1"/>
      <c r="BX87" s="1"/>
      <c r="BY87" s="1"/>
      <c r="BZ87" s="1"/>
      <c r="CA87" s="1"/>
      <c r="CB87" s="1"/>
      <c r="CC87" s="1"/>
      <c r="CD87" s="1"/>
      <c r="CE87" s="1"/>
      <c r="CF87" s="1"/>
      <c r="CG87" s="1"/>
      <c r="CH87" s="1"/>
      <c r="CI87" s="1"/>
      <c r="CJ87" s="1"/>
      <c r="CK87" s="1"/>
      <c r="CL87" s="1"/>
      <c r="CM87" s="1"/>
      <c r="CN87" s="1"/>
      <c r="CO87" s="1"/>
      <c r="CP87" s="1"/>
      <c r="CQ87" s="1"/>
      <c r="CR87" s="1"/>
      <c r="CS87" s="1"/>
      <c r="CT87" s="1"/>
      <c r="CU87" s="1"/>
      <c r="CV87" s="1"/>
      <c r="CW87" s="1"/>
      <c r="CX87" s="1"/>
      <c r="CY87" s="1"/>
      <c r="CZ87" s="1"/>
      <c r="DA87" s="1"/>
      <c r="DB87" s="1"/>
      <c r="DC87" s="1"/>
      <c r="DD87" s="1"/>
      <c r="DE87" s="1"/>
      <c r="DF87" s="1"/>
      <c r="DG87" s="1"/>
      <c r="DH87" s="1"/>
      <c r="DI87" s="1"/>
      <c r="DJ87" s="1"/>
      <c r="DK87" s="1"/>
      <c r="DL87" s="1"/>
      <c r="DM87" s="1"/>
      <c r="DN87" s="1"/>
      <c r="DO87" s="1"/>
      <c r="DP87" s="1"/>
      <c r="DQ87" s="1"/>
      <c r="DR87" s="1"/>
      <c r="DS87" s="1"/>
      <c r="DT87" s="1"/>
      <c r="DU87" s="1"/>
      <c r="DV87" s="1"/>
      <c r="DW87" s="1"/>
      <c r="DX87" s="1"/>
      <c r="DY87" s="1"/>
      <c r="DZ87" s="1"/>
      <c r="EA87" s="1"/>
      <c r="EB87" s="1"/>
      <c r="EC87" s="1"/>
      <c r="ED87" s="1"/>
      <c r="EE87" s="1"/>
      <c r="EF87" s="1"/>
      <c r="EG87" s="1"/>
      <c r="EH87" s="1"/>
      <c r="EI87" s="1"/>
      <c r="EJ87" s="1"/>
      <c r="EK87" s="1"/>
      <c r="EL87" s="1"/>
      <c r="EM87" s="1"/>
      <c r="EN87" s="1"/>
      <c r="EO87" s="1"/>
      <c r="EP87" s="1"/>
      <c r="EQ87" s="1"/>
      <c r="ER87" s="1"/>
      <c r="ES87" s="1"/>
      <c r="ET87" s="1"/>
      <c r="EU87" s="1"/>
      <c r="EV87" s="1"/>
      <c r="EW87" s="1"/>
      <c r="EX87" s="1"/>
      <c r="EY87" s="1"/>
      <c r="EZ87" s="1"/>
      <c r="FA87" s="1"/>
      <c r="FB87" s="1"/>
      <c r="FC87" s="1"/>
      <c r="FD87" s="1"/>
      <c r="FE87" s="1"/>
      <c r="FF87" s="1"/>
      <c r="FG87" s="1"/>
      <c r="FH87" s="1"/>
      <c r="FI87" s="1"/>
      <c r="FJ87" s="1"/>
      <c r="FK87" s="1"/>
      <c r="FL87" s="1"/>
      <c r="FM87" s="1"/>
      <c r="FN87" s="1"/>
      <c r="FO87" s="1"/>
      <c r="FP87" s="1"/>
      <c r="FQ87" s="1"/>
      <c r="FR87" s="1"/>
      <c r="FS87" s="1"/>
      <c r="FT87" s="1"/>
      <c r="FU87" s="1"/>
      <c r="FV87" s="1"/>
      <c r="FW87" s="1"/>
      <c r="FX87" s="1"/>
      <c r="FY87" s="1"/>
      <c r="FZ87" s="1"/>
      <c r="GA87" s="1"/>
      <c r="GB87" s="1"/>
      <c r="GC87" s="1"/>
      <c r="GD87" s="1"/>
      <c r="GE87" s="1"/>
      <c r="GF87" s="1"/>
      <c r="GG87" s="1"/>
      <c r="GH87" s="1"/>
      <c r="GI87" s="1"/>
      <c r="GJ87" s="1"/>
      <c r="GK87" s="1"/>
      <c r="GL87" s="1"/>
      <c r="GM87" s="1"/>
      <c r="GN87" s="1"/>
      <c r="GO87" s="1"/>
      <c r="GP87" s="1"/>
      <c r="GQ87" s="1"/>
      <c r="GR87" s="1"/>
      <c r="GS87" s="1"/>
      <c r="GT87" s="1"/>
      <c r="GU87" s="1"/>
      <c r="GV87" s="1"/>
      <c r="GW87" s="1"/>
      <c r="GX87" s="1"/>
      <c r="GY87" s="1"/>
      <c r="GZ87" s="1"/>
      <c r="HA87" s="1"/>
      <c r="HB87" s="1"/>
      <c r="HC87" s="1"/>
      <c r="HD87" s="1"/>
      <c r="HE87" s="1"/>
      <c r="HF87" s="1"/>
      <c r="HG87" s="1"/>
      <c r="HH87" s="1"/>
      <c r="HI87" s="1"/>
      <c r="HJ87" s="1"/>
      <c r="HK87" s="1"/>
      <c r="HL87" s="1"/>
      <c r="HM87" s="1"/>
      <c r="HN87" s="1"/>
      <c r="HO87" s="1"/>
      <c r="HP87" s="1"/>
      <c r="HQ87" s="1"/>
      <c r="HR87" s="1"/>
      <c r="HS87" s="1"/>
      <c r="HT87" s="1"/>
      <c r="HU87" s="1"/>
      <c r="HV87" s="1"/>
      <c r="HW87" s="1"/>
      <c r="HX87" s="1"/>
      <c r="HY87" s="1"/>
      <c r="HZ87" s="1"/>
      <c r="IA87" s="1"/>
      <c r="IB87" s="1"/>
      <c r="IC87" s="1"/>
      <c r="ID87" s="1"/>
      <c r="IE87" s="1"/>
      <c r="IF87" s="1"/>
      <c r="IG87" s="1"/>
      <c r="IH87" s="1"/>
      <c r="II87" s="1"/>
      <c r="IJ87" s="1"/>
      <c r="IK87" s="1"/>
      <c r="IL87" s="1"/>
      <c r="IM87" s="1"/>
      <c r="IN87" s="1"/>
      <c r="IO87" s="1"/>
      <c r="IP87" s="1"/>
      <c r="IQ87" s="1"/>
      <c r="IR87" s="1"/>
      <c r="IS87" s="1"/>
      <c r="IT87" s="1"/>
      <c r="IU87" s="1"/>
      <c r="IV87" s="1"/>
      <c r="IW87" s="1"/>
      <c r="IX87" s="1"/>
      <c r="IY87" s="1"/>
      <c r="IZ87" s="1"/>
      <c r="JA87" s="1"/>
      <c r="JB87" s="1"/>
      <c r="JC87" s="1"/>
      <c r="JD87" s="1"/>
      <c r="JE87" s="1"/>
      <c r="JF87" s="1"/>
      <c r="JG87" s="1"/>
      <c r="JH87" s="1"/>
      <c r="JI87" s="1"/>
      <c r="JJ87" s="1"/>
      <c r="JK87" s="1"/>
      <c r="JL87" s="1"/>
      <c r="JM87" s="1"/>
      <c r="JN87" s="1"/>
      <c r="JO87" s="1"/>
      <c r="JP87" s="1"/>
      <c r="JQ87" s="1"/>
      <c r="JR87" s="1"/>
      <c r="JS87" s="1"/>
      <c r="JT87" s="1"/>
      <c r="JU87" s="1"/>
      <c r="JV87" s="1"/>
      <c r="JW87" s="1"/>
      <c r="JX87" s="1"/>
      <c r="JY87" s="1"/>
      <c r="JZ87" s="1"/>
      <c r="KA87" s="1"/>
      <c r="KB87" s="1"/>
      <c r="KC87" s="1"/>
      <c r="KD87" s="1"/>
      <c r="KE87" s="1"/>
      <c r="KF87" s="1"/>
      <c r="KG87" s="1"/>
      <c r="KH87" s="1"/>
      <c r="KI87" s="1"/>
      <c r="KJ87" s="1"/>
      <c r="KK87" s="1"/>
      <c r="KL87" s="1"/>
      <c r="KM87" s="1"/>
      <c r="KN87" s="1"/>
      <c r="KO87" s="1"/>
      <c r="KP87" s="1"/>
      <c r="KQ87" s="1"/>
      <c r="KR87" s="1"/>
      <c r="KS87" s="1"/>
      <c r="KT87" s="1"/>
      <c r="KU87" s="1"/>
      <c r="KV87" s="1"/>
      <c r="KW87" s="1"/>
      <c r="KX87" s="1"/>
      <c r="KY87" s="1"/>
      <c r="KZ87" s="1"/>
      <c r="LA87" s="1"/>
      <c r="LB87" s="1"/>
      <c r="LC87" s="1"/>
      <c r="LD87" s="1"/>
      <c r="LE87" s="1"/>
      <c r="LF87" s="1"/>
      <c r="LG87" s="1"/>
      <c r="LH87" s="1"/>
      <c r="LI87" s="1"/>
      <c r="LJ87" s="1"/>
      <c r="LK87" s="1"/>
      <c r="LL87" s="1"/>
      <c r="LM87" s="1"/>
      <c r="LN87" s="1"/>
      <c r="LO87" s="1"/>
      <c r="LP87" s="1"/>
      <c r="LQ87" s="1"/>
      <c r="LR87" s="1"/>
      <c r="LS87" s="1"/>
    </row>
    <row r="88" spans="1:331" s="25" customFormat="1" x14ac:dyDescent="0.25">
      <c r="A88" s="25" t="s">
        <v>393</v>
      </c>
      <c r="B88" s="25" t="s">
        <v>394</v>
      </c>
      <c r="C88" s="96" t="s">
        <v>1647</v>
      </c>
      <c r="D88" s="25">
        <v>0</v>
      </c>
      <c r="H88" s="25" t="s">
        <v>39</v>
      </c>
      <c r="I88" s="25" t="s">
        <v>395</v>
      </c>
      <c r="J88" s="25" t="s">
        <v>39</v>
      </c>
      <c r="K88" s="25" t="s">
        <v>395</v>
      </c>
      <c r="L88" s="25">
        <v>0</v>
      </c>
      <c r="O88" s="25">
        <v>0</v>
      </c>
      <c r="Q88" s="96" t="s">
        <v>1524</v>
      </c>
      <c r="R88" s="96"/>
      <c r="T88" s="25">
        <v>12</v>
      </c>
      <c r="V88" s="25">
        <v>12</v>
      </c>
      <c r="W88" s="96">
        <v>12</v>
      </c>
      <c r="X88" s="96"/>
      <c r="Y88" s="96"/>
      <c r="Z88" s="25">
        <v>5</v>
      </c>
      <c r="AA88" s="94" t="b">
        <v>1</v>
      </c>
      <c r="AB88" s="1"/>
      <c r="AC88" s="57" t="s">
        <v>1331</v>
      </c>
      <c r="AD88" s="1"/>
      <c r="AE88" s="57"/>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c r="BI88" s="1"/>
      <c r="BJ88" s="1"/>
      <c r="BK88" s="1"/>
      <c r="BL88" s="1"/>
      <c r="BM88" s="1"/>
      <c r="BN88" s="1"/>
      <c r="BO88" s="1"/>
      <c r="BP88" s="1"/>
      <c r="BQ88" s="1"/>
      <c r="BR88" s="1"/>
      <c r="BS88" s="1"/>
      <c r="BT88" s="1"/>
      <c r="BU88" s="1"/>
      <c r="BV88" s="1"/>
      <c r="BW88" s="1"/>
      <c r="BX88" s="1"/>
      <c r="BY88" s="1"/>
      <c r="BZ88" s="1"/>
      <c r="CA88" s="1"/>
      <c r="CB88" s="1"/>
      <c r="CC88" s="1"/>
      <c r="CD88" s="1"/>
      <c r="CE88" s="1"/>
      <c r="CF88" s="1"/>
      <c r="CG88" s="1"/>
      <c r="CH88" s="1"/>
      <c r="CI88" s="1"/>
      <c r="CJ88" s="1"/>
      <c r="CK88" s="1"/>
      <c r="CL88" s="1"/>
      <c r="CM88" s="1"/>
      <c r="CN88" s="1"/>
      <c r="CO88" s="1"/>
      <c r="CP88" s="1"/>
      <c r="CQ88" s="1"/>
      <c r="CR88" s="1"/>
      <c r="CS88" s="1"/>
      <c r="CT88" s="1"/>
      <c r="CU88" s="1"/>
      <c r="CV88" s="1"/>
      <c r="CW88" s="1"/>
      <c r="CX88" s="1"/>
      <c r="CY88" s="1"/>
      <c r="CZ88" s="1"/>
      <c r="DA88" s="1"/>
      <c r="DB88" s="1"/>
      <c r="DC88" s="1"/>
      <c r="DD88" s="1"/>
      <c r="DE88" s="1"/>
      <c r="DF88" s="1"/>
      <c r="DG88" s="1"/>
      <c r="DH88" s="1"/>
      <c r="DI88" s="1"/>
      <c r="DJ88" s="1"/>
      <c r="DK88" s="1"/>
      <c r="DL88" s="1"/>
      <c r="DM88" s="1"/>
      <c r="DN88" s="1"/>
      <c r="DO88" s="1"/>
      <c r="DP88" s="1"/>
      <c r="DQ88" s="1"/>
      <c r="DR88" s="1"/>
      <c r="DS88" s="1"/>
      <c r="DT88" s="1"/>
      <c r="DU88" s="1"/>
      <c r="DV88" s="1"/>
      <c r="DW88" s="1"/>
      <c r="DX88" s="1"/>
      <c r="DY88" s="1"/>
      <c r="DZ88" s="1"/>
      <c r="EA88" s="1"/>
      <c r="EB88" s="1"/>
      <c r="EC88" s="1"/>
      <c r="ED88" s="1"/>
      <c r="EE88" s="1"/>
      <c r="EF88" s="1"/>
      <c r="EG88" s="1"/>
      <c r="EH88" s="1"/>
      <c r="EI88" s="1"/>
      <c r="EJ88" s="1"/>
      <c r="EK88" s="1"/>
      <c r="EL88" s="1"/>
      <c r="EM88" s="1"/>
      <c r="EN88" s="1"/>
      <c r="EO88" s="1"/>
      <c r="EP88" s="1"/>
      <c r="EQ88" s="1"/>
      <c r="ER88" s="1"/>
      <c r="ES88" s="1"/>
      <c r="ET88" s="1"/>
      <c r="EU88" s="1"/>
      <c r="EV88" s="1"/>
      <c r="EW88" s="1"/>
      <c r="EX88" s="1"/>
      <c r="EY88" s="1"/>
      <c r="EZ88" s="1"/>
      <c r="FA88" s="1"/>
      <c r="FB88" s="1"/>
      <c r="FC88" s="1"/>
      <c r="FD88" s="1"/>
      <c r="FE88" s="1"/>
      <c r="FF88" s="1"/>
      <c r="FG88" s="1"/>
      <c r="FH88" s="1"/>
      <c r="FI88" s="1"/>
      <c r="FJ88" s="1"/>
      <c r="FK88" s="1"/>
      <c r="FL88" s="1"/>
      <c r="FM88" s="1"/>
      <c r="FN88" s="1"/>
      <c r="FO88" s="1"/>
      <c r="FP88" s="1"/>
      <c r="FQ88" s="1"/>
      <c r="FR88" s="1"/>
      <c r="FS88" s="1"/>
      <c r="FT88" s="1"/>
      <c r="FU88" s="1"/>
      <c r="FV88" s="1"/>
      <c r="FW88" s="1"/>
      <c r="FX88" s="1"/>
      <c r="FY88" s="1"/>
      <c r="FZ88" s="1"/>
      <c r="GA88" s="1"/>
      <c r="GB88" s="1"/>
      <c r="GC88" s="1"/>
      <c r="GD88" s="1"/>
      <c r="GE88" s="1"/>
      <c r="GF88" s="1"/>
      <c r="GG88" s="1"/>
      <c r="GH88" s="1"/>
      <c r="GI88" s="1"/>
      <c r="GJ88" s="1"/>
      <c r="GK88" s="1"/>
      <c r="GL88" s="1"/>
      <c r="GM88" s="1"/>
      <c r="GN88" s="1"/>
      <c r="GO88" s="1"/>
      <c r="GP88" s="1"/>
      <c r="GQ88" s="1"/>
      <c r="GR88" s="1"/>
      <c r="GS88" s="1"/>
      <c r="GT88" s="1"/>
      <c r="GU88" s="1"/>
      <c r="GV88" s="1"/>
      <c r="GW88" s="1"/>
      <c r="GX88" s="1"/>
      <c r="GY88" s="1"/>
      <c r="GZ88" s="1"/>
      <c r="HA88" s="1"/>
      <c r="HB88" s="1"/>
      <c r="HC88" s="1"/>
      <c r="HD88" s="1"/>
      <c r="HE88" s="1"/>
      <c r="HF88" s="1"/>
      <c r="HG88" s="1"/>
      <c r="HH88" s="1"/>
      <c r="HI88" s="1"/>
      <c r="HJ88" s="1"/>
      <c r="HK88" s="1"/>
      <c r="HL88" s="1"/>
      <c r="HM88" s="1"/>
      <c r="HN88" s="1"/>
      <c r="HO88" s="1"/>
      <c r="HP88" s="1"/>
      <c r="HQ88" s="1"/>
      <c r="HR88" s="1"/>
      <c r="HS88" s="1"/>
      <c r="HT88" s="1"/>
      <c r="HU88" s="1"/>
      <c r="HV88" s="1"/>
      <c r="HW88" s="1"/>
      <c r="HX88" s="1"/>
      <c r="HY88" s="1"/>
      <c r="HZ88" s="1"/>
      <c r="IA88" s="1"/>
      <c r="IB88" s="1"/>
      <c r="IC88" s="1"/>
      <c r="ID88" s="1"/>
      <c r="IE88" s="1"/>
      <c r="IF88" s="1"/>
      <c r="IG88" s="1"/>
      <c r="IH88" s="1"/>
      <c r="II88" s="1"/>
      <c r="IJ88" s="1"/>
      <c r="IK88" s="1"/>
      <c r="IL88" s="1"/>
      <c r="IM88" s="1"/>
      <c r="IN88" s="1"/>
      <c r="IO88" s="1"/>
      <c r="IP88" s="1"/>
      <c r="IQ88" s="1"/>
      <c r="IR88" s="1"/>
      <c r="IS88" s="1"/>
      <c r="IT88" s="1"/>
      <c r="IU88" s="1"/>
      <c r="IV88" s="1"/>
      <c r="IW88" s="1"/>
      <c r="IX88" s="1"/>
      <c r="IY88" s="1"/>
      <c r="IZ88" s="1"/>
      <c r="JA88" s="1"/>
      <c r="JB88" s="1"/>
      <c r="JC88" s="1"/>
      <c r="JD88" s="1"/>
      <c r="JE88" s="1"/>
      <c r="JF88" s="1"/>
      <c r="JG88" s="1"/>
      <c r="JH88" s="1"/>
      <c r="JI88" s="1"/>
      <c r="JJ88" s="1"/>
      <c r="JK88" s="1"/>
      <c r="JL88" s="1"/>
      <c r="JM88" s="1"/>
      <c r="JN88" s="1"/>
      <c r="JO88" s="1"/>
      <c r="JP88" s="1"/>
      <c r="JQ88" s="1"/>
      <c r="JR88" s="1"/>
      <c r="JS88" s="1"/>
      <c r="JT88" s="1"/>
      <c r="JU88" s="1"/>
      <c r="JV88" s="1"/>
      <c r="JW88" s="1"/>
      <c r="JX88" s="1"/>
      <c r="JY88" s="1"/>
      <c r="JZ88" s="1"/>
      <c r="KA88" s="1"/>
      <c r="KB88" s="1"/>
      <c r="KC88" s="1"/>
      <c r="KD88" s="1"/>
      <c r="KE88" s="1"/>
      <c r="KF88" s="1"/>
      <c r="KG88" s="1"/>
      <c r="KH88" s="1"/>
      <c r="KI88" s="1"/>
      <c r="KJ88" s="1"/>
      <c r="KK88" s="1"/>
      <c r="KL88" s="1"/>
      <c r="KM88" s="1"/>
      <c r="KN88" s="1"/>
      <c r="KO88" s="1"/>
      <c r="KP88" s="1"/>
      <c r="KQ88" s="1"/>
      <c r="KR88" s="1"/>
      <c r="KS88" s="1"/>
      <c r="KT88" s="1"/>
      <c r="KU88" s="1"/>
      <c r="KV88" s="1"/>
      <c r="KW88" s="1"/>
      <c r="KX88" s="1"/>
      <c r="KY88" s="1"/>
      <c r="KZ88" s="1"/>
      <c r="LA88" s="1"/>
      <c r="LB88" s="1"/>
      <c r="LC88" s="1"/>
      <c r="LD88" s="1"/>
      <c r="LE88" s="1"/>
      <c r="LF88" s="1"/>
      <c r="LG88" s="1"/>
      <c r="LH88" s="1"/>
      <c r="LI88" s="1"/>
      <c r="LJ88" s="1"/>
      <c r="LK88" s="1"/>
      <c r="LL88" s="1"/>
      <c r="LM88" s="1"/>
      <c r="LN88" s="1"/>
      <c r="LO88" s="1"/>
      <c r="LP88" s="1"/>
      <c r="LQ88" s="1"/>
      <c r="LR88" s="1"/>
      <c r="LS88" s="1"/>
    </row>
    <row r="89" spans="1:331" s="17" customFormat="1" x14ac:dyDescent="0.25">
      <c r="A89" s="17" t="s">
        <v>396</v>
      </c>
      <c r="B89" s="21" t="s">
        <v>397</v>
      </c>
      <c r="C89" s="94" t="s">
        <v>1647</v>
      </c>
      <c r="D89" s="17">
        <v>3</v>
      </c>
      <c r="E89" s="17" t="s">
        <v>43</v>
      </c>
      <c r="F89" s="17" t="s">
        <v>398</v>
      </c>
      <c r="G89" s="17" t="s">
        <v>398</v>
      </c>
      <c r="H89" s="17" t="s">
        <v>399</v>
      </c>
      <c r="I89" s="17" t="s">
        <v>43</v>
      </c>
      <c r="J89" s="17" t="s">
        <v>399</v>
      </c>
      <c r="K89" s="17" t="s">
        <v>398</v>
      </c>
      <c r="L89" s="17">
        <v>1</v>
      </c>
      <c r="M89" s="17" t="s">
        <v>400</v>
      </c>
      <c r="O89" s="17">
        <v>1</v>
      </c>
      <c r="P89" s="17" t="s">
        <v>401</v>
      </c>
      <c r="Q89" s="96" t="s">
        <v>1525</v>
      </c>
      <c r="R89" s="96"/>
      <c r="T89" s="17">
        <v>7</v>
      </c>
      <c r="V89" s="17">
        <v>9</v>
      </c>
      <c r="W89" s="96">
        <v>7</v>
      </c>
      <c r="X89" s="96"/>
      <c r="Y89" s="96"/>
      <c r="Z89" s="17">
        <v>3</v>
      </c>
      <c r="AA89" s="94" t="b">
        <v>1</v>
      </c>
      <c r="AB89" s="1" t="s">
        <v>1890</v>
      </c>
      <c r="AC89" s="57" t="s">
        <v>1332</v>
      </c>
      <c r="AD89" s="1"/>
      <c r="AE89" s="57"/>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c r="BI89" s="1"/>
      <c r="BJ89" s="1"/>
      <c r="BK89" s="1"/>
      <c r="BL89" s="1"/>
      <c r="BM89" s="1"/>
      <c r="BN89" s="1"/>
      <c r="BO89" s="1"/>
      <c r="BP89" s="1"/>
      <c r="BQ89" s="1"/>
      <c r="BR89" s="1"/>
      <c r="BS89" s="1"/>
      <c r="BT89" s="1"/>
      <c r="BU89" s="1"/>
      <c r="BV89" s="1"/>
      <c r="BW89" s="1"/>
      <c r="BX89" s="1"/>
      <c r="BY89" s="1"/>
      <c r="BZ89" s="1"/>
      <c r="CA89" s="1"/>
      <c r="CB89" s="1"/>
      <c r="CC89" s="1"/>
      <c r="CD89" s="1"/>
      <c r="CE89" s="1"/>
      <c r="CF89" s="1"/>
      <c r="CG89" s="1"/>
      <c r="CH89" s="1"/>
      <c r="CI89" s="1"/>
      <c r="CJ89" s="1"/>
      <c r="CK89" s="1"/>
      <c r="CL89" s="1"/>
      <c r="CM89" s="1"/>
      <c r="CN89" s="1"/>
      <c r="CO89" s="1"/>
      <c r="CP89" s="1"/>
      <c r="CQ89" s="1"/>
      <c r="CR89" s="1"/>
      <c r="CS89" s="1"/>
      <c r="CT89" s="1"/>
      <c r="CU89" s="1"/>
      <c r="CV89" s="1"/>
      <c r="CW89" s="1"/>
      <c r="CX89" s="1"/>
      <c r="CY89" s="1"/>
      <c r="CZ89" s="1"/>
      <c r="DA89" s="1"/>
      <c r="DB89" s="1"/>
      <c r="DC89" s="1"/>
      <c r="DD89" s="1"/>
      <c r="DE89" s="1"/>
      <c r="DF89" s="1"/>
      <c r="DG89" s="1"/>
      <c r="DH89" s="1"/>
      <c r="DI89" s="1"/>
      <c r="DJ89" s="1"/>
      <c r="DK89" s="1"/>
      <c r="DL89" s="1"/>
      <c r="DM89" s="1"/>
      <c r="DN89" s="1"/>
      <c r="DO89" s="1"/>
      <c r="DP89" s="1"/>
      <c r="DQ89" s="1"/>
      <c r="DR89" s="1"/>
      <c r="DS89" s="1"/>
      <c r="DT89" s="1"/>
      <c r="DU89" s="1"/>
      <c r="DV89" s="1"/>
      <c r="DW89" s="1"/>
      <c r="DX89" s="1"/>
      <c r="DY89" s="1"/>
      <c r="DZ89" s="1"/>
      <c r="EA89" s="1"/>
      <c r="EB89" s="1"/>
      <c r="EC89" s="1"/>
      <c r="ED89" s="1"/>
      <c r="EE89" s="1"/>
      <c r="EF89" s="1"/>
      <c r="EG89" s="1"/>
      <c r="EH89" s="1"/>
      <c r="EI89" s="1"/>
      <c r="EJ89" s="1"/>
      <c r="EK89" s="1"/>
      <c r="EL89" s="1"/>
      <c r="EM89" s="1"/>
      <c r="EN89" s="1"/>
      <c r="EO89" s="1"/>
      <c r="EP89" s="1"/>
      <c r="EQ89" s="1"/>
      <c r="ER89" s="1"/>
      <c r="ES89" s="1"/>
      <c r="ET89" s="1"/>
      <c r="EU89" s="1"/>
      <c r="EV89" s="1"/>
      <c r="EW89" s="1"/>
      <c r="EX89" s="1"/>
      <c r="EY89" s="1"/>
      <c r="EZ89" s="1"/>
      <c r="FA89" s="1"/>
      <c r="FB89" s="1"/>
      <c r="FC89" s="1"/>
      <c r="FD89" s="1"/>
      <c r="FE89" s="1"/>
      <c r="FF89" s="1"/>
      <c r="FG89" s="1"/>
      <c r="FH89" s="1"/>
      <c r="FI89" s="1"/>
      <c r="FJ89" s="1"/>
      <c r="FK89" s="1"/>
      <c r="FL89" s="1"/>
      <c r="FM89" s="1"/>
      <c r="FN89" s="1"/>
      <c r="FO89" s="1"/>
      <c r="FP89" s="1"/>
      <c r="FQ89" s="1"/>
      <c r="FR89" s="1"/>
      <c r="FS89" s="1"/>
      <c r="FT89" s="1"/>
      <c r="FU89" s="1"/>
      <c r="FV89" s="1"/>
      <c r="FW89" s="1"/>
      <c r="FX89" s="1"/>
      <c r="FY89" s="1"/>
      <c r="FZ89" s="1"/>
      <c r="GA89" s="1"/>
      <c r="GB89" s="1"/>
      <c r="GC89" s="1"/>
      <c r="GD89" s="1"/>
      <c r="GE89" s="1"/>
      <c r="GF89" s="1"/>
      <c r="GG89" s="1"/>
      <c r="GH89" s="1"/>
      <c r="GI89" s="1"/>
      <c r="GJ89" s="1"/>
      <c r="GK89" s="1"/>
      <c r="GL89" s="1"/>
      <c r="GM89" s="1"/>
      <c r="GN89" s="1"/>
      <c r="GO89" s="1"/>
      <c r="GP89" s="1"/>
      <c r="GQ89" s="1"/>
      <c r="GR89" s="1"/>
      <c r="GS89" s="1"/>
      <c r="GT89" s="1"/>
      <c r="GU89" s="1"/>
      <c r="GV89" s="1"/>
      <c r="GW89" s="1"/>
      <c r="GX89" s="1"/>
      <c r="GY89" s="1"/>
      <c r="GZ89" s="1"/>
      <c r="HA89" s="1"/>
      <c r="HB89" s="1"/>
      <c r="HC89" s="1"/>
      <c r="HD89" s="1"/>
      <c r="HE89" s="1"/>
      <c r="HF89" s="1"/>
      <c r="HG89" s="1"/>
      <c r="HH89" s="1"/>
      <c r="HI89" s="1"/>
      <c r="HJ89" s="1"/>
      <c r="HK89" s="1"/>
      <c r="HL89" s="1"/>
      <c r="HM89" s="1"/>
      <c r="HN89" s="1"/>
      <c r="HO89" s="1"/>
      <c r="HP89" s="1"/>
      <c r="HQ89" s="1"/>
      <c r="HR89" s="1"/>
      <c r="HS89" s="1"/>
      <c r="HT89" s="1"/>
      <c r="HU89" s="1"/>
      <c r="HV89" s="1"/>
      <c r="HW89" s="1"/>
      <c r="HX89" s="1"/>
      <c r="HY89" s="1"/>
      <c r="HZ89" s="1"/>
      <c r="IA89" s="1"/>
      <c r="IB89" s="1"/>
      <c r="IC89" s="1"/>
      <c r="ID89" s="1"/>
      <c r="IE89" s="1"/>
      <c r="IF89" s="1"/>
      <c r="IG89" s="1"/>
      <c r="IH89" s="1"/>
      <c r="II89" s="1"/>
      <c r="IJ89" s="1"/>
      <c r="IK89" s="1"/>
      <c r="IL89" s="1"/>
      <c r="IM89" s="1"/>
      <c r="IN89" s="1"/>
      <c r="IO89" s="1"/>
      <c r="IP89" s="1"/>
      <c r="IQ89" s="1"/>
      <c r="IR89" s="1"/>
      <c r="IS89" s="1"/>
      <c r="IT89" s="1"/>
      <c r="IU89" s="1"/>
      <c r="IV89" s="1"/>
      <c r="IW89" s="1"/>
      <c r="IX89" s="1"/>
      <c r="IY89" s="1"/>
      <c r="IZ89" s="1"/>
      <c r="JA89" s="1"/>
      <c r="JB89" s="1"/>
      <c r="JC89" s="1"/>
      <c r="JD89" s="1"/>
      <c r="JE89" s="1"/>
      <c r="JF89" s="1"/>
      <c r="JG89" s="1"/>
      <c r="JH89" s="1"/>
      <c r="JI89" s="1"/>
      <c r="JJ89" s="1"/>
      <c r="JK89" s="1"/>
      <c r="JL89" s="1"/>
      <c r="JM89" s="1"/>
      <c r="JN89" s="1"/>
      <c r="JO89" s="1"/>
      <c r="JP89" s="1"/>
      <c r="JQ89" s="1"/>
      <c r="JR89" s="1"/>
      <c r="JS89" s="1"/>
      <c r="JT89" s="1"/>
      <c r="JU89" s="1"/>
      <c r="JV89" s="1"/>
      <c r="JW89" s="1"/>
      <c r="JX89" s="1"/>
      <c r="JY89" s="1"/>
      <c r="JZ89" s="1"/>
      <c r="KA89" s="1"/>
      <c r="KB89" s="1"/>
      <c r="KC89" s="1"/>
      <c r="KD89" s="1"/>
      <c r="KE89" s="1"/>
      <c r="KF89" s="1"/>
      <c r="KG89" s="1"/>
      <c r="KH89" s="1"/>
      <c r="KI89" s="1"/>
      <c r="KJ89" s="1"/>
      <c r="KK89" s="1"/>
      <c r="KL89" s="1"/>
      <c r="KM89" s="1"/>
      <c r="KN89" s="1"/>
      <c r="KO89" s="1"/>
      <c r="KP89" s="1"/>
      <c r="KQ89" s="1"/>
      <c r="KR89" s="1"/>
      <c r="KS89" s="1"/>
      <c r="KT89" s="1"/>
      <c r="KU89" s="1"/>
      <c r="KV89" s="1"/>
      <c r="KW89" s="1"/>
      <c r="KX89" s="1"/>
      <c r="KY89" s="1"/>
      <c r="KZ89" s="1"/>
      <c r="LA89" s="1"/>
      <c r="LB89" s="1"/>
      <c r="LC89" s="1"/>
      <c r="LD89" s="1"/>
      <c r="LE89" s="1"/>
      <c r="LF89" s="1"/>
      <c r="LG89" s="1"/>
      <c r="LH89" s="1"/>
      <c r="LI89" s="1"/>
      <c r="LJ89" s="1"/>
      <c r="LK89" s="1"/>
      <c r="LL89" s="1"/>
      <c r="LM89" s="1"/>
      <c r="LN89" s="1"/>
      <c r="LO89" s="1"/>
      <c r="LP89" s="1"/>
      <c r="LQ89" s="1"/>
      <c r="LR89" s="1"/>
      <c r="LS89" s="1"/>
    </row>
    <row r="90" spans="1:331" s="25" customFormat="1" x14ac:dyDescent="0.25">
      <c r="A90" s="25" t="s">
        <v>402</v>
      </c>
      <c r="B90" s="29" t="s">
        <v>403</v>
      </c>
      <c r="C90" s="94" t="s">
        <v>1647</v>
      </c>
      <c r="D90" s="25">
        <v>0</v>
      </c>
      <c r="H90" s="25" t="s">
        <v>404</v>
      </c>
      <c r="I90" s="25" t="s">
        <v>405</v>
      </c>
      <c r="J90" s="25" t="s">
        <v>404</v>
      </c>
      <c r="K90" s="25" t="s">
        <v>405</v>
      </c>
      <c r="L90" s="25">
        <v>0</v>
      </c>
      <c r="O90" s="25">
        <v>0</v>
      </c>
      <c r="Q90" s="96" t="s">
        <v>1526</v>
      </c>
      <c r="R90" s="96"/>
      <c r="T90" s="25">
        <v>8</v>
      </c>
      <c r="V90" s="25">
        <v>8</v>
      </c>
      <c r="W90" s="96">
        <v>8</v>
      </c>
      <c r="X90" s="96"/>
      <c r="Y90" s="96"/>
      <c r="Z90" s="25">
        <v>5</v>
      </c>
      <c r="AA90" s="94" t="b">
        <v>1</v>
      </c>
      <c r="AB90" s="1"/>
      <c r="AC90" s="57" t="s">
        <v>1333</v>
      </c>
      <c r="AD90" s="1"/>
      <c r="AE90" s="57"/>
      <c r="AF90" s="1"/>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c r="BI90" s="1"/>
      <c r="BJ90" s="1"/>
      <c r="BK90" s="1"/>
      <c r="BL90" s="1"/>
      <c r="BM90" s="1"/>
      <c r="BN90" s="1"/>
      <c r="BO90" s="1"/>
      <c r="BP90" s="1"/>
      <c r="BQ90" s="1"/>
      <c r="BR90" s="1"/>
      <c r="BS90" s="1"/>
      <c r="BT90" s="1"/>
      <c r="BU90" s="1"/>
      <c r="BV90" s="1"/>
      <c r="BW90" s="1"/>
      <c r="BX90" s="1"/>
      <c r="BY90" s="1"/>
      <c r="BZ90" s="1"/>
      <c r="CA90" s="1"/>
      <c r="CB90" s="1"/>
      <c r="CC90" s="1"/>
      <c r="CD90" s="1"/>
      <c r="CE90" s="1"/>
      <c r="CF90" s="1"/>
      <c r="CG90" s="1"/>
      <c r="CH90" s="1"/>
      <c r="CI90" s="1"/>
      <c r="CJ90" s="1"/>
      <c r="CK90" s="1"/>
      <c r="CL90" s="1"/>
      <c r="CM90" s="1"/>
      <c r="CN90" s="1"/>
      <c r="CO90" s="1"/>
      <c r="CP90" s="1"/>
      <c r="CQ90" s="1"/>
      <c r="CR90" s="1"/>
      <c r="CS90" s="1"/>
      <c r="CT90" s="1"/>
      <c r="CU90" s="1"/>
      <c r="CV90" s="1"/>
      <c r="CW90" s="1"/>
      <c r="CX90" s="1"/>
      <c r="CY90" s="1"/>
      <c r="CZ90" s="1"/>
      <c r="DA90" s="1"/>
      <c r="DB90" s="1"/>
      <c r="DC90" s="1"/>
      <c r="DD90" s="1"/>
      <c r="DE90" s="1"/>
      <c r="DF90" s="1"/>
      <c r="DG90" s="1"/>
      <c r="DH90" s="1"/>
      <c r="DI90" s="1"/>
      <c r="DJ90" s="1"/>
      <c r="DK90" s="1"/>
      <c r="DL90" s="1"/>
      <c r="DM90" s="1"/>
      <c r="DN90" s="1"/>
      <c r="DO90" s="1"/>
      <c r="DP90" s="1"/>
      <c r="DQ90" s="1"/>
      <c r="DR90" s="1"/>
      <c r="DS90" s="1"/>
      <c r="DT90" s="1"/>
      <c r="DU90" s="1"/>
      <c r="DV90" s="1"/>
      <c r="DW90" s="1"/>
      <c r="DX90" s="1"/>
      <c r="DY90" s="1"/>
      <c r="DZ90" s="1"/>
      <c r="EA90" s="1"/>
      <c r="EB90" s="1"/>
      <c r="EC90" s="1"/>
      <c r="ED90" s="1"/>
      <c r="EE90" s="1"/>
      <c r="EF90" s="1"/>
      <c r="EG90" s="1"/>
      <c r="EH90" s="1"/>
      <c r="EI90" s="1"/>
      <c r="EJ90" s="1"/>
      <c r="EK90" s="1"/>
      <c r="EL90" s="1"/>
      <c r="EM90" s="1"/>
      <c r="EN90" s="1"/>
      <c r="EO90" s="1"/>
      <c r="EP90" s="1"/>
      <c r="EQ90" s="1"/>
      <c r="ER90" s="1"/>
      <c r="ES90" s="1"/>
      <c r="ET90" s="1"/>
      <c r="EU90" s="1"/>
      <c r="EV90" s="1"/>
      <c r="EW90" s="1"/>
      <c r="EX90" s="1"/>
      <c r="EY90" s="1"/>
      <c r="EZ90" s="1"/>
      <c r="FA90" s="1"/>
      <c r="FB90" s="1"/>
      <c r="FC90" s="1"/>
      <c r="FD90" s="1"/>
      <c r="FE90" s="1"/>
      <c r="FF90" s="1"/>
      <c r="FG90" s="1"/>
      <c r="FH90" s="1"/>
      <c r="FI90" s="1"/>
      <c r="FJ90" s="1"/>
      <c r="FK90" s="1"/>
      <c r="FL90" s="1"/>
      <c r="FM90" s="1"/>
      <c r="FN90" s="1"/>
      <c r="FO90" s="1"/>
      <c r="FP90" s="1"/>
      <c r="FQ90" s="1"/>
      <c r="FR90" s="1"/>
      <c r="FS90" s="1"/>
      <c r="FT90" s="1"/>
      <c r="FU90" s="1"/>
      <c r="FV90" s="1"/>
      <c r="FW90" s="1"/>
      <c r="FX90" s="1"/>
      <c r="FY90" s="1"/>
      <c r="FZ90" s="1"/>
      <c r="GA90" s="1"/>
      <c r="GB90" s="1"/>
      <c r="GC90" s="1"/>
      <c r="GD90" s="1"/>
      <c r="GE90" s="1"/>
      <c r="GF90" s="1"/>
      <c r="GG90" s="1"/>
      <c r="GH90" s="1"/>
      <c r="GI90" s="1"/>
      <c r="GJ90" s="1"/>
      <c r="GK90" s="1"/>
      <c r="GL90" s="1"/>
      <c r="GM90" s="1"/>
      <c r="GN90" s="1"/>
      <c r="GO90" s="1"/>
      <c r="GP90" s="1"/>
      <c r="GQ90" s="1"/>
      <c r="GR90" s="1"/>
      <c r="GS90" s="1"/>
      <c r="GT90" s="1"/>
      <c r="GU90" s="1"/>
      <c r="GV90" s="1"/>
      <c r="GW90" s="1"/>
      <c r="GX90" s="1"/>
      <c r="GY90" s="1"/>
      <c r="GZ90" s="1"/>
      <c r="HA90" s="1"/>
      <c r="HB90" s="1"/>
      <c r="HC90" s="1"/>
      <c r="HD90" s="1"/>
      <c r="HE90" s="1"/>
      <c r="HF90" s="1"/>
      <c r="HG90" s="1"/>
      <c r="HH90" s="1"/>
      <c r="HI90" s="1"/>
      <c r="HJ90" s="1"/>
      <c r="HK90" s="1"/>
      <c r="HL90" s="1"/>
      <c r="HM90" s="1"/>
      <c r="HN90" s="1"/>
      <c r="HO90" s="1"/>
      <c r="HP90" s="1"/>
      <c r="HQ90" s="1"/>
      <c r="HR90" s="1"/>
      <c r="HS90" s="1"/>
      <c r="HT90" s="1"/>
      <c r="HU90" s="1"/>
      <c r="HV90" s="1"/>
      <c r="HW90" s="1"/>
      <c r="HX90" s="1"/>
      <c r="HY90" s="1"/>
      <c r="HZ90" s="1"/>
      <c r="IA90" s="1"/>
      <c r="IB90" s="1"/>
      <c r="IC90" s="1"/>
      <c r="ID90" s="1"/>
      <c r="IE90" s="1"/>
      <c r="IF90" s="1"/>
      <c r="IG90" s="1"/>
      <c r="IH90" s="1"/>
      <c r="II90" s="1"/>
      <c r="IJ90" s="1"/>
      <c r="IK90" s="1"/>
      <c r="IL90" s="1"/>
      <c r="IM90" s="1"/>
      <c r="IN90" s="1"/>
      <c r="IO90" s="1"/>
      <c r="IP90" s="1"/>
      <c r="IQ90" s="1"/>
      <c r="IR90" s="1"/>
      <c r="IS90" s="1"/>
      <c r="IT90" s="1"/>
      <c r="IU90" s="1"/>
      <c r="IV90" s="1"/>
      <c r="IW90" s="1"/>
      <c r="IX90" s="1"/>
      <c r="IY90" s="1"/>
      <c r="IZ90" s="1"/>
      <c r="JA90" s="1"/>
      <c r="JB90" s="1"/>
      <c r="JC90" s="1"/>
      <c r="JD90" s="1"/>
      <c r="JE90" s="1"/>
      <c r="JF90" s="1"/>
      <c r="JG90" s="1"/>
      <c r="JH90" s="1"/>
      <c r="JI90" s="1"/>
      <c r="JJ90" s="1"/>
      <c r="JK90" s="1"/>
      <c r="JL90" s="1"/>
      <c r="JM90" s="1"/>
      <c r="JN90" s="1"/>
      <c r="JO90" s="1"/>
      <c r="JP90" s="1"/>
      <c r="JQ90" s="1"/>
      <c r="JR90" s="1"/>
      <c r="JS90" s="1"/>
      <c r="JT90" s="1"/>
      <c r="JU90" s="1"/>
      <c r="JV90" s="1"/>
      <c r="JW90" s="1"/>
      <c r="JX90" s="1"/>
      <c r="JY90" s="1"/>
      <c r="JZ90" s="1"/>
      <c r="KA90" s="1"/>
      <c r="KB90" s="1"/>
      <c r="KC90" s="1"/>
      <c r="KD90" s="1"/>
      <c r="KE90" s="1"/>
      <c r="KF90" s="1"/>
      <c r="KG90" s="1"/>
      <c r="KH90" s="1"/>
      <c r="KI90" s="1"/>
      <c r="KJ90" s="1"/>
      <c r="KK90" s="1"/>
      <c r="KL90" s="1"/>
      <c r="KM90" s="1"/>
      <c r="KN90" s="1"/>
      <c r="KO90" s="1"/>
      <c r="KP90" s="1"/>
      <c r="KQ90" s="1"/>
      <c r="KR90" s="1"/>
      <c r="KS90" s="1"/>
      <c r="KT90" s="1"/>
      <c r="KU90" s="1"/>
      <c r="KV90" s="1"/>
      <c r="KW90" s="1"/>
      <c r="KX90" s="1"/>
      <c r="KY90" s="1"/>
      <c r="KZ90" s="1"/>
      <c r="LA90" s="1"/>
      <c r="LB90" s="1"/>
      <c r="LC90" s="1"/>
      <c r="LD90" s="1"/>
      <c r="LE90" s="1"/>
      <c r="LF90" s="1"/>
      <c r="LG90" s="1"/>
      <c r="LH90" s="1"/>
      <c r="LI90" s="1"/>
      <c r="LJ90" s="1"/>
      <c r="LK90" s="1"/>
      <c r="LL90" s="1"/>
      <c r="LM90" s="1"/>
      <c r="LN90" s="1"/>
      <c r="LO90" s="1"/>
      <c r="LP90" s="1"/>
      <c r="LQ90" s="1"/>
      <c r="LR90" s="1"/>
      <c r="LS90" s="1"/>
    </row>
    <row r="91" spans="1:331" s="25" customFormat="1" x14ac:dyDescent="0.25">
      <c r="A91" s="25" t="s">
        <v>406</v>
      </c>
      <c r="B91" s="29" t="s">
        <v>407</v>
      </c>
      <c r="C91" s="94" t="s">
        <v>1647</v>
      </c>
      <c r="D91" s="25">
        <v>0</v>
      </c>
      <c r="H91" s="25" t="s">
        <v>408</v>
      </c>
      <c r="I91" s="25" t="s">
        <v>409</v>
      </c>
      <c r="J91" s="25" t="s">
        <v>408</v>
      </c>
      <c r="K91" s="25" t="s">
        <v>409</v>
      </c>
      <c r="L91" s="25">
        <v>0</v>
      </c>
      <c r="O91" s="25">
        <v>0</v>
      </c>
      <c r="Q91" s="96" t="s">
        <v>478</v>
      </c>
      <c r="R91" s="96"/>
      <c r="S91" s="25">
        <v>7</v>
      </c>
      <c r="W91" s="96">
        <v>7</v>
      </c>
      <c r="X91" s="96"/>
      <c r="Y91" s="96"/>
      <c r="Z91" s="25">
        <v>5</v>
      </c>
      <c r="AA91" s="94" t="b">
        <v>1</v>
      </c>
      <c r="AB91" s="1" t="s">
        <v>1893</v>
      </c>
      <c r="AC91" s="57" t="s">
        <v>1859</v>
      </c>
      <c r="AD91" s="1"/>
      <c r="AE91" s="57"/>
      <c r="AF91" s="1"/>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c r="BI91" s="1"/>
      <c r="BJ91" s="1"/>
      <c r="BK91" s="1"/>
      <c r="BL91" s="1"/>
      <c r="BM91" s="1"/>
      <c r="BN91" s="1"/>
      <c r="BO91" s="1"/>
      <c r="BP91" s="1"/>
      <c r="BQ91" s="1"/>
      <c r="BR91" s="1"/>
      <c r="BS91" s="1"/>
      <c r="BT91" s="1"/>
      <c r="BU91" s="1"/>
      <c r="BV91" s="1"/>
      <c r="BW91" s="1"/>
      <c r="BX91" s="1"/>
      <c r="BY91" s="1"/>
      <c r="BZ91" s="1"/>
      <c r="CA91" s="1"/>
      <c r="CB91" s="1"/>
      <c r="CC91" s="1"/>
      <c r="CD91" s="1"/>
      <c r="CE91" s="1"/>
      <c r="CF91" s="1"/>
      <c r="CG91" s="1"/>
      <c r="CH91" s="1"/>
      <c r="CI91" s="1"/>
      <c r="CJ91" s="1"/>
      <c r="CK91" s="1"/>
      <c r="CL91" s="1"/>
      <c r="CM91" s="1"/>
      <c r="CN91" s="1"/>
      <c r="CO91" s="1"/>
      <c r="CP91" s="1"/>
      <c r="CQ91" s="1"/>
      <c r="CR91" s="1"/>
      <c r="CS91" s="1"/>
      <c r="CT91" s="1"/>
      <c r="CU91" s="1"/>
      <c r="CV91" s="1"/>
      <c r="CW91" s="1"/>
      <c r="CX91" s="1"/>
      <c r="CY91" s="1"/>
      <c r="CZ91" s="1"/>
      <c r="DA91" s="1"/>
      <c r="DB91" s="1"/>
      <c r="DC91" s="1"/>
      <c r="DD91" s="1"/>
      <c r="DE91" s="1"/>
      <c r="DF91" s="1"/>
      <c r="DG91" s="1"/>
      <c r="DH91" s="1"/>
      <c r="DI91" s="1"/>
      <c r="DJ91" s="1"/>
      <c r="DK91" s="1"/>
      <c r="DL91" s="1"/>
      <c r="DM91" s="1"/>
      <c r="DN91" s="1"/>
      <c r="DO91" s="1"/>
      <c r="DP91" s="1"/>
      <c r="DQ91" s="1"/>
      <c r="DR91" s="1"/>
      <c r="DS91" s="1"/>
      <c r="DT91" s="1"/>
      <c r="DU91" s="1"/>
      <c r="DV91" s="1"/>
      <c r="DW91" s="1"/>
      <c r="DX91" s="1"/>
      <c r="DY91" s="1"/>
      <c r="DZ91" s="1"/>
      <c r="EA91" s="1"/>
      <c r="EB91" s="1"/>
      <c r="EC91" s="1"/>
      <c r="ED91" s="1"/>
      <c r="EE91" s="1"/>
      <c r="EF91" s="1"/>
      <c r="EG91" s="1"/>
      <c r="EH91" s="1"/>
      <c r="EI91" s="1"/>
      <c r="EJ91" s="1"/>
      <c r="EK91" s="1"/>
      <c r="EL91" s="1"/>
      <c r="EM91" s="1"/>
      <c r="EN91" s="1"/>
      <c r="EO91" s="1"/>
      <c r="EP91" s="1"/>
      <c r="EQ91" s="1"/>
      <c r="ER91" s="1"/>
      <c r="ES91" s="1"/>
      <c r="ET91" s="1"/>
      <c r="EU91" s="1"/>
      <c r="EV91" s="1"/>
      <c r="EW91" s="1"/>
      <c r="EX91" s="1"/>
      <c r="EY91" s="1"/>
      <c r="EZ91" s="1"/>
      <c r="FA91" s="1"/>
      <c r="FB91" s="1"/>
      <c r="FC91" s="1"/>
      <c r="FD91" s="1"/>
      <c r="FE91" s="1"/>
      <c r="FF91" s="1"/>
      <c r="FG91" s="1"/>
      <c r="FH91" s="1"/>
      <c r="FI91" s="1"/>
      <c r="FJ91" s="1"/>
      <c r="FK91" s="1"/>
      <c r="FL91" s="1"/>
      <c r="FM91" s="1"/>
      <c r="FN91" s="1"/>
      <c r="FO91" s="1"/>
      <c r="FP91" s="1"/>
      <c r="FQ91" s="1"/>
      <c r="FR91" s="1"/>
      <c r="FS91" s="1"/>
      <c r="FT91" s="1"/>
      <c r="FU91" s="1"/>
      <c r="FV91" s="1"/>
      <c r="FW91" s="1"/>
      <c r="FX91" s="1"/>
      <c r="FY91" s="1"/>
      <c r="FZ91" s="1"/>
      <c r="GA91" s="1"/>
      <c r="GB91" s="1"/>
      <c r="GC91" s="1"/>
      <c r="GD91" s="1"/>
      <c r="GE91" s="1"/>
      <c r="GF91" s="1"/>
      <c r="GG91" s="1"/>
      <c r="GH91" s="1"/>
      <c r="GI91" s="1"/>
      <c r="GJ91" s="1"/>
      <c r="GK91" s="1"/>
      <c r="GL91" s="1"/>
      <c r="GM91" s="1"/>
      <c r="GN91" s="1"/>
      <c r="GO91" s="1"/>
      <c r="GP91" s="1"/>
      <c r="GQ91" s="1"/>
      <c r="GR91" s="1"/>
      <c r="GS91" s="1"/>
      <c r="GT91" s="1"/>
      <c r="GU91" s="1"/>
      <c r="GV91" s="1"/>
      <c r="GW91" s="1"/>
      <c r="GX91" s="1"/>
      <c r="GY91" s="1"/>
      <c r="GZ91" s="1"/>
      <c r="HA91" s="1"/>
      <c r="HB91" s="1"/>
      <c r="HC91" s="1"/>
      <c r="HD91" s="1"/>
      <c r="HE91" s="1"/>
      <c r="HF91" s="1"/>
      <c r="HG91" s="1"/>
      <c r="HH91" s="1"/>
      <c r="HI91" s="1"/>
      <c r="HJ91" s="1"/>
      <c r="HK91" s="1"/>
      <c r="HL91" s="1"/>
      <c r="HM91" s="1"/>
      <c r="HN91" s="1"/>
      <c r="HO91" s="1"/>
      <c r="HP91" s="1"/>
      <c r="HQ91" s="1"/>
      <c r="HR91" s="1"/>
      <c r="HS91" s="1"/>
      <c r="HT91" s="1"/>
      <c r="HU91" s="1"/>
      <c r="HV91" s="1"/>
      <c r="HW91" s="1"/>
      <c r="HX91" s="1"/>
      <c r="HY91" s="1"/>
      <c r="HZ91" s="1"/>
      <c r="IA91" s="1"/>
      <c r="IB91" s="1"/>
      <c r="IC91" s="1"/>
      <c r="ID91" s="1"/>
      <c r="IE91" s="1"/>
      <c r="IF91" s="1"/>
      <c r="IG91" s="1"/>
      <c r="IH91" s="1"/>
      <c r="II91" s="1"/>
      <c r="IJ91" s="1"/>
      <c r="IK91" s="1"/>
      <c r="IL91" s="1"/>
      <c r="IM91" s="1"/>
      <c r="IN91" s="1"/>
      <c r="IO91" s="1"/>
      <c r="IP91" s="1"/>
      <c r="IQ91" s="1"/>
      <c r="IR91" s="1"/>
      <c r="IS91" s="1"/>
      <c r="IT91" s="1"/>
      <c r="IU91" s="1"/>
      <c r="IV91" s="1"/>
      <c r="IW91" s="1"/>
      <c r="IX91" s="1"/>
      <c r="IY91" s="1"/>
      <c r="IZ91" s="1"/>
      <c r="JA91" s="1"/>
      <c r="JB91" s="1"/>
      <c r="JC91" s="1"/>
      <c r="JD91" s="1"/>
      <c r="JE91" s="1"/>
      <c r="JF91" s="1"/>
      <c r="JG91" s="1"/>
      <c r="JH91" s="1"/>
      <c r="JI91" s="1"/>
      <c r="JJ91" s="1"/>
      <c r="JK91" s="1"/>
      <c r="JL91" s="1"/>
      <c r="JM91" s="1"/>
      <c r="JN91" s="1"/>
      <c r="JO91" s="1"/>
      <c r="JP91" s="1"/>
      <c r="JQ91" s="1"/>
      <c r="JR91" s="1"/>
      <c r="JS91" s="1"/>
      <c r="JT91" s="1"/>
      <c r="JU91" s="1"/>
      <c r="JV91" s="1"/>
      <c r="JW91" s="1"/>
      <c r="JX91" s="1"/>
      <c r="JY91" s="1"/>
      <c r="JZ91" s="1"/>
      <c r="KA91" s="1"/>
      <c r="KB91" s="1"/>
      <c r="KC91" s="1"/>
      <c r="KD91" s="1"/>
      <c r="KE91" s="1"/>
      <c r="KF91" s="1"/>
      <c r="KG91" s="1"/>
      <c r="KH91" s="1"/>
      <c r="KI91" s="1"/>
      <c r="KJ91" s="1"/>
      <c r="KK91" s="1"/>
      <c r="KL91" s="1"/>
      <c r="KM91" s="1"/>
      <c r="KN91" s="1"/>
      <c r="KO91" s="1"/>
      <c r="KP91" s="1"/>
      <c r="KQ91" s="1"/>
      <c r="KR91" s="1"/>
      <c r="KS91" s="1"/>
      <c r="KT91" s="1"/>
      <c r="KU91" s="1"/>
      <c r="KV91" s="1"/>
      <c r="KW91" s="1"/>
      <c r="KX91" s="1"/>
      <c r="KY91" s="1"/>
      <c r="KZ91" s="1"/>
      <c r="LA91" s="1"/>
      <c r="LB91" s="1"/>
      <c r="LC91" s="1"/>
      <c r="LD91" s="1"/>
      <c r="LE91" s="1"/>
      <c r="LF91" s="1"/>
      <c r="LG91" s="1"/>
      <c r="LH91" s="1"/>
      <c r="LI91" s="1"/>
      <c r="LJ91" s="1"/>
      <c r="LK91" s="1"/>
      <c r="LL91" s="1"/>
      <c r="LM91" s="1"/>
      <c r="LN91" s="1"/>
      <c r="LO91" s="1"/>
      <c r="LP91" s="1"/>
      <c r="LQ91" s="1"/>
      <c r="LR91" s="1"/>
      <c r="LS91" s="1"/>
    </row>
    <row r="92" spans="1:331" s="25" customFormat="1" x14ac:dyDescent="0.25">
      <c r="A92" s="25" t="s">
        <v>410</v>
      </c>
      <c r="B92" s="29" t="s">
        <v>410</v>
      </c>
      <c r="C92" s="94" t="s">
        <v>1647</v>
      </c>
      <c r="D92" s="25">
        <v>0</v>
      </c>
      <c r="H92" s="25" t="s">
        <v>411</v>
      </c>
      <c r="I92" s="25" t="s">
        <v>412</v>
      </c>
      <c r="J92" s="25" t="s">
        <v>411</v>
      </c>
      <c r="K92" s="25" t="s">
        <v>412</v>
      </c>
      <c r="L92" s="25">
        <v>0</v>
      </c>
      <c r="O92" s="25">
        <v>1</v>
      </c>
      <c r="Q92" s="96" t="s">
        <v>1527</v>
      </c>
      <c r="R92" s="96"/>
      <c r="S92" s="25">
        <v>11</v>
      </c>
      <c r="U92" s="25">
        <v>11</v>
      </c>
      <c r="W92" s="96">
        <v>11</v>
      </c>
      <c r="X92" s="96"/>
      <c r="Y92" s="96"/>
      <c r="Z92" s="25">
        <v>5</v>
      </c>
      <c r="AA92" s="94" t="b">
        <v>1</v>
      </c>
      <c r="AB92" s="1"/>
      <c r="AC92" s="57" t="s">
        <v>1334</v>
      </c>
      <c r="AD92" s="1"/>
      <c r="AE92" s="57"/>
      <c r="AF92" s="1"/>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c r="BI92" s="1"/>
      <c r="BJ92" s="1"/>
      <c r="BK92" s="1"/>
      <c r="BL92" s="1"/>
      <c r="BM92" s="1"/>
      <c r="BN92" s="1"/>
      <c r="BO92" s="1"/>
      <c r="BP92" s="1"/>
      <c r="BQ92" s="1"/>
      <c r="BR92" s="1"/>
      <c r="BS92" s="1"/>
      <c r="BT92" s="1"/>
      <c r="BU92" s="1"/>
      <c r="BV92" s="1"/>
      <c r="BW92" s="1"/>
      <c r="BX92" s="1"/>
      <c r="BY92" s="1"/>
      <c r="BZ92" s="1"/>
      <c r="CA92" s="1"/>
      <c r="CB92" s="1"/>
      <c r="CC92" s="1"/>
      <c r="CD92" s="1"/>
      <c r="CE92" s="1"/>
      <c r="CF92" s="1"/>
      <c r="CG92" s="1"/>
      <c r="CH92" s="1"/>
      <c r="CI92" s="1"/>
      <c r="CJ92" s="1"/>
      <c r="CK92" s="1"/>
      <c r="CL92" s="1"/>
      <c r="CM92" s="1"/>
      <c r="CN92" s="1"/>
      <c r="CO92" s="1"/>
      <c r="CP92" s="1"/>
      <c r="CQ92" s="1"/>
      <c r="CR92" s="1"/>
      <c r="CS92" s="1"/>
      <c r="CT92" s="1"/>
      <c r="CU92" s="1"/>
      <c r="CV92" s="1"/>
      <c r="CW92" s="1"/>
      <c r="CX92" s="1"/>
      <c r="CY92" s="1"/>
      <c r="CZ92" s="1"/>
      <c r="DA92" s="1"/>
      <c r="DB92" s="1"/>
      <c r="DC92" s="1"/>
      <c r="DD92" s="1"/>
      <c r="DE92" s="1"/>
      <c r="DF92" s="1"/>
      <c r="DG92" s="1"/>
      <c r="DH92" s="1"/>
      <c r="DI92" s="1"/>
      <c r="DJ92" s="1"/>
      <c r="DK92" s="1"/>
      <c r="DL92" s="1"/>
      <c r="DM92" s="1"/>
      <c r="DN92" s="1"/>
      <c r="DO92" s="1"/>
      <c r="DP92" s="1"/>
      <c r="DQ92" s="1"/>
      <c r="DR92" s="1"/>
      <c r="DS92" s="1"/>
      <c r="DT92" s="1"/>
      <c r="DU92" s="1"/>
      <c r="DV92" s="1"/>
      <c r="DW92" s="1"/>
      <c r="DX92" s="1"/>
      <c r="DY92" s="1"/>
      <c r="DZ92" s="1"/>
      <c r="EA92" s="1"/>
      <c r="EB92" s="1"/>
      <c r="EC92" s="1"/>
      <c r="ED92" s="1"/>
      <c r="EE92" s="1"/>
      <c r="EF92" s="1"/>
      <c r="EG92" s="1"/>
      <c r="EH92" s="1"/>
      <c r="EI92" s="1"/>
      <c r="EJ92" s="1"/>
      <c r="EK92" s="1"/>
      <c r="EL92" s="1"/>
      <c r="EM92" s="1"/>
      <c r="EN92" s="1"/>
      <c r="EO92" s="1"/>
      <c r="EP92" s="1"/>
      <c r="EQ92" s="1"/>
      <c r="ER92" s="1"/>
      <c r="ES92" s="1"/>
      <c r="ET92" s="1"/>
      <c r="EU92" s="1"/>
      <c r="EV92" s="1"/>
      <c r="EW92" s="1"/>
      <c r="EX92" s="1"/>
      <c r="EY92" s="1"/>
      <c r="EZ92" s="1"/>
      <c r="FA92" s="1"/>
      <c r="FB92" s="1"/>
      <c r="FC92" s="1"/>
      <c r="FD92" s="1"/>
      <c r="FE92" s="1"/>
      <c r="FF92" s="1"/>
      <c r="FG92" s="1"/>
      <c r="FH92" s="1"/>
      <c r="FI92" s="1"/>
      <c r="FJ92" s="1"/>
      <c r="FK92" s="1"/>
      <c r="FL92" s="1"/>
      <c r="FM92" s="1"/>
      <c r="FN92" s="1"/>
      <c r="FO92" s="1"/>
      <c r="FP92" s="1"/>
      <c r="FQ92" s="1"/>
      <c r="FR92" s="1"/>
      <c r="FS92" s="1"/>
      <c r="FT92" s="1"/>
      <c r="FU92" s="1"/>
      <c r="FV92" s="1"/>
      <c r="FW92" s="1"/>
      <c r="FX92" s="1"/>
      <c r="FY92" s="1"/>
      <c r="FZ92" s="1"/>
      <c r="GA92" s="1"/>
      <c r="GB92" s="1"/>
      <c r="GC92" s="1"/>
      <c r="GD92" s="1"/>
      <c r="GE92" s="1"/>
      <c r="GF92" s="1"/>
      <c r="GG92" s="1"/>
      <c r="GH92" s="1"/>
      <c r="GI92" s="1"/>
      <c r="GJ92" s="1"/>
      <c r="GK92" s="1"/>
      <c r="GL92" s="1"/>
      <c r="GM92" s="1"/>
      <c r="GN92" s="1"/>
      <c r="GO92" s="1"/>
      <c r="GP92" s="1"/>
      <c r="GQ92" s="1"/>
      <c r="GR92" s="1"/>
      <c r="GS92" s="1"/>
      <c r="GT92" s="1"/>
      <c r="GU92" s="1"/>
      <c r="GV92" s="1"/>
      <c r="GW92" s="1"/>
      <c r="GX92" s="1"/>
      <c r="GY92" s="1"/>
      <c r="GZ92" s="1"/>
      <c r="HA92" s="1"/>
      <c r="HB92" s="1"/>
      <c r="HC92" s="1"/>
      <c r="HD92" s="1"/>
      <c r="HE92" s="1"/>
      <c r="HF92" s="1"/>
      <c r="HG92" s="1"/>
      <c r="HH92" s="1"/>
      <c r="HI92" s="1"/>
      <c r="HJ92" s="1"/>
      <c r="HK92" s="1"/>
      <c r="HL92" s="1"/>
      <c r="HM92" s="1"/>
      <c r="HN92" s="1"/>
      <c r="HO92" s="1"/>
      <c r="HP92" s="1"/>
      <c r="HQ92" s="1"/>
      <c r="HR92" s="1"/>
      <c r="HS92" s="1"/>
      <c r="HT92" s="1"/>
      <c r="HU92" s="1"/>
      <c r="HV92" s="1"/>
      <c r="HW92" s="1"/>
      <c r="HX92" s="1"/>
      <c r="HY92" s="1"/>
      <c r="HZ92" s="1"/>
      <c r="IA92" s="1"/>
      <c r="IB92" s="1"/>
      <c r="IC92" s="1"/>
      <c r="ID92" s="1"/>
      <c r="IE92" s="1"/>
      <c r="IF92" s="1"/>
      <c r="IG92" s="1"/>
      <c r="IH92" s="1"/>
      <c r="II92" s="1"/>
      <c r="IJ92" s="1"/>
      <c r="IK92" s="1"/>
      <c r="IL92" s="1"/>
      <c r="IM92" s="1"/>
      <c r="IN92" s="1"/>
      <c r="IO92" s="1"/>
      <c r="IP92" s="1"/>
      <c r="IQ92" s="1"/>
      <c r="IR92" s="1"/>
      <c r="IS92" s="1"/>
      <c r="IT92" s="1"/>
      <c r="IU92" s="1"/>
      <c r="IV92" s="1"/>
      <c r="IW92" s="1"/>
      <c r="IX92" s="1"/>
      <c r="IY92" s="1"/>
      <c r="IZ92" s="1"/>
      <c r="JA92" s="1"/>
      <c r="JB92" s="1"/>
      <c r="JC92" s="1"/>
      <c r="JD92" s="1"/>
      <c r="JE92" s="1"/>
      <c r="JF92" s="1"/>
      <c r="JG92" s="1"/>
      <c r="JH92" s="1"/>
      <c r="JI92" s="1"/>
      <c r="JJ92" s="1"/>
      <c r="JK92" s="1"/>
      <c r="JL92" s="1"/>
      <c r="JM92" s="1"/>
      <c r="JN92" s="1"/>
      <c r="JO92" s="1"/>
      <c r="JP92" s="1"/>
      <c r="JQ92" s="1"/>
      <c r="JR92" s="1"/>
      <c r="JS92" s="1"/>
      <c r="JT92" s="1"/>
      <c r="JU92" s="1"/>
      <c r="JV92" s="1"/>
      <c r="JW92" s="1"/>
      <c r="JX92" s="1"/>
      <c r="JY92" s="1"/>
      <c r="JZ92" s="1"/>
      <c r="KA92" s="1"/>
      <c r="KB92" s="1"/>
      <c r="KC92" s="1"/>
      <c r="KD92" s="1"/>
      <c r="KE92" s="1"/>
      <c r="KF92" s="1"/>
      <c r="KG92" s="1"/>
      <c r="KH92" s="1"/>
      <c r="KI92" s="1"/>
      <c r="KJ92" s="1"/>
      <c r="KK92" s="1"/>
      <c r="KL92" s="1"/>
      <c r="KM92" s="1"/>
      <c r="KN92" s="1"/>
      <c r="KO92" s="1"/>
      <c r="KP92" s="1"/>
      <c r="KQ92" s="1"/>
      <c r="KR92" s="1"/>
      <c r="KS92" s="1"/>
      <c r="KT92" s="1"/>
      <c r="KU92" s="1"/>
      <c r="KV92" s="1"/>
      <c r="KW92" s="1"/>
      <c r="KX92" s="1"/>
      <c r="KY92" s="1"/>
      <c r="KZ92" s="1"/>
      <c r="LA92" s="1"/>
      <c r="LB92" s="1"/>
      <c r="LC92" s="1"/>
      <c r="LD92" s="1"/>
      <c r="LE92" s="1"/>
      <c r="LF92" s="1"/>
      <c r="LG92" s="1"/>
      <c r="LH92" s="1"/>
      <c r="LI92" s="1"/>
      <c r="LJ92" s="1"/>
      <c r="LK92" s="1"/>
      <c r="LL92" s="1"/>
      <c r="LM92" s="1"/>
      <c r="LN92" s="1"/>
      <c r="LO92" s="1"/>
      <c r="LP92" s="1"/>
      <c r="LQ92" s="1"/>
      <c r="LR92" s="1"/>
      <c r="LS92" s="1"/>
    </row>
    <row r="93" spans="1:331" s="49" customFormat="1" x14ac:dyDescent="0.25">
      <c r="A93" s="49" t="s">
        <v>413</v>
      </c>
      <c r="B93" s="49" t="s">
        <v>413</v>
      </c>
      <c r="C93" s="96" t="s">
        <v>1647</v>
      </c>
      <c r="D93" s="49">
        <v>0</v>
      </c>
      <c r="H93" s="49" t="s">
        <v>414</v>
      </c>
      <c r="I93" s="49" t="s">
        <v>415</v>
      </c>
      <c r="J93" s="49" t="s">
        <v>416</v>
      </c>
      <c r="K93" s="49" t="s">
        <v>180</v>
      </c>
      <c r="L93" s="49">
        <v>0</v>
      </c>
      <c r="O93" s="49">
        <v>1</v>
      </c>
      <c r="Q93" s="96"/>
      <c r="R93" s="96" t="s">
        <v>1793</v>
      </c>
      <c r="T93" s="49">
        <v>15</v>
      </c>
      <c r="W93" s="96">
        <v>15</v>
      </c>
      <c r="X93" s="96"/>
      <c r="Y93" s="96"/>
      <c r="Z93" s="49">
        <v>9</v>
      </c>
      <c r="AA93" s="94" t="b">
        <v>1</v>
      </c>
      <c r="AB93" s="1"/>
      <c r="AC93" s="57" t="s">
        <v>1286</v>
      </c>
      <c r="AD93" s="1"/>
      <c r="AE93" s="57"/>
      <c r="AF93" s="1"/>
      <c r="AG93" s="1"/>
      <c r="AH93" s="1"/>
      <c r="AI93" s="1"/>
      <c r="AJ93" s="1"/>
      <c r="AK93" s="1"/>
      <c r="AL93" s="1"/>
      <c r="AM93" s="1"/>
      <c r="AN93" s="1"/>
      <c r="AO93" s="1"/>
      <c r="AP93" s="1"/>
      <c r="AQ93" s="1"/>
      <c r="AR93" s="1"/>
      <c r="AS93" s="1"/>
      <c r="AT93" s="1"/>
      <c r="AU93" s="1"/>
      <c r="AV93" s="1"/>
      <c r="AW93" s="1"/>
      <c r="AX93" s="1"/>
      <c r="AY93" s="1"/>
      <c r="AZ93" s="1"/>
      <c r="BA93" s="1"/>
      <c r="BB93" s="1"/>
      <c r="BC93" s="1"/>
      <c r="BD93" s="1"/>
      <c r="BE93" s="1"/>
      <c r="BF93" s="1"/>
      <c r="BG93" s="1"/>
      <c r="BH93" s="1"/>
      <c r="BI93" s="1"/>
      <c r="BJ93" s="1"/>
      <c r="BK93" s="1"/>
      <c r="BL93" s="1"/>
      <c r="BM93" s="1"/>
      <c r="BN93" s="1"/>
      <c r="BO93" s="1"/>
      <c r="BP93" s="1"/>
      <c r="BQ93" s="1"/>
      <c r="BR93" s="1"/>
      <c r="BS93" s="1"/>
      <c r="BT93" s="1"/>
      <c r="BU93" s="1"/>
      <c r="BV93" s="1"/>
      <c r="BW93" s="1"/>
      <c r="BX93" s="1"/>
      <c r="BY93" s="1"/>
      <c r="BZ93" s="1"/>
      <c r="CA93" s="1"/>
      <c r="CB93" s="1"/>
      <c r="CC93" s="1"/>
      <c r="CD93" s="1"/>
      <c r="CE93" s="1"/>
      <c r="CF93" s="1"/>
      <c r="CG93" s="1"/>
      <c r="CH93" s="1"/>
      <c r="CI93" s="1"/>
      <c r="CJ93" s="1"/>
      <c r="CK93" s="1"/>
      <c r="CL93" s="1"/>
      <c r="CM93" s="1"/>
      <c r="CN93" s="1"/>
      <c r="CO93" s="1"/>
      <c r="CP93" s="1"/>
      <c r="CQ93" s="1"/>
      <c r="CR93" s="1"/>
      <c r="CS93" s="1"/>
      <c r="CT93" s="1"/>
      <c r="CU93" s="1"/>
      <c r="CV93" s="1"/>
      <c r="CW93" s="1"/>
      <c r="CX93" s="1"/>
      <c r="CY93" s="1"/>
      <c r="CZ93" s="1"/>
      <c r="DA93" s="1"/>
      <c r="DB93" s="1"/>
      <c r="DC93" s="1"/>
      <c r="DD93" s="1"/>
      <c r="DE93" s="1"/>
      <c r="DF93" s="1"/>
      <c r="DG93" s="1"/>
      <c r="DH93" s="1"/>
      <c r="DI93" s="1"/>
      <c r="DJ93" s="1"/>
      <c r="DK93" s="1"/>
      <c r="DL93" s="1"/>
      <c r="DM93" s="1"/>
      <c r="DN93" s="1"/>
      <c r="DO93" s="1"/>
      <c r="DP93" s="1"/>
      <c r="DQ93" s="1"/>
      <c r="DR93" s="1"/>
      <c r="DS93" s="1"/>
      <c r="DT93" s="1"/>
      <c r="DU93" s="1"/>
      <c r="DV93" s="1"/>
      <c r="DW93" s="1"/>
      <c r="DX93" s="1"/>
      <c r="DY93" s="1"/>
      <c r="DZ93" s="1"/>
      <c r="EA93" s="1"/>
      <c r="EB93" s="1"/>
      <c r="EC93" s="1"/>
      <c r="ED93" s="1"/>
      <c r="EE93" s="1"/>
      <c r="EF93" s="1"/>
      <c r="EG93" s="1"/>
      <c r="EH93" s="1"/>
      <c r="EI93" s="1"/>
      <c r="EJ93" s="1"/>
      <c r="EK93" s="1"/>
      <c r="EL93" s="1"/>
      <c r="EM93" s="1"/>
      <c r="EN93" s="1"/>
      <c r="EO93" s="1"/>
      <c r="EP93" s="1"/>
      <c r="EQ93" s="1"/>
      <c r="ER93" s="1"/>
      <c r="ES93" s="1"/>
      <c r="ET93" s="1"/>
      <c r="EU93" s="1"/>
      <c r="EV93" s="1"/>
      <c r="EW93" s="1"/>
      <c r="EX93" s="1"/>
      <c r="EY93" s="1"/>
      <c r="EZ93" s="1"/>
      <c r="FA93" s="1"/>
      <c r="FB93" s="1"/>
      <c r="FC93" s="1"/>
      <c r="FD93" s="1"/>
      <c r="FE93" s="1"/>
      <c r="FF93" s="1"/>
      <c r="FG93" s="1"/>
      <c r="FH93" s="1"/>
      <c r="FI93" s="1"/>
      <c r="FJ93" s="1"/>
      <c r="FK93" s="1"/>
      <c r="FL93" s="1"/>
      <c r="FM93" s="1"/>
      <c r="FN93" s="1"/>
      <c r="FO93" s="1"/>
      <c r="FP93" s="1"/>
      <c r="FQ93" s="1"/>
      <c r="FR93" s="1"/>
      <c r="FS93" s="1"/>
      <c r="FT93" s="1"/>
      <c r="FU93" s="1"/>
      <c r="FV93" s="1"/>
      <c r="FW93" s="1"/>
      <c r="FX93" s="1"/>
      <c r="FY93" s="1"/>
      <c r="FZ93" s="1"/>
      <c r="GA93" s="1"/>
      <c r="GB93" s="1"/>
      <c r="GC93" s="1"/>
      <c r="GD93" s="1"/>
      <c r="GE93" s="1"/>
      <c r="GF93" s="1"/>
      <c r="GG93" s="1"/>
      <c r="GH93" s="1"/>
      <c r="GI93" s="1"/>
      <c r="GJ93" s="1"/>
      <c r="GK93" s="1"/>
      <c r="GL93" s="1"/>
      <c r="GM93" s="1"/>
      <c r="GN93" s="1"/>
      <c r="GO93" s="1"/>
      <c r="GP93" s="1"/>
      <c r="GQ93" s="1"/>
      <c r="GR93" s="1"/>
      <c r="GS93" s="1"/>
      <c r="GT93" s="1"/>
      <c r="GU93" s="1"/>
      <c r="GV93" s="1"/>
      <c r="GW93" s="1"/>
      <c r="GX93" s="1"/>
      <c r="GY93" s="1"/>
      <c r="GZ93" s="1"/>
      <c r="HA93" s="1"/>
      <c r="HB93" s="1"/>
      <c r="HC93" s="1"/>
      <c r="HD93" s="1"/>
      <c r="HE93" s="1"/>
      <c r="HF93" s="1"/>
      <c r="HG93" s="1"/>
      <c r="HH93" s="1"/>
      <c r="HI93" s="1"/>
      <c r="HJ93" s="1"/>
      <c r="HK93" s="1"/>
      <c r="HL93" s="1"/>
      <c r="HM93" s="1"/>
      <c r="HN93" s="1"/>
      <c r="HO93" s="1"/>
      <c r="HP93" s="1"/>
      <c r="HQ93" s="1"/>
      <c r="HR93" s="1"/>
      <c r="HS93" s="1"/>
      <c r="HT93" s="1"/>
      <c r="HU93" s="1"/>
      <c r="HV93" s="1"/>
      <c r="HW93" s="1"/>
      <c r="HX93" s="1"/>
      <c r="HY93" s="1"/>
      <c r="HZ93" s="1"/>
      <c r="IA93" s="1"/>
      <c r="IB93" s="1"/>
      <c r="IC93" s="1"/>
      <c r="ID93" s="1"/>
      <c r="IE93" s="1"/>
      <c r="IF93" s="1"/>
      <c r="IG93" s="1"/>
      <c r="IH93" s="1"/>
      <c r="II93" s="1"/>
      <c r="IJ93" s="1"/>
      <c r="IK93" s="1"/>
      <c r="IL93" s="1"/>
      <c r="IM93" s="1"/>
      <c r="IN93" s="1"/>
      <c r="IO93" s="1"/>
      <c r="IP93" s="1"/>
      <c r="IQ93" s="1"/>
      <c r="IR93" s="1"/>
      <c r="IS93" s="1"/>
      <c r="IT93" s="1"/>
      <c r="IU93" s="1"/>
      <c r="IV93" s="1"/>
      <c r="IW93" s="1"/>
      <c r="IX93" s="1"/>
      <c r="IY93" s="1"/>
      <c r="IZ93" s="1"/>
      <c r="JA93" s="1"/>
      <c r="JB93" s="1"/>
      <c r="JC93" s="1"/>
      <c r="JD93" s="1"/>
      <c r="JE93" s="1"/>
      <c r="JF93" s="1"/>
      <c r="JG93" s="1"/>
      <c r="JH93" s="1"/>
      <c r="JI93" s="1"/>
      <c r="JJ93" s="1"/>
      <c r="JK93" s="1"/>
      <c r="JL93" s="1"/>
      <c r="JM93" s="1"/>
      <c r="JN93" s="1"/>
      <c r="JO93" s="1"/>
      <c r="JP93" s="1"/>
      <c r="JQ93" s="1"/>
      <c r="JR93" s="1"/>
      <c r="JS93" s="1"/>
      <c r="JT93" s="1"/>
      <c r="JU93" s="1"/>
      <c r="JV93" s="1"/>
      <c r="JW93" s="1"/>
      <c r="JX93" s="1"/>
      <c r="JY93" s="1"/>
      <c r="JZ93" s="1"/>
      <c r="KA93" s="1"/>
      <c r="KB93" s="1"/>
      <c r="KC93" s="1"/>
      <c r="KD93" s="1"/>
      <c r="KE93" s="1"/>
      <c r="KF93" s="1"/>
      <c r="KG93" s="1"/>
      <c r="KH93" s="1"/>
      <c r="KI93" s="1"/>
      <c r="KJ93" s="1"/>
      <c r="KK93" s="1"/>
      <c r="KL93" s="1"/>
      <c r="KM93" s="1"/>
      <c r="KN93" s="1"/>
      <c r="KO93" s="1"/>
      <c r="KP93" s="1"/>
      <c r="KQ93" s="1"/>
      <c r="KR93" s="1"/>
      <c r="KS93" s="1"/>
      <c r="KT93" s="1"/>
      <c r="KU93" s="1"/>
      <c r="KV93" s="1"/>
      <c r="KW93" s="1"/>
      <c r="KX93" s="1"/>
      <c r="KY93" s="1"/>
      <c r="KZ93" s="1"/>
      <c r="LA93" s="1"/>
      <c r="LB93" s="1"/>
      <c r="LC93" s="1"/>
      <c r="LD93" s="1"/>
      <c r="LE93" s="1"/>
      <c r="LF93" s="1"/>
      <c r="LG93" s="1"/>
      <c r="LH93" s="1"/>
      <c r="LI93" s="1"/>
      <c r="LJ93" s="1"/>
      <c r="LK93" s="1"/>
      <c r="LL93" s="1"/>
      <c r="LM93" s="1"/>
      <c r="LN93" s="1"/>
      <c r="LO93" s="1"/>
      <c r="LP93" s="1"/>
      <c r="LQ93" s="1"/>
      <c r="LR93" s="1"/>
      <c r="LS93" s="1"/>
    </row>
    <row r="94" spans="1:331" s="3" customFormat="1" x14ac:dyDescent="0.25">
      <c r="A94" s="3" t="s">
        <v>417</v>
      </c>
      <c r="B94" s="5" t="s">
        <v>417</v>
      </c>
      <c r="C94" s="94" t="s">
        <v>1647</v>
      </c>
      <c r="D94" s="3">
        <v>0</v>
      </c>
      <c r="H94" s="3" t="s">
        <v>332</v>
      </c>
      <c r="I94" s="3" t="s">
        <v>418</v>
      </c>
      <c r="J94" s="3" t="s">
        <v>332</v>
      </c>
      <c r="K94" s="3" t="s">
        <v>185</v>
      </c>
      <c r="L94" s="3">
        <v>1</v>
      </c>
      <c r="M94" s="3" t="s">
        <v>27</v>
      </c>
      <c r="O94" s="3">
        <v>0</v>
      </c>
      <c r="Q94" s="96" t="s">
        <v>383</v>
      </c>
      <c r="R94" s="96"/>
      <c r="T94" s="3">
        <v>11</v>
      </c>
      <c r="V94" s="3">
        <v>11</v>
      </c>
      <c r="W94" s="96">
        <v>11</v>
      </c>
      <c r="X94" s="96"/>
      <c r="Y94" s="96"/>
      <c r="Z94" s="3">
        <v>1</v>
      </c>
      <c r="AA94" s="94" t="b">
        <v>1</v>
      </c>
      <c r="AB94" s="1"/>
      <c r="AC94" s="57" t="s">
        <v>1335</v>
      </c>
      <c r="AD94" s="1"/>
      <c r="AE94" s="57"/>
      <c r="AF94" s="1"/>
      <c r="AG94" s="1"/>
      <c r="AH94" s="1"/>
      <c r="AI94" s="1"/>
      <c r="AJ94" s="1"/>
      <c r="AK94" s="1"/>
      <c r="AL94" s="1"/>
      <c r="AM94" s="1"/>
      <c r="AN94" s="1"/>
      <c r="AO94" s="1"/>
      <c r="AP94" s="1"/>
      <c r="AQ94" s="1"/>
      <c r="AR94" s="1"/>
      <c r="AS94" s="1"/>
      <c r="AT94" s="1"/>
      <c r="AU94" s="1"/>
      <c r="AV94" s="1"/>
      <c r="AW94" s="1"/>
      <c r="AX94" s="1"/>
      <c r="AY94" s="1"/>
      <c r="AZ94" s="1"/>
      <c r="BA94" s="1"/>
      <c r="BB94" s="1"/>
      <c r="BC94" s="1"/>
      <c r="BD94" s="1"/>
      <c r="BE94" s="1"/>
      <c r="BF94" s="1"/>
      <c r="BG94" s="1"/>
      <c r="BH94" s="1"/>
      <c r="BI94" s="1"/>
      <c r="BJ94" s="1"/>
      <c r="BK94" s="1"/>
      <c r="BL94" s="1"/>
      <c r="BM94" s="1"/>
      <c r="BN94" s="1"/>
      <c r="BO94" s="1"/>
      <c r="BP94" s="1"/>
      <c r="BQ94" s="1"/>
      <c r="BR94" s="1"/>
      <c r="BS94" s="1"/>
      <c r="BT94" s="1"/>
      <c r="BU94" s="1"/>
      <c r="BV94" s="1"/>
      <c r="BW94" s="1"/>
      <c r="BX94" s="1"/>
      <c r="BY94" s="1"/>
      <c r="BZ94" s="1"/>
      <c r="CA94" s="1"/>
      <c r="CB94" s="1"/>
      <c r="CC94" s="1"/>
      <c r="CD94" s="1"/>
      <c r="CE94" s="1"/>
      <c r="CF94" s="1"/>
      <c r="CG94" s="1"/>
      <c r="CH94" s="1"/>
      <c r="CI94" s="1"/>
      <c r="CJ94" s="1"/>
      <c r="CK94" s="1"/>
      <c r="CL94" s="1"/>
      <c r="CM94" s="1"/>
      <c r="CN94" s="1"/>
      <c r="CO94" s="1"/>
      <c r="CP94" s="1"/>
      <c r="CQ94" s="1"/>
      <c r="CR94" s="1"/>
      <c r="CS94" s="1"/>
      <c r="CT94" s="1"/>
      <c r="CU94" s="1"/>
      <c r="CV94" s="1"/>
      <c r="CW94" s="1"/>
      <c r="CX94" s="1"/>
      <c r="CY94" s="1"/>
      <c r="CZ94" s="1"/>
      <c r="DA94" s="1"/>
      <c r="DB94" s="1"/>
      <c r="DC94" s="1"/>
      <c r="DD94" s="1"/>
      <c r="DE94" s="1"/>
      <c r="DF94" s="1"/>
      <c r="DG94" s="1"/>
      <c r="DH94" s="1"/>
      <c r="DI94" s="1"/>
      <c r="DJ94" s="1"/>
      <c r="DK94" s="1"/>
      <c r="DL94" s="1"/>
      <c r="DM94" s="1"/>
      <c r="DN94" s="1"/>
      <c r="DO94" s="1"/>
      <c r="DP94" s="1"/>
      <c r="DQ94" s="1"/>
      <c r="DR94" s="1"/>
      <c r="DS94" s="1"/>
      <c r="DT94" s="1"/>
      <c r="DU94" s="1"/>
      <c r="DV94" s="1"/>
      <c r="DW94" s="1"/>
      <c r="DX94" s="1"/>
      <c r="DY94" s="1"/>
      <c r="DZ94" s="1"/>
      <c r="EA94" s="1"/>
      <c r="EB94" s="1"/>
      <c r="EC94" s="1"/>
      <c r="ED94" s="1"/>
      <c r="EE94" s="1"/>
      <c r="EF94" s="1"/>
      <c r="EG94" s="1"/>
      <c r="EH94" s="1"/>
      <c r="EI94" s="1"/>
      <c r="EJ94" s="1"/>
      <c r="EK94" s="1"/>
      <c r="EL94" s="1"/>
      <c r="EM94" s="1"/>
      <c r="EN94" s="1"/>
      <c r="EO94" s="1"/>
      <c r="EP94" s="1"/>
      <c r="EQ94" s="1"/>
      <c r="ER94" s="1"/>
      <c r="ES94" s="1"/>
      <c r="ET94" s="1"/>
      <c r="EU94" s="1"/>
      <c r="EV94" s="1"/>
      <c r="EW94" s="1"/>
      <c r="EX94" s="1"/>
      <c r="EY94" s="1"/>
      <c r="EZ94" s="1"/>
      <c r="FA94" s="1"/>
      <c r="FB94" s="1"/>
      <c r="FC94" s="1"/>
      <c r="FD94" s="1"/>
      <c r="FE94" s="1"/>
      <c r="FF94" s="1"/>
      <c r="FG94" s="1"/>
      <c r="FH94" s="1"/>
      <c r="FI94" s="1"/>
      <c r="FJ94" s="1"/>
      <c r="FK94" s="1"/>
      <c r="FL94" s="1"/>
      <c r="FM94" s="1"/>
      <c r="FN94" s="1"/>
      <c r="FO94" s="1"/>
      <c r="FP94" s="1"/>
      <c r="FQ94" s="1"/>
      <c r="FR94" s="1"/>
      <c r="FS94" s="1"/>
      <c r="FT94" s="1"/>
      <c r="FU94" s="1"/>
      <c r="FV94" s="1"/>
      <c r="FW94" s="1"/>
      <c r="FX94" s="1"/>
      <c r="FY94" s="1"/>
      <c r="FZ94" s="1"/>
      <c r="GA94" s="1"/>
      <c r="GB94" s="1"/>
      <c r="GC94" s="1"/>
      <c r="GD94" s="1"/>
      <c r="GE94" s="1"/>
      <c r="GF94" s="1"/>
      <c r="GG94" s="1"/>
      <c r="GH94" s="1"/>
      <c r="GI94" s="1"/>
      <c r="GJ94" s="1"/>
      <c r="GK94" s="1"/>
      <c r="GL94" s="1"/>
      <c r="GM94" s="1"/>
      <c r="GN94" s="1"/>
      <c r="GO94" s="1"/>
      <c r="GP94" s="1"/>
      <c r="GQ94" s="1"/>
      <c r="GR94" s="1"/>
      <c r="GS94" s="1"/>
      <c r="GT94" s="1"/>
      <c r="GU94" s="1"/>
      <c r="GV94" s="1"/>
      <c r="GW94" s="1"/>
      <c r="GX94" s="1"/>
      <c r="GY94" s="1"/>
      <c r="GZ94" s="1"/>
      <c r="HA94" s="1"/>
      <c r="HB94" s="1"/>
      <c r="HC94" s="1"/>
      <c r="HD94" s="1"/>
      <c r="HE94" s="1"/>
      <c r="HF94" s="1"/>
      <c r="HG94" s="1"/>
      <c r="HH94" s="1"/>
      <c r="HI94" s="1"/>
      <c r="HJ94" s="1"/>
      <c r="HK94" s="1"/>
      <c r="HL94" s="1"/>
      <c r="HM94" s="1"/>
      <c r="HN94" s="1"/>
      <c r="HO94" s="1"/>
      <c r="HP94" s="1"/>
      <c r="HQ94" s="1"/>
      <c r="HR94" s="1"/>
      <c r="HS94" s="1"/>
      <c r="HT94" s="1"/>
      <c r="HU94" s="1"/>
      <c r="HV94" s="1"/>
      <c r="HW94" s="1"/>
      <c r="HX94" s="1"/>
      <c r="HY94" s="1"/>
      <c r="HZ94" s="1"/>
      <c r="IA94" s="1"/>
      <c r="IB94" s="1"/>
      <c r="IC94" s="1"/>
      <c r="ID94" s="1"/>
      <c r="IE94" s="1"/>
      <c r="IF94" s="1"/>
      <c r="IG94" s="1"/>
      <c r="IH94" s="1"/>
      <c r="II94" s="1"/>
      <c r="IJ94" s="1"/>
      <c r="IK94" s="1"/>
      <c r="IL94" s="1"/>
      <c r="IM94" s="1"/>
      <c r="IN94" s="1"/>
      <c r="IO94" s="1"/>
      <c r="IP94" s="1"/>
      <c r="IQ94" s="1"/>
      <c r="IR94" s="1"/>
      <c r="IS94" s="1"/>
      <c r="IT94" s="1"/>
      <c r="IU94" s="1"/>
      <c r="IV94" s="1"/>
      <c r="IW94" s="1"/>
      <c r="IX94" s="1"/>
      <c r="IY94" s="1"/>
      <c r="IZ94" s="1"/>
      <c r="JA94" s="1"/>
      <c r="JB94" s="1"/>
      <c r="JC94" s="1"/>
      <c r="JD94" s="1"/>
      <c r="JE94" s="1"/>
      <c r="JF94" s="1"/>
      <c r="JG94" s="1"/>
      <c r="JH94" s="1"/>
      <c r="JI94" s="1"/>
      <c r="JJ94" s="1"/>
      <c r="JK94" s="1"/>
      <c r="JL94" s="1"/>
      <c r="JM94" s="1"/>
      <c r="JN94" s="1"/>
      <c r="JO94" s="1"/>
      <c r="JP94" s="1"/>
      <c r="JQ94" s="1"/>
      <c r="JR94" s="1"/>
      <c r="JS94" s="1"/>
      <c r="JT94" s="1"/>
      <c r="JU94" s="1"/>
      <c r="JV94" s="1"/>
      <c r="JW94" s="1"/>
      <c r="JX94" s="1"/>
      <c r="JY94" s="1"/>
      <c r="JZ94" s="1"/>
      <c r="KA94" s="1"/>
      <c r="KB94" s="1"/>
      <c r="KC94" s="1"/>
      <c r="KD94" s="1"/>
      <c r="KE94" s="1"/>
      <c r="KF94" s="1"/>
      <c r="KG94" s="1"/>
      <c r="KH94" s="1"/>
      <c r="KI94" s="1"/>
      <c r="KJ94" s="1"/>
      <c r="KK94" s="1"/>
      <c r="KL94" s="1"/>
      <c r="KM94" s="1"/>
      <c r="KN94" s="1"/>
      <c r="KO94" s="1"/>
      <c r="KP94" s="1"/>
      <c r="KQ94" s="1"/>
      <c r="KR94" s="1"/>
      <c r="KS94" s="1"/>
      <c r="KT94" s="1"/>
      <c r="KU94" s="1"/>
      <c r="KV94" s="1"/>
      <c r="KW94" s="1"/>
      <c r="KX94" s="1"/>
      <c r="KY94" s="1"/>
      <c r="KZ94" s="1"/>
      <c r="LA94" s="1"/>
      <c r="LB94" s="1"/>
      <c r="LC94" s="1"/>
      <c r="LD94" s="1"/>
      <c r="LE94" s="1"/>
      <c r="LF94" s="1"/>
      <c r="LG94" s="1"/>
      <c r="LH94" s="1"/>
      <c r="LI94" s="1"/>
      <c r="LJ94" s="1"/>
      <c r="LK94" s="1"/>
      <c r="LL94" s="1"/>
      <c r="LM94" s="1"/>
      <c r="LN94" s="1"/>
      <c r="LO94" s="1"/>
      <c r="LP94" s="1"/>
      <c r="LQ94" s="1"/>
      <c r="LR94" s="1"/>
      <c r="LS94" s="1"/>
    </row>
    <row r="95" spans="1:331" s="40" customFormat="1" x14ac:dyDescent="0.25">
      <c r="A95" s="40" t="s">
        <v>419</v>
      </c>
      <c r="B95" s="44" t="s">
        <v>419</v>
      </c>
      <c r="C95" s="94" t="s">
        <v>1647</v>
      </c>
      <c r="D95" s="40">
        <v>0</v>
      </c>
      <c r="H95" s="40" t="s">
        <v>420</v>
      </c>
      <c r="I95" s="40" t="s">
        <v>421</v>
      </c>
      <c r="J95" s="40" t="s">
        <v>422</v>
      </c>
      <c r="K95" s="40" t="s">
        <v>420</v>
      </c>
      <c r="L95" s="40">
        <v>0</v>
      </c>
      <c r="O95" s="40">
        <v>1</v>
      </c>
      <c r="P95" s="40" t="s">
        <v>423</v>
      </c>
      <c r="Q95" s="96" t="s">
        <v>437</v>
      </c>
      <c r="R95" s="96"/>
      <c r="T95" s="40">
        <v>12</v>
      </c>
      <c r="V95" s="40">
        <v>13</v>
      </c>
      <c r="W95" s="96">
        <v>12</v>
      </c>
      <c r="X95" s="96"/>
      <c r="Y95" s="96"/>
      <c r="Z95" s="40">
        <v>8</v>
      </c>
      <c r="AA95" s="94" t="b">
        <v>1</v>
      </c>
      <c r="AB95" s="1"/>
      <c r="AC95" s="57" t="s">
        <v>1406</v>
      </c>
      <c r="AD95" s="1"/>
      <c r="AE95" s="57"/>
      <c r="AF95" s="1"/>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
      <c r="BI95" s="1"/>
      <c r="BJ95" s="1"/>
      <c r="BK95" s="1"/>
      <c r="BL95" s="1"/>
      <c r="BM95" s="1"/>
      <c r="BN95" s="1"/>
      <c r="BO95" s="1"/>
      <c r="BP95" s="1"/>
      <c r="BQ95" s="1"/>
      <c r="BR95" s="1"/>
      <c r="BS95" s="1"/>
      <c r="BT95" s="1"/>
      <c r="BU95" s="1"/>
      <c r="BV95" s="1"/>
      <c r="BW95" s="1"/>
      <c r="BX95" s="1"/>
      <c r="BY95" s="1"/>
      <c r="BZ95" s="1"/>
      <c r="CA95" s="1"/>
      <c r="CB95" s="1"/>
      <c r="CC95" s="1"/>
      <c r="CD95" s="1"/>
      <c r="CE95" s="1"/>
      <c r="CF95" s="1"/>
      <c r="CG95" s="1"/>
      <c r="CH95" s="1"/>
      <c r="CI95" s="1"/>
      <c r="CJ95" s="1"/>
      <c r="CK95" s="1"/>
      <c r="CL95" s="1"/>
      <c r="CM95" s="1"/>
      <c r="CN95" s="1"/>
      <c r="CO95" s="1"/>
      <c r="CP95" s="1"/>
      <c r="CQ95" s="1"/>
      <c r="CR95" s="1"/>
      <c r="CS95" s="1"/>
      <c r="CT95" s="1"/>
      <c r="CU95" s="1"/>
      <c r="CV95" s="1"/>
      <c r="CW95" s="1"/>
      <c r="CX95" s="1"/>
      <c r="CY95" s="1"/>
      <c r="CZ95" s="1"/>
      <c r="DA95" s="1"/>
      <c r="DB95" s="1"/>
      <c r="DC95" s="1"/>
      <c r="DD95" s="1"/>
      <c r="DE95" s="1"/>
      <c r="DF95" s="1"/>
      <c r="DG95" s="1"/>
      <c r="DH95" s="1"/>
      <c r="DI95" s="1"/>
      <c r="DJ95" s="1"/>
      <c r="DK95" s="1"/>
      <c r="DL95" s="1"/>
      <c r="DM95" s="1"/>
      <c r="DN95" s="1"/>
      <c r="DO95" s="1"/>
      <c r="DP95" s="1"/>
      <c r="DQ95" s="1"/>
      <c r="DR95" s="1"/>
      <c r="DS95" s="1"/>
      <c r="DT95" s="1"/>
      <c r="DU95" s="1"/>
      <c r="DV95" s="1"/>
      <c r="DW95" s="1"/>
      <c r="DX95" s="1"/>
      <c r="DY95" s="1"/>
      <c r="DZ95" s="1"/>
      <c r="EA95" s="1"/>
      <c r="EB95" s="1"/>
      <c r="EC95" s="1"/>
      <c r="ED95" s="1"/>
      <c r="EE95" s="1"/>
      <c r="EF95" s="1"/>
      <c r="EG95" s="1"/>
      <c r="EH95" s="1"/>
      <c r="EI95" s="1"/>
      <c r="EJ95" s="1"/>
      <c r="EK95" s="1"/>
      <c r="EL95" s="1"/>
      <c r="EM95" s="1"/>
      <c r="EN95" s="1"/>
      <c r="EO95" s="1"/>
      <c r="EP95" s="1"/>
      <c r="EQ95" s="1"/>
      <c r="ER95" s="1"/>
      <c r="ES95" s="1"/>
      <c r="ET95" s="1"/>
      <c r="EU95" s="1"/>
      <c r="EV95" s="1"/>
      <c r="EW95" s="1"/>
      <c r="EX95" s="1"/>
      <c r="EY95" s="1"/>
      <c r="EZ95" s="1"/>
      <c r="FA95" s="1"/>
      <c r="FB95" s="1"/>
      <c r="FC95" s="1"/>
      <c r="FD95" s="1"/>
      <c r="FE95" s="1"/>
      <c r="FF95" s="1"/>
      <c r="FG95" s="1"/>
      <c r="FH95" s="1"/>
      <c r="FI95" s="1"/>
      <c r="FJ95" s="1"/>
      <c r="FK95" s="1"/>
      <c r="FL95" s="1"/>
      <c r="FM95" s="1"/>
      <c r="FN95" s="1"/>
      <c r="FO95" s="1"/>
      <c r="FP95" s="1"/>
      <c r="FQ95" s="1"/>
      <c r="FR95" s="1"/>
      <c r="FS95" s="1"/>
      <c r="FT95" s="1"/>
      <c r="FU95" s="1"/>
      <c r="FV95" s="1"/>
      <c r="FW95" s="1"/>
      <c r="FX95" s="1"/>
      <c r="FY95" s="1"/>
      <c r="FZ95" s="1"/>
      <c r="GA95" s="1"/>
      <c r="GB95" s="1"/>
      <c r="GC95" s="1"/>
      <c r="GD95" s="1"/>
      <c r="GE95" s="1"/>
      <c r="GF95" s="1"/>
      <c r="GG95" s="1"/>
      <c r="GH95" s="1"/>
      <c r="GI95" s="1"/>
      <c r="GJ95" s="1"/>
      <c r="GK95" s="1"/>
      <c r="GL95" s="1"/>
      <c r="GM95" s="1"/>
      <c r="GN95" s="1"/>
      <c r="GO95" s="1"/>
      <c r="GP95" s="1"/>
      <c r="GQ95" s="1"/>
      <c r="GR95" s="1"/>
      <c r="GS95" s="1"/>
      <c r="GT95" s="1"/>
      <c r="GU95" s="1"/>
      <c r="GV95" s="1"/>
      <c r="GW95" s="1"/>
      <c r="GX95" s="1"/>
      <c r="GY95" s="1"/>
      <c r="GZ95" s="1"/>
      <c r="HA95" s="1"/>
      <c r="HB95" s="1"/>
      <c r="HC95" s="1"/>
      <c r="HD95" s="1"/>
      <c r="HE95" s="1"/>
      <c r="HF95" s="1"/>
      <c r="HG95" s="1"/>
      <c r="HH95" s="1"/>
      <c r="HI95" s="1"/>
      <c r="HJ95" s="1"/>
      <c r="HK95" s="1"/>
      <c r="HL95" s="1"/>
      <c r="HM95" s="1"/>
      <c r="HN95" s="1"/>
      <c r="HO95" s="1"/>
      <c r="HP95" s="1"/>
      <c r="HQ95" s="1"/>
      <c r="HR95" s="1"/>
      <c r="HS95" s="1"/>
      <c r="HT95" s="1"/>
      <c r="HU95" s="1"/>
      <c r="HV95" s="1"/>
      <c r="HW95" s="1"/>
      <c r="HX95" s="1"/>
      <c r="HY95" s="1"/>
      <c r="HZ95" s="1"/>
      <c r="IA95" s="1"/>
      <c r="IB95" s="1"/>
      <c r="IC95" s="1"/>
      <c r="ID95" s="1"/>
      <c r="IE95" s="1"/>
      <c r="IF95" s="1"/>
      <c r="IG95" s="1"/>
      <c r="IH95" s="1"/>
      <c r="II95" s="1"/>
      <c r="IJ95" s="1"/>
      <c r="IK95" s="1"/>
      <c r="IL95" s="1"/>
      <c r="IM95" s="1"/>
      <c r="IN95" s="1"/>
      <c r="IO95" s="1"/>
      <c r="IP95" s="1"/>
      <c r="IQ95" s="1"/>
      <c r="IR95" s="1"/>
      <c r="IS95" s="1"/>
      <c r="IT95" s="1"/>
      <c r="IU95" s="1"/>
      <c r="IV95" s="1"/>
      <c r="IW95" s="1"/>
      <c r="IX95" s="1"/>
      <c r="IY95" s="1"/>
      <c r="IZ95" s="1"/>
      <c r="JA95" s="1"/>
      <c r="JB95" s="1"/>
      <c r="JC95" s="1"/>
      <c r="JD95" s="1"/>
      <c r="JE95" s="1"/>
      <c r="JF95" s="1"/>
      <c r="JG95" s="1"/>
      <c r="JH95" s="1"/>
      <c r="JI95" s="1"/>
      <c r="JJ95" s="1"/>
      <c r="JK95" s="1"/>
      <c r="JL95" s="1"/>
      <c r="JM95" s="1"/>
      <c r="JN95" s="1"/>
      <c r="JO95" s="1"/>
      <c r="JP95" s="1"/>
      <c r="JQ95" s="1"/>
      <c r="JR95" s="1"/>
      <c r="JS95" s="1"/>
      <c r="JT95" s="1"/>
      <c r="JU95" s="1"/>
      <c r="JV95" s="1"/>
      <c r="JW95" s="1"/>
      <c r="JX95" s="1"/>
      <c r="JY95" s="1"/>
      <c r="JZ95" s="1"/>
      <c r="KA95" s="1"/>
      <c r="KB95" s="1"/>
      <c r="KC95" s="1"/>
      <c r="KD95" s="1"/>
      <c r="KE95" s="1"/>
      <c r="KF95" s="1"/>
      <c r="KG95" s="1"/>
      <c r="KH95" s="1"/>
      <c r="KI95" s="1"/>
      <c r="KJ95" s="1"/>
      <c r="KK95" s="1"/>
      <c r="KL95" s="1"/>
      <c r="KM95" s="1"/>
      <c r="KN95" s="1"/>
      <c r="KO95" s="1"/>
      <c r="KP95" s="1"/>
      <c r="KQ95" s="1"/>
      <c r="KR95" s="1"/>
      <c r="KS95" s="1"/>
      <c r="KT95" s="1"/>
      <c r="KU95" s="1"/>
      <c r="KV95" s="1"/>
      <c r="KW95" s="1"/>
      <c r="KX95" s="1"/>
      <c r="KY95" s="1"/>
      <c r="KZ95" s="1"/>
      <c r="LA95" s="1"/>
      <c r="LB95" s="1"/>
      <c r="LC95" s="1"/>
      <c r="LD95" s="1"/>
      <c r="LE95" s="1"/>
      <c r="LF95" s="1"/>
      <c r="LG95" s="1"/>
      <c r="LH95" s="1"/>
      <c r="LI95" s="1"/>
      <c r="LJ95" s="1"/>
      <c r="LK95" s="1"/>
      <c r="LL95" s="1"/>
      <c r="LM95" s="1"/>
      <c r="LN95" s="1"/>
      <c r="LO95" s="1"/>
      <c r="LP95" s="1"/>
      <c r="LQ95" s="1"/>
      <c r="LR95" s="1"/>
      <c r="LS95" s="1"/>
    </row>
    <row r="96" spans="1:331" s="40" customFormat="1" x14ac:dyDescent="0.25">
      <c r="A96" s="40" t="s">
        <v>424</v>
      </c>
      <c r="B96" s="44" t="s">
        <v>424</v>
      </c>
      <c r="C96" s="94" t="s">
        <v>1647</v>
      </c>
      <c r="D96" s="40">
        <v>0</v>
      </c>
      <c r="H96" s="40" t="s">
        <v>425</v>
      </c>
      <c r="I96" s="40" t="s">
        <v>426</v>
      </c>
      <c r="J96" s="40" t="s">
        <v>427</v>
      </c>
      <c r="K96" s="40" t="s">
        <v>425</v>
      </c>
      <c r="L96" s="40">
        <v>0</v>
      </c>
      <c r="O96" s="40">
        <v>1</v>
      </c>
      <c r="P96" s="40" t="s">
        <v>428</v>
      </c>
      <c r="Q96" s="96" t="s">
        <v>645</v>
      </c>
      <c r="R96" s="96"/>
      <c r="T96" s="40">
        <v>16</v>
      </c>
      <c r="V96" s="40">
        <v>17</v>
      </c>
      <c r="W96" s="96">
        <v>16</v>
      </c>
      <c r="X96" s="96"/>
      <c r="Y96" s="96"/>
      <c r="Z96" s="40">
        <v>8</v>
      </c>
      <c r="AA96" s="94" t="b">
        <v>1</v>
      </c>
      <c r="AB96" s="1"/>
      <c r="AC96" s="57" t="s">
        <v>1395</v>
      </c>
      <c r="AD96" s="1"/>
      <c r="AE96" s="57"/>
      <c r="AF96" s="1"/>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
      <c r="BI96" s="1"/>
      <c r="BJ96" s="1"/>
      <c r="BK96" s="1"/>
      <c r="BL96" s="1"/>
      <c r="BM96" s="1"/>
      <c r="BN96" s="1"/>
      <c r="BO96" s="1"/>
      <c r="BP96" s="1"/>
      <c r="BQ96" s="1"/>
      <c r="BR96" s="1"/>
      <c r="BS96" s="1"/>
      <c r="BT96" s="1"/>
      <c r="BU96" s="1"/>
      <c r="BV96" s="1"/>
      <c r="BW96" s="1"/>
      <c r="BX96" s="1"/>
      <c r="BY96" s="1"/>
      <c r="BZ96" s="1"/>
      <c r="CA96" s="1"/>
      <c r="CB96" s="1"/>
      <c r="CC96" s="1"/>
      <c r="CD96" s="1"/>
      <c r="CE96" s="1"/>
      <c r="CF96" s="1"/>
      <c r="CG96" s="1"/>
      <c r="CH96" s="1"/>
      <c r="CI96" s="1"/>
      <c r="CJ96" s="1"/>
      <c r="CK96" s="1"/>
      <c r="CL96" s="1"/>
      <c r="CM96" s="1"/>
      <c r="CN96" s="1"/>
      <c r="CO96" s="1"/>
      <c r="CP96" s="1"/>
      <c r="CQ96" s="1"/>
      <c r="CR96" s="1"/>
      <c r="CS96" s="1"/>
      <c r="CT96" s="1"/>
      <c r="CU96" s="1"/>
      <c r="CV96" s="1"/>
      <c r="CW96" s="1"/>
      <c r="CX96" s="1"/>
      <c r="CY96" s="1"/>
      <c r="CZ96" s="1"/>
      <c r="DA96" s="1"/>
      <c r="DB96" s="1"/>
      <c r="DC96" s="1"/>
      <c r="DD96" s="1"/>
      <c r="DE96" s="1"/>
      <c r="DF96" s="1"/>
      <c r="DG96" s="1"/>
      <c r="DH96" s="1"/>
      <c r="DI96" s="1"/>
      <c r="DJ96" s="1"/>
      <c r="DK96" s="1"/>
      <c r="DL96" s="1"/>
      <c r="DM96" s="1"/>
      <c r="DN96" s="1"/>
      <c r="DO96" s="1"/>
      <c r="DP96" s="1"/>
      <c r="DQ96" s="1"/>
      <c r="DR96" s="1"/>
      <c r="DS96" s="1"/>
      <c r="DT96" s="1"/>
      <c r="DU96" s="1"/>
      <c r="DV96" s="1"/>
      <c r="DW96" s="1"/>
      <c r="DX96" s="1"/>
      <c r="DY96" s="1"/>
      <c r="DZ96" s="1"/>
      <c r="EA96" s="1"/>
      <c r="EB96" s="1"/>
      <c r="EC96" s="1"/>
      <c r="ED96" s="1"/>
      <c r="EE96" s="1"/>
      <c r="EF96" s="1"/>
      <c r="EG96" s="1"/>
      <c r="EH96" s="1"/>
      <c r="EI96" s="1"/>
      <c r="EJ96" s="1"/>
      <c r="EK96" s="1"/>
      <c r="EL96" s="1"/>
      <c r="EM96" s="1"/>
      <c r="EN96" s="1"/>
      <c r="EO96" s="1"/>
      <c r="EP96" s="1"/>
      <c r="EQ96" s="1"/>
      <c r="ER96" s="1"/>
      <c r="ES96" s="1"/>
      <c r="ET96" s="1"/>
      <c r="EU96" s="1"/>
      <c r="EV96" s="1"/>
      <c r="EW96" s="1"/>
      <c r="EX96" s="1"/>
      <c r="EY96" s="1"/>
      <c r="EZ96" s="1"/>
      <c r="FA96" s="1"/>
      <c r="FB96" s="1"/>
      <c r="FC96" s="1"/>
      <c r="FD96" s="1"/>
      <c r="FE96" s="1"/>
      <c r="FF96" s="1"/>
      <c r="FG96" s="1"/>
      <c r="FH96" s="1"/>
      <c r="FI96" s="1"/>
      <c r="FJ96" s="1"/>
      <c r="FK96" s="1"/>
      <c r="FL96" s="1"/>
      <c r="FM96" s="1"/>
      <c r="FN96" s="1"/>
      <c r="FO96" s="1"/>
      <c r="FP96" s="1"/>
      <c r="FQ96" s="1"/>
      <c r="FR96" s="1"/>
      <c r="FS96" s="1"/>
      <c r="FT96" s="1"/>
      <c r="FU96" s="1"/>
      <c r="FV96" s="1"/>
      <c r="FW96" s="1"/>
      <c r="FX96" s="1"/>
      <c r="FY96" s="1"/>
      <c r="FZ96" s="1"/>
      <c r="GA96" s="1"/>
      <c r="GB96" s="1"/>
      <c r="GC96" s="1"/>
      <c r="GD96" s="1"/>
      <c r="GE96" s="1"/>
      <c r="GF96" s="1"/>
      <c r="GG96" s="1"/>
      <c r="GH96" s="1"/>
      <c r="GI96" s="1"/>
      <c r="GJ96" s="1"/>
      <c r="GK96" s="1"/>
      <c r="GL96" s="1"/>
      <c r="GM96" s="1"/>
      <c r="GN96" s="1"/>
      <c r="GO96" s="1"/>
      <c r="GP96" s="1"/>
      <c r="GQ96" s="1"/>
      <c r="GR96" s="1"/>
      <c r="GS96" s="1"/>
      <c r="GT96" s="1"/>
      <c r="GU96" s="1"/>
      <c r="GV96" s="1"/>
      <c r="GW96" s="1"/>
      <c r="GX96" s="1"/>
      <c r="GY96" s="1"/>
      <c r="GZ96" s="1"/>
      <c r="HA96" s="1"/>
      <c r="HB96" s="1"/>
      <c r="HC96" s="1"/>
      <c r="HD96" s="1"/>
      <c r="HE96" s="1"/>
      <c r="HF96" s="1"/>
      <c r="HG96" s="1"/>
      <c r="HH96" s="1"/>
      <c r="HI96" s="1"/>
      <c r="HJ96" s="1"/>
      <c r="HK96" s="1"/>
      <c r="HL96" s="1"/>
      <c r="HM96" s="1"/>
      <c r="HN96" s="1"/>
      <c r="HO96" s="1"/>
      <c r="HP96" s="1"/>
      <c r="HQ96" s="1"/>
      <c r="HR96" s="1"/>
      <c r="HS96" s="1"/>
      <c r="HT96" s="1"/>
      <c r="HU96" s="1"/>
      <c r="HV96" s="1"/>
      <c r="HW96" s="1"/>
      <c r="HX96" s="1"/>
      <c r="HY96" s="1"/>
      <c r="HZ96" s="1"/>
      <c r="IA96" s="1"/>
      <c r="IB96" s="1"/>
      <c r="IC96" s="1"/>
      <c r="ID96" s="1"/>
      <c r="IE96" s="1"/>
      <c r="IF96" s="1"/>
      <c r="IG96" s="1"/>
      <c r="IH96" s="1"/>
      <c r="II96" s="1"/>
      <c r="IJ96" s="1"/>
      <c r="IK96" s="1"/>
      <c r="IL96" s="1"/>
      <c r="IM96" s="1"/>
      <c r="IN96" s="1"/>
      <c r="IO96" s="1"/>
      <c r="IP96" s="1"/>
      <c r="IQ96" s="1"/>
      <c r="IR96" s="1"/>
      <c r="IS96" s="1"/>
      <c r="IT96" s="1"/>
      <c r="IU96" s="1"/>
      <c r="IV96" s="1"/>
      <c r="IW96" s="1"/>
      <c r="IX96" s="1"/>
      <c r="IY96" s="1"/>
      <c r="IZ96" s="1"/>
      <c r="JA96" s="1"/>
      <c r="JB96" s="1"/>
      <c r="JC96" s="1"/>
      <c r="JD96" s="1"/>
      <c r="JE96" s="1"/>
      <c r="JF96" s="1"/>
      <c r="JG96" s="1"/>
      <c r="JH96" s="1"/>
      <c r="JI96" s="1"/>
      <c r="JJ96" s="1"/>
      <c r="JK96" s="1"/>
      <c r="JL96" s="1"/>
      <c r="JM96" s="1"/>
      <c r="JN96" s="1"/>
      <c r="JO96" s="1"/>
      <c r="JP96" s="1"/>
      <c r="JQ96" s="1"/>
      <c r="JR96" s="1"/>
      <c r="JS96" s="1"/>
      <c r="JT96" s="1"/>
      <c r="JU96" s="1"/>
      <c r="JV96" s="1"/>
      <c r="JW96" s="1"/>
      <c r="JX96" s="1"/>
      <c r="JY96" s="1"/>
      <c r="JZ96" s="1"/>
      <c r="KA96" s="1"/>
      <c r="KB96" s="1"/>
      <c r="KC96" s="1"/>
      <c r="KD96" s="1"/>
      <c r="KE96" s="1"/>
      <c r="KF96" s="1"/>
      <c r="KG96" s="1"/>
      <c r="KH96" s="1"/>
      <c r="KI96" s="1"/>
      <c r="KJ96" s="1"/>
      <c r="KK96" s="1"/>
      <c r="KL96" s="1"/>
      <c r="KM96" s="1"/>
      <c r="KN96" s="1"/>
      <c r="KO96" s="1"/>
      <c r="KP96" s="1"/>
      <c r="KQ96" s="1"/>
      <c r="KR96" s="1"/>
      <c r="KS96" s="1"/>
      <c r="KT96" s="1"/>
      <c r="KU96" s="1"/>
      <c r="KV96" s="1"/>
      <c r="KW96" s="1"/>
      <c r="KX96" s="1"/>
      <c r="KY96" s="1"/>
      <c r="KZ96" s="1"/>
      <c r="LA96" s="1"/>
      <c r="LB96" s="1"/>
      <c r="LC96" s="1"/>
      <c r="LD96" s="1"/>
      <c r="LE96" s="1"/>
      <c r="LF96" s="1"/>
      <c r="LG96" s="1"/>
      <c r="LH96" s="1"/>
      <c r="LI96" s="1"/>
      <c r="LJ96" s="1"/>
      <c r="LK96" s="1"/>
      <c r="LL96" s="1"/>
      <c r="LM96" s="1"/>
      <c r="LN96" s="1"/>
      <c r="LO96" s="1"/>
      <c r="LP96" s="1"/>
      <c r="LQ96" s="1"/>
      <c r="LR96" s="1"/>
      <c r="LS96" s="1"/>
    </row>
    <row r="97" spans="1:331" s="25" customFormat="1" x14ac:dyDescent="0.25">
      <c r="A97" s="25" t="s">
        <v>429</v>
      </c>
      <c r="B97" s="29" t="s">
        <v>429</v>
      </c>
      <c r="C97" s="94" t="s">
        <v>1647</v>
      </c>
      <c r="D97" s="25">
        <v>0</v>
      </c>
      <c r="H97" s="25" t="s">
        <v>430</v>
      </c>
      <c r="I97" s="25" t="s">
        <v>431</v>
      </c>
      <c r="J97" s="25" t="s">
        <v>430</v>
      </c>
      <c r="K97" s="25" t="s">
        <v>431</v>
      </c>
      <c r="L97" s="25">
        <v>0</v>
      </c>
      <c r="O97" s="25">
        <v>1</v>
      </c>
      <c r="Q97" s="96" t="s">
        <v>438</v>
      </c>
      <c r="R97" s="96"/>
      <c r="T97" s="25">
        <v>11</v>
      </c>
      <c r="V97" s="25">
        <v>11</v>
      </c>
      <c r="W97" s="96">
        <v>11</v>
      </c>
      <c r="X97" s="96"/>
      <c r="Y97" s="96"/>
      <c r="Z97" s="25">
        <v>5</v>
      </c>
      <c r="AA97" s="94" t="b">
        <v>1</v>
      </c>
      <c r="AB97" s="1"/>
      <c r="AC97" s="57" t="s">
        <v>1336</v>
      </c>
      <c r="AD97" s="1"/>
      <c r="AE97" s="57"/>
      <c r="AF97" s="1"/>
      <c r="AG97" s="1"/>
      <c r="AH97" s="1"/>
      <c r="AI97" s="1"/>
      <c r="AJ97" s="1"/>
      <c r="AK97" s="1"/>
      <c r="AL97" s="1"/>
      <c r="AM97" s="1"/>
      <c r="AN97" s="1"/>
      <c r="AO97" s="1"/>
      <c r="AP97" s="1"/>
      <c r="AQ97" s="1"/>
      <c r="AR97" s="1"/>
      <c r="AS97" s="1"/>
      <c r="AT97" s="1"/>
      <c r="AU97" s="1"/>
      <c r="AV97" s="1"/>
      <c r="AW97" s="1"/>
      <c r="AX97" s="1"/>
      <c r="AY97" s="1"/>
      <c r="AZ97" s="1"/>
      <c r="BA97" s="1"/>
      <c r="BB97" s="1"/>
      <c r="BC97" s="1"/>
      <c r="BD97" s="1"/>
      <c r="BE97" s="1"/>
      <c r="BF97" s="1"/>
      <c r="BG97" s="1"/>
      <c r="BH97" s="1"/>
      <c r="BI97" s="1"/>
      <c r="BJ97" s="1"/>
      <c r="BK97" s="1"/>
      <c r="BL97" s="1"/>
      <c r="BM97" s="1"/>
      <c r="BN97" s="1"/>
      <c r="BO97" s="1"/>
      <c r="BP97" s="1"/>
      <c r="BQ97" s="1"/>
      <c r="BR97" s="1"/>
      <c r="BS97" s="1"/>
      <c r="BT97" s="1"/>
      <c r="BU97" s="1"/>
      <c r="BV97" s="1"/>
      <c r="BW97" s="1"/>
      <c r="BX97" s="1"/>
      <c r="BY97" s="1"/>
      <c r="BZ97" s="1"/>
      <c r="CA97" s="1"/>
      <c r="CB97" s="1"/>
      <c r="CC97" s="1"/>
      <c r="CD97" s="1"/>
      <c r="CE97" s="1"/>
      <c r="CF97" s="1"/>
      <c r="CG97" s="1"/>
      <c r="CH97" s="1"/>
      <c r="CI97" s="1"/>
      <c r="CJ97" s="1"/>
      <c r="CK97" s="1"/>
      <c r="CL97" s="1"/>
      <c r="CM97" s="1"/>
      <c r="CN97" s="1"/>
      <c r="CO97" s="1"/>
      <c r="CP97" s="1"/>
      <c r="CQ97" s="1"/>
      <c r="CR97" s="1"/>
      <c r="CS97" s="1"/>
      <c r="CT97" s="1"/>
      <c r="CU97" s="1"/>
      <c r="CV97" s="1"/>
      <c r="CW97" s="1"/>
      <c r="CX97" s="1"/>
      <c r="CY97" s="1"/>
      <c r="CZ97" s="1"/>
      <c r="DA97" s="1"/>
      <c r="DB97" s="1"/>
      <c r="DC97" s="1"/>
      <c r="DD97" s="1"/>
      <c r="DE97" s="1"/>
      <c r="DF97" s="1"/>
      <c r="DG97" s="1"/>
      <c r="DH97" s="1"/>
      <c r="DI97" s="1"/>
      <c r="DJ97" s="1"/>
      <c r="DK97" s="1"/>
      <c r="DL97" s="1"/>
      <c r="DM97" s="1"/>
      <c r="DN97" s="1"/>
      <c r="DO97" s="1"/>
      <c r="DP97" s="1"/>
      <c r="DQ97" s="1"/>
      <c r="DR97" s="1"/>
      <c r="DS97" s="1"/>
      <c r="DT97" s="1"/>
      <c r="DU97" s="1"/>
      <c r="DV97" s="1"/>
      <c r="DW97" s="1"/>
      <c r="DX97" s="1"/>
      <c r="DY97" s="1"/>
      <c r="DZ97" s="1"/>
      <c r="EA97" s="1"/>
      <c r="EB97" s="1"/>
      <c r="EC97" s="1"/>
      <c r="ED97" s="1"/>
      <c r="EE97" s="1"/>
      <c r="EF97" s="1"/>
      <c r="EG97" s="1"/>
      <c r="EH97" s="1"/>
      <c r="EI97" s="1"/>
      <c r="EJ97" s="1"/>
      <c r="EK97" s="1"/>
      <c r="EL97" s="1"/>
      <c r="EM97" s="1"/>
      <c r="EN97" s="1"/>
      <c r="EO97" s="1"/>
      <c r="EP97" s="1"/>
      <c r="EQ97" s="1"/>
      <c r="ER97" s="1"/>
      <c r="ES97" s="1"/>
      <c r="ET97" s="1"/>
      <c r="EU97" s="1"/>
      <c r="EV97" s="1"/>
      <c r="EW97" s="1"/>
      <c r="EX97" s="1"/>
      <c r="EY97" s="1"/>
      <c r="EZ97" s="1"/>
      <c r="FA97" s="1"/>
      <c r="FB97" s="1"/>
      <c r="FC97" s="1"/>
      <c r="FD97" s="1"/>
      <c r="FE97" s="1"/>
      <c r="FF97" s="1"/>
      <c r="FG97" s="1"/>
      <c r="FH97" s="1"/>
      <c r="FI97" s="1"/>
      <c r="FJ97" s="1"/>
      <c r="FK97" s="1"/>
      <c r="FL97" s="1"/>
      <c r="FM97" s="1"/>
      <c r="FN97" s="1"/>
      <c r="FO97" s="1"/>
      <c r="FP97" s="1"/>
      <c r="FQ97" s="1"/>
      <c r="FR97" s="1"/>
      <c r="FS97" s="1"/>
      <c r="FT97" s="1"/>
      <c r="FU97" s="1"/>
      <c r="FV97" s="1"/>
      <c r="FW97" s="1"/>
      <c r="FX97" s="1"/>
      <c r="FY97" s="1"/>
      <c r="FZ97" s="1"/>
      <c r="GA97" s="1"/>
      <c r="GB97" s="1"/>
      <c r="GC97" s="1"/>
      <c r="GD97" s="1"/>
      <c r="GE97" s="1"/>
      <c r="GF97" s="1"/>
      <c r="GG97" s="1"/>
      <c r="GH97" s="1"/>
      <c r="GI97" s="1"/>
      <c r="GJ97" s="1"/>
      <c r="GK97" s="1"/>
      <c r="GL97" s="1"/>
      <c r="GM97" s="1"/>
      <c r="GN97" s="1"/>
      <c r="GO97" s="1"/>
      <c r="GP97" s="1"/>
      <c r="GQ97" s="1"/>
      <c r="GR97" s="1"/>
      <c r="GS97" s="1"/>
      <c r="GT97" s="1"/>
      <c r="GU97" s="1"/>
      <c r="GV97" s="1"/>
      <c r="GW97" s="1"/>
      <c r="GX97" s="1"/>
      <c r="GY97" s="1"/>
      <c r="GZ97" s="1"/>
      <c r="HA97" s="1"/>
      <c r="HB97" s="1"/>
      <c r="HC97" s="1"/>
      <c r="HD97" s="1"/>
      <c r="HE97" s="1"/>
      <c r="HF97" s="1"/>
      <c r="HG97" s="1"/>
      <c r="HH97" s="1"/>
      <c r="HI97" s="1"/>
      <c r="HJ97" s="1"/>
      <c r="HK97" s="1"/>
      <c r="HL97" s="1"/>
      <c r="HM97" s="1"/>
      <c r="HN97" s="1"/>
      <c r="HO97" s="1"/>
      <c r="HP97" s="1"/>
      <c r="HQ97" s="1"/>
      <c r="HR97" s="1"/>
      <c r="HS97" s="1"/>
      <c r="HT97" s="1"/>
      <c r="HU97" s="1"/>
      <c r="HV97" s="1"/>
      <c r="HW97" s="1"/>
      <c r="HX97" s="1"/>
      <c r="HY97" s="1"/>
      <c r="HZ97" s="1"/>
      <c r="IA97" s="1"/>
      <c r="IB97" s="1"/>
      <c r="IC97" s="1"/>
      <c r="ID97" s="1"/>
      <c r="IE97" s="1"/>
      <c r="IF97" s="1"/>
      <c r="IG97" s="1"/>
      <c r="IH97" s="1"/>
      <c r="II97" s="1"/>
      <c r="IJ97" s="1"/>
      <c r="IK97" s="1"/>
      <c r="IL97" s="1"/>
      <c r="IM97" s="1"/>
      <c r="IN97" s="1"/>
      <c r="IO97" s="1"/>
      <c r="IP97" s="1"/>
      <c r="IQ97" s="1"/>
      <c r="IR97" s="1"/>
      <c r="IS97" s="1"/>
      <c r="IT97" s="1"/>
      <c r="IU97" s="1"/>
      <c r="IV97" s="1"/>
      <c r="IW97" s="1"/>
      <c r="IX97" s="1"/>
      <c r="IY97" s="1"/>
      <c r="IZ97" s="1"/>
      <c r="JA97" s="1"/>
      <c r="JB97" s="1"/>
      <c r="JC97" s="1"/>
      <c r="JD97" s="1"/>
      <c r="JE97" s="1"/>
      <c r="JF97" s="1"/>
      <c r="JG97" s="1"/>
      <c r="JH97" s="1"/>
      <c r="JI97" s="1"/>
      <c r="JJ97" s="1"/>
      <c r="JK97" s="1"/>
      <c r="JL97" s="1"/>
      <c r="JM97" s="1"/>
      <c r="JN97" s="1"/>
      <c r="JO97" s="1"/>
      <c r="JP97" s="1"/>
      <c r="JQ97" s="1"/>
      <c r="JR97" s="1"/>
      <c r="JS97" s="1"/>
      <c r="JT97" s="1"/>
      <c r="JU97" s="1"/>
      <c r="JV97" s="1"/>
      <c r="JW97" s="1"/>
      <c r="JX97" s="1"/>
      <c r="JY97" s="1"/>
      <c r="JZ97" s="1"/>
      <c r="KA97" s="1"/>
      <c r="KB97" s="1"/>
      <c r="KC97" s="1"/>
      <c r="KD97" s="1"/>
      <c r="KE97" s="1"/>
      <c r="KF97" s="1"/>
      <c r="KG97" s="1"/>
      <c r="KH97" s="1"/>
      <c r="KI97" s="1"/>
      <c r="KJ97" s="1"/>
      <c r="KK97" s="1"/>
      <c r="KL97" s="1"/>
      <c r="KM97" s="1"/>
      <c r="KN97" s="1"/>
      <c r="KO97" s="1"/>
      <c r="KP97" s="1"/>
      <c r="KQ97" s="1"/>
      <c r="KR97" s="1"/>
      <c r="KS97" s="1"/>
      <c r="KT97" s="1"/>
      <c r="KU97" s="1"/>
      <c r="KV97" s="1"/>
      <c r="KW97" s="1"/>
      <c r="KX97" s="1"/>
      <c r="KY97" s="1"/>
      <c r="KZ97" s="1"/>
      <c r="LA97" s="1"/>
      <c r="LB97" s="1"/>
      <c r="LC97" s="1"/>
      <c r="LD97" s="1"/>
      <c r="LE97" s="1"/>
      <c r="LF97" s="1"/>
      <c r="LG97" s="1"/>
      <c r="LH97" s="1"/>
      <c r="LI97" s="1"/>
      <c r="LJ97" s="1"/>
      <c r="LK97" s="1"/>
      <c r="LL97" s="1"/>
      <c r="LM97" s="1"/>
      <c r="LN97" s="1"/>
      <c r="LO97" s="1"/>
      <c r="LP97" s="1"/>
      <c r="LQ97" s="1"/>
      <c r="LR97" s="1"/>
      <c r="LS97" s="1"/>
    </row>
    <row r="98" spans="1:331" s="40" customFormat="1" x14ac:dyDescent="0.25">
      <c r="A98" s="40" t="s">
        <v>432</v>
      </c>
      <c r="B98" s="44" t="s">
        <v>432</v>
      </c>
      <c r="C98" s="94" t="s">
        <v>1647</v>
      </c>
      <c r="D98" s="40">
        <v>0</v>
      </c>
      <c r="H98" s="40" t="s">
        <v>433</v>
      </c>
      <c r="I98" s="40" t="s">
        <v>428</v>
      </c>
      <c r="J98" s="40" t="s">
        <v>433</v>
      </c>
      <c r="K98" s="40" t="s">
        <v>1669</v>
      </c>
      <c r="L98" s="40">
        <v>0</v>
      </c>
      <c r="O98" s="40">
        <v>1</v>
      </c>
      <c r="P98" s="40" t="s">
        <v>434</v>
      </c>
      <c r="Q98" s="96" t="s">
        <v>1528</v>
      </c>
      <c r="R98" s="96"/>
      <c r="T98" s="40">
        <v>7</v>
      </c>
      <c r="V98" s="40">
        <v>8</v>
      </c>
      <c r="W98" s="96">
        <v>7</v>
      </c>
      <c r="X98" s="96"/>
      <c r="Y98" s="96"/>
      <c r="Z98" s="40">
        <v>8</v>
      </c>
      <c r="AA98" s="94" t="b">
        <v>1</v>
      </c>
      <c r="AB98" s="1"/>
      <c r="AC98" s="57" t="s">
        <v>1407</v>
      </c>
      <c r="AD98" s="1"/>
      <c r="AE98" s="57"/>
      <c r="AF98" s="1"/>
      <c r="AG98" s="1"/>
      <c r="AH98" s="1"/>
      <c r="AI98" s="1"/>
      <c r="AJ98" s="1"/>
      <c r="AK98" s="1"/>
      <c r="AL98" s="1"/>
      <c r="AM98" s="1"/>
      <c r="AN98" s="1"/>
      <c r="AO98" s="1"/>
      <c r="AP98" s="1"/>
      <c r="AQ98" s="1"/>
      <c r="AR98" s="1"/>
      <c r="AS98" s="1"/>
      <c r="AT98" s="1"/>
      <c r="AU98" s="1"/>
      <c r="AV98" s="1"/>
      <c r="AW98" s="1"/>
      <c r="AX98" s="1"/>
      <c r="AY98" s="1"/>
      <c r="AZ98" s="1"/>
      <c r="BA98" s="1"/>
      <c r="BB98" s="1"/>
      <c r="BC98" s="1"/>
      <c r="BD98" s="1"/>
      <c r="BE98" s="1"/>
      <c r="BF98" s="1"/>
      <c r="BG98" s="1"/>
      <c r="BH98" s="1"/>
      <c r="BI98" s="1"/>
      <c r="BJ98" s="1"/>
      <c r="BK98" s="1"/>
      <c r="BL98" s="1"/>
      <c r="BM98" s="1"/>
      <c r="BN98" s="1"/>
      <c r="BO98" s="1"/>
      <c r="BP98" s="1"/>
      <c r="BQ98" s="1"/>
      <c r="BR98" s="1"/>
      <c r="BS98" s="1"/>
      <c r="BT98" s="1"/>
      <c r="BU98" s="1"/>
      <c r="BV98" s="1"/>
      <c r="BW98" s="1"/>
      <c r="BX98" s="1"/>
      <c r="BY98" s="1"/>
      <c r="BZ98" s="1"/>
      <c r="CA98" s="1"/>
      <c r="CB98" s="1"/>
      <c r="CC98" s="1"/>
      <c r="CD98" s="1"/>
      <c r="CE98" s="1"/>
      <c r="CF98" s="1"/>
      <c r="CG98" s="1"/>
      <c r="CH98" s="1"/>
      <c r="CI98" s="1"/>
      <c r="CJ98" s="1"/>
      <c r="CK98" s="1"/>
      <c r="CL98" s="1"/>
      <c r="CM98" s="1"/>
      <c r="CN98" s="1"/>
      <c r="CO98" s="1"/>
      <c r="CP98" s="1"/>
      <c r="CQ98" s="1"/>
      <c r="CR98" s="1"/>
      <c r="CS98" s="1"/>
      <c r="CT98" s="1"/>
      <c r="CU98" s="1"/>
      <c r="CV98" s="1"/>
      <c r="CW98" s="1"/>
      <c r="CX98" s="1"/>
      <c r="CY98" s="1"/>
      <c r="CZ98" s="1"/>
      <c r="DA98" s="1"/>
      <c r="DB98" s="1"/>
      <c r="DC98" s="1"/>
      <c r="DD98" s="1"/>
      <c r="DE98" s="1"/>
      <c r="DF98" s="1"/>
      <c r="DG98" s="1"/>
      <c r="DH98" s="1"/>
      <c r="DI98" s="1"/>
      <c r="DJ98" s="1"/>
      <c r="DK98" s="1"/>
      <c r="DL98" s="1"/>
      <c r="DM98" s="1"/>
      <c r="DN98" s="1"/>
      <c r="DO98" s="1"/>
      <c r="DP98" s="1"/>
      <c r="DQ98" s="1"/>
      <c r="DR98" s="1"/>
      <c r="DS98" s="1"/>
      <c r="DT98" s="1"/>
      <c r="DU98" s="1"/>
      <c r="DV98" s="1"/>
      <c r="DW98" s="1"/>
      <c r="DX98" s="1"/>
      <c r="DY98" s="1"/>
      <c r="DZ98" s="1"/>
      <c r="EA98" s="1"/>
      <c r="EB98" s="1"/>
      <c r="EC98" s="1"/>
      <c r="ED98" s="1"/>
      <c r="EE98" s="1"/>
      <c r="EF98" s="1"/>
      <c r="EG98" s="1"/>
      <c r="EH98" s="1"/>
      <c r="EI98" s="1"/>
      <c r="EJ98" s="1"/>
      <c r="EK98" s="1"/>
      <c r="EL98" s="1"/>
      <c r="EM98" s="1"/>
      <c r="EN98" s="1"/>
      <c r="EO98" s="1"/>
      <c r="EP98" s="1"/>
      <c r="EQ98" s="1"/>
      <c r="ER98" s="1"/>
      <c r="ES98" s="1"/>
      <c r="ET98" s="1"/>
      <c r="EU98" s="1"/>
      <c r="EV98" s="1"/>
      <c r="EW98" s="1"/>
      <c r="EX98" s="1"/>
      <c r="EY98" s="1"/>
      <c r="EZ98" s="1"/>
      <c r="FA98" s="1"/>
      <c r="FB98" s="1"/>
      <c r="FC98" s="1"/>
      <c r="FD98" s="1"/>
      <c r="FE98" s="1"/>
      <c r="FF98" s="1"/>
      <c r="FG98" s="1"/>
      <c r="FH98" s="1"/>
      <c r="FI98" s="1"/>
      <c r="FJ98" s="1"/>
      <c r="FK98" s="1"/>
      <c r="FL98" s="1"/>
      <c r="FM98" s="1"/>
      <c r="FN98" s="1"/>
      <c r="FO98" s="1"/>
      <c r="FP98" s="1"/>
      <c r="FQ98" s="1"/>
      <c r="FR98" s="1"/>
      <c r="FS98" s="1"/>
      <c r="FT98" s="1"/>
      <c r="FU98" s="1"/>
      <c r="FV98" s="1"/>
      <c r="FW98" s="1"/>
      <c r="FX98" s="1"/>
      <c r="FY98" s="1"/>
      <c r="FZ98" s="1"/>
      <c r="GA98" s="1"/>
      <c r="GB98" s="1"/>
      <c r="GC98" s="1"/>
      <c r="GD98" s="1"/>
      <c r="GE98" s="1"/>
      <c r="GF98" s="1"/>
      <c r="GG98" s="1"/>
      <c r="GH98" s="1"/>
      <c r="GI98" s="1"/>
      <c r="GJ98" s="1"/>
      <c r="GK98" s="1"/>
      <c r="GL98" s="1"/>
      <c r="GM98" s="1"/>
      <c r="GN98" s="1"/>
      <c r="GO98" s="1"/>
      <c r="GP98" s="1"/>
      <c r="GQ98" s="1"/>
      <c r="GR98" s="1"/>
      <c r="GS98" s="1"/>
      <c r="GT98" s="1"/>
      <c r="GU98" s="1"/>
      <c r="GV98" s="1"/>
      <c r="GW98" s="1"/>
      <c r="GX98" s="1"/>
      <c r="GY98" s="1"/>
      <c r="GZ98" s="1"/>
      <c r="HA98" s="1"/>
      <c r="HB98" s="1"/>
      <c r="HC98" s="1"/>
      <c r="HD98" s="1"/>
      <c r="HE98" s="1"/>
      <c r="HF98" s="1"/>
      <c r="HG98" s="1"/>
      <c r="HH98" s="1"/>
      <c r="HI98" s="1"/>
      <c r="HJ98" s="1"/>
      <c r="HK98" s="1"/>
      <c r="HL98" s="1"/>
      <c r="HM98" s="1"/>
      <c r="HN98" s="1"/>
      <c r="HO98" s="1"/>
      <c r="HP98" s="1"/>
      <c r="HQ98" s="1"/>
      <c r="HR98" s="1"/>
      <c r="HS98" s="1"/>
      <c r="HT98" s="1"/>
      <c r="HU98" s="1"/>
      <c r="HV98" s="1"/>
      <c r="HW98" s="1"/>
      <c r="HX98" s="1"/>
      <c r="HY98" s="1"/>
      <c r="HZ98" s="1"/>
      <c r="IA98" s="1"/>
      <c r="IB98" s="1"/>
      <c r="IC98" s="1"/>
      <c r="ID98" s="1"/>
      <c r="IE98" s="1"/>
      <c r="IF98" s="1"/>
      <c r="IG98" s="1"/>
      <c r="IH98" s="1"/>
      <c r="II98" s="1"/>
      <c r="IJ98" s="1"/>
      <c r="IK98" s="1"/>
      <c r="IL98" s="1"/>
      <c r="IM98" s="1"/>
      <c r="IN98" s="1"/>
      <c r="IO98" s="1"/>
      <c r="IP98" s="1"/>
      <c r="IQ98" s="1"/>
      <c r="IR98" s="1"/>
      <c r="IS98" s="1"/>
      <c r="IT98" s="1"/>
      <c r="IU98" s="1"/>
      <c r="IV98" s="1"/>
      <c r="IW98" s="1"/>
      <c r="IX98" s="1"/>
      <c r="IY98" s="1"/>
      <c r="IZ98" s="1"/>
      <c r="JA98" s="1"/>
      <c r="JB98" s="1"/>
      <c r="JC98" s="1"/>
      <c r="JD98" s="1"/>
      <c r="JE98" s="1"/>
      <c r="JF98" s="1"/>
      <c r="JG98" s="1"/>
      <c r="JH98" s="1"/>
      <c r="JI98" s="1"/>
      <c r="JJ98" s="1"/>
      <c r="JK98" s="1"/>
      <c r="JL98" s="1"/>
      <c r="JM98" s="1"/>
      <c r="JN98" s="1"/>
      <c r="JO98" s="1"/>
      <c r="JP98" s="1"/>
      <c r="JQ98" s="1"/>
      <c r="JR98" s="1"/>
      <c r="JS98" s="1"/>
      <c r="JT98" s="1"/>
      <c r="JU98" s="1"/>
      <c r="JV98" s="1"/>
      <c r="JW98" s="1"/>
      <c r="JX98" s="1"/>
      <c r="JY98" s="1"/>
      <c r="JZ98" s="1"/>
      <c r="KA98" s="1"/>
      <c r="KB98" s="1"/>
      <c r="KC98" s="1"/>
      <c r="KD98" s="1"/>
      <c r="KE98" s="1"/>
      <c r="KF98" s="1"/>
      <c r="KG98" s="1"/>
      <c r="KH98" s="1"/>
      <c r="KI98" s="1"/>
      <c r="KJ98" s="1"/>
      <c r="KK98" s="1"/>
      <c r="KL98" s="1"/>
      <c r="KM98" s="1"/>
      <c r="KN98" s="1"/>
      <c r="KO98" s="1"/>
      <c r="KP98" s="1"/>
      <c r="KQ98" s="1"/>
      <c r="KR98" s="1"/>
      <c r="KS98" s="1"/>
      <c r="KT98" s="1"/>
      <c r="KU98" s="1"/>
      <c r="KV98" s="1"/>
      <c r="KW98" s="1"/>
      <c r="KX98" s="1"/>
      <c r="KY98" s="1"/>
      <c r="KZ98" s="1"/>
      <c r="LA98" s="1"/>
      <c r="LB98" s="1"/>
      <c r="LC98" s="1"/>
      <c r="LD98" s="1"/>
      <c r="LE98" s="1"/>
      <c r="LF98" s="1"/>
      <c r="LG98" s="1"/>
      <c r="LH98" s="1"/>
      <c r="LI98" s="1"/>
      <c r="LJ98" s="1"/>
      <c r="LK98" s="1"/>
      <c r="LL98" s="1"/>
      <c r="LM98" s="1"/>
      <c r="LN98" s="1"/>
      <c r="LO98" s="1"/>
      <c r="LP98" s="1"/>
      <c r="LQ98" s="1"/>
      <c r="LR98" s="1"/>
      <c r="LS98" s="1"/>
    </row>
    <row r="99" spans="1:331" s="25" customFormat="1" x14ac:dyDescent="0.25">
      <c r="A99" s="25" t="s">
        <v>435</v>
      </c>
      <c r="B99" s="29" t="s">
        <v>435</v>
      </c>
      <c r="C99" s="94" t="s">
        <v>1647</v>
      </c>
      <c r="D99" s="25">
        <v>0</v>
      </c>
      <c r="H99" s="25" t="s">
        <v>436</v>
      </c>
      <c r="I99" s="25" t="s">
        <v>437</v>
      </c>
      <c r="J99" s="25" t="s">
        <v>438</v>
      </c>
      <c r="K99" s="25" t="s">
        <v>437</v>
      </c>
      <c r="L99" s="25">
        <v>0</v>
      </c>
      <c r="O99" s="25">
        <v>0</v>
      </c>
      <c r="Q99" s="96" t="s">
        <v>1529</v>
      </c>
      <c r="R99" s="96"/>
      <c r="S99" s="25">
        <v>6</v>
      </c>
      <c r="U99" s="25">
        <v>7</v>
      </c>
      <c r="W99" s="96">
        <v>6</v>
      </c>
      <c r="X99" s="96"/>
      <c r="Y99" s="96"/>
      <c r="Z99" s="25">
        <v>5</v>
      </c>
      <c r="AA99" s="94" t="b">
        <v>1</v>
      </c>
      <c r="AB99" s="1"/>
      <c r="AC99" s="57" t="s">
        <v>1298</v>
      </c>
      <c r="AD99" s="1"/>
      <c r="AE99" s="57"/>
      <c r="AF99" s="1"/>
      <c r="AG99" s="1"/>
      <c r="AH99" s="1"/>
      <c r="AI99" s="1"/>
      <c r="AJ99" s="1"/>
      <c r="AK99" s="1"/>
      <c r="AL99" s="1"/>
      <c r="AM99" s="1"/>
      <c r="AN99" s="1"/>
      <c r="AO99" s="1"/>
      <c r="AP99" s="1"/>
      <c r="AQ99" s="1"/>
      <c r="AR99" s="1"/>
      <c r="AS99" s="1"/>
      <c r="AT99" s="1"/>
      <c r="AU99" s="1"/>
      <c r="AV99" s="1"/>
      <c r="AW99" s="1"/>
      <c r="AX99" s="1"/>
      <c r="AY99" s="1"/>
      <c r="AZ99" s="1"/>
      <c r="BA99" s="1"/>
      <c r="BB99" s="1"/>
      <c r="BC99" s="1"/>
      <c r="BD99" s="1"/>
      <c r="BE99" s="1"/>
      <c r="BF99" s="1"/>
      <c r="BG99" s="1"/>
      <c r="BH99" s="1"/>
      <c r="BI99" s="1"/>
      <c r="BJ99" s="1"/>
      <c r="BK99" s="1"/>
      <c r="BL99" s="1"/>
      <c r="BM99" s="1"/>
      <c r="BN99" s="1"/>
      <c r="BO99" s="1"/>
      <c r="BP99" s="1"/>
      <c r="BQ99" s="1"/>
      <c r="BR99" s="1"/>
      <c r="BS99" s="1"/>
      <c r="BT99" s="1"/>
      <c r="BU99" s="1"/>
      <c r="BV99" s="1"/>
      <c r="BW99" s="1"/>
      <c r="BX99" s="1"/>
      <c r="BY99" s="1"/>
      <c r="BZ99" s="1"/>
      <c r="CA99" s="1"/>
      <c r="CB99" s="1"/>
      <c r="CC99" s="1"/>
      <c r="CD99" s="1"/>
      <c r="CE99" s="1"/>
      <c r="CF99" s="1"/>
      <c r="CG99" s="1"/>
      <c r="CH99" s="1"/>
      <c r="CI99" s="1"/>
      <c r="CJ99" s="1"/>
      <c r="CK99" s="1"/>
      <c r="CL99" s="1"/>
      <c r="CM99" s="1"/>
      <c r="CN99" s="1"/>
      <c r="CO99" s="1"/>
      <c r="CP99" s="1"/>
      <c r="CQ99" s="1"/>
      <c r="CR99" s="1"/>
      <c r="CS99" s="1"/>
      <c r="CT99" s="1"/>
      <c r="CU99" s="1"/>
      <c r="CV99" s="1"/>
      <c r="CW99" s="1"/>
      <c r="CX99" s="1"/>
      <c r="CY99" s="1"/>
      <c r="CZ99" s="1"/>
      <c r="DA99" s="1"/>
      <c r="DB99" s="1"/>
      <c r="DC99" s="1"/>
      <c r="DD99" s="1"/>
      <c r="DE99" s="1"/>
      <c r="DF99" s="1"/>
      <c r="DG99" s="1"/>
      <c r="DH99" s="1"/>
      <c r="DI99" s="1"/>
      <c r="DJ99" s="1"/>
      <c r="DK99" s="1"/>
      <c r="DL99" s="1"/>
      <c r="DM99" s="1"/>
      <c r="DN99" s="1"/>
      <c r="DO99" s="1"/>
      <c r="DP99" s="1"/>
      <c r="DQ99" s="1"/>
      <c r="DR99" s="1"/>
      <c r="DS99" s="1"/>
      <c r="DT99" s="1"/>
      <c r="DU99" s="1"/>
      <c r="DV99" s="1"/>
      <c r="DW99" s="1"/>
      <c r="DX99" s="1"/>
      <c r="DY99" s="1"/>
      <c r="DZ99" s="1"/>
      <c r="EA99" s="1"/>
      <c r="EB99" s="1"/>
      <c r="EC99" s="1"/>
      <c r="ED99" s="1"/>
      <c r="EE99" s="1"/>
      <c r="EF99" s="1"/>
      <c r="EG99" s="1"/>
      <c r="EH99" s="1"/>
      <c r="EI99" s="1"/>
      <c r="EJ99" s="1"/>
      <c r="EK99" s="1"/>
      <c r="EL99" s="1"/>
      <c r="EM99" s="1"/>
      <c r="EN99" s="1"/>
      <c r="EO99" s="1"/>
      <c r="EP99" s="1"/>
      <c r="EQ99" s="1"/>
      <c r="ER99" s="1"/>
      <c r="ES99" s="1"/>
      <c r="ET99" s="1"/>
      <c r="EU99" s="1"/>
      <c r="EV99" s="1"/>
      <c r="EW99" s="1"/>
      <c r="EX99" s="1"/>
      <c r="EY99" s="1"/>
      <c r="EZ99" s="1"/>
      <c r="FA99" s="1"/>
      <c r="FB99" s="1"/>
      <c r="FC99" s="1"/>
      <c r="FD99" s="1"/>
      <c r="FE99" s="1"/>
      <c r="FF99" s="1"/>
      <c r="FG99" s="1"/>
      <c r="FH99" s="1"/>
      <c r="FI99" s="1"/>
      <c r="FJ99" s="1"/>
      <c r="FK99" s="1"/>
      <c r="FL99" s="1"/>
      <c r="FM99" s="1"/>
      <c r="FN99" s="1"/>
      <c r="FO99" s="1"/>
      <c r="FP99" s="1"/>
      <c r="FQ99" s="1"/>
      <c r="FR99" s="1"/>
      <c r="FS99" s="1"/>
      <c r="FT99" s="1"/>
      <c r="FU99" s="1"/>
      <c r="FV99" s="1"/>
      <c r="FW99" s="1"/>
      <c r="FX99" s="1"/>
      <c r="FY99" s="1"/>
      <c r="FZ99" s="1"/>
      <c r="GA99" s="1"/>
      <c r="GB99" s="1"/>
      <c r="GC99" s="1"/>
      <c r="GD99" s="1"/>
      <c r="GE99" s="1"/>
      <c r="GF99" s="1"/>
      <c r="GG99" s="1"/>
      <c r="GH99" s="1"/>
      <c r="GI99" s="1"/>
      <c r="GJ99" s="1"/>
      <c r="GK99" s="1"/>
      <c r="GL99" s="1"/>
      <c r="GM99" s="1"/>
      <c r="GN99" s="1"/>
      <c r="GO99" s="1"/>
      <c r="GP99" s="1"/>
      <c r="GQ99" s="1"/>
      <c r="GR99" s="1"/>
      <c r="GS99" s="1"/>
      <c r="GT99" s="1"/>
      <c r="GU99" s="1"/>
      <c r="GV99" s="1"/>
      <c r="GW99" s="1"/>
      <c r="GX99" s="1"/>
      <c r="GY99" s="1"/>
      <c r="GZ99" s="1"/>
      <c r="HA99" s="1"/>
      <c r="HB99" s="1"/>
      <c r="HC99" s="1"/>
      <c r="HD99" s="1"/>
      <c r="HE99" s="1"/>
      <c r="HF99" s="1"/>
      <c r="HG99" s="1"/>
      <c r="HH99" s="1"/>
      <c r="HI99" s="1"/>
      <c r="HJ99" s="1"/>
      <c r="HK99" s="1"/>
      <c r="HL99" s="1"/>
      <c r="HM99" s="1"/>
      <c r="HN99" s="1"/>
      <c r="HO99" s="1"/>
      <c r="HP99" s="1"/>
      <c r="HQ99" s="1"/>
      <c r="HR99" s="1"/>
      <c r="HS99" s="1"/>
      <c r="HT99" s="1"/>
      <c r="HU99" s="1"/>
      <c r="HV99" s="1"/>
      <c r="HW99" s="1"/>
      <c r="HX99" s="1"/>
      <c r="HY99" s="1"/>
      <c r="HZ99" s="1"/>
      <c r="IA99" s="1"/>
      <c r="IB99" s="1"/>
      <c r="IC99" s="1"/>
      <c r="ID99" s="1"/>
      <c r="IE99" s="1"/>
      <c r="IF99" s="1"/>
      <c r="IG99" s="1"/>
      <c r="IH99" s="1"/>
      <c r="II99" s="1"/>
      <c r="IJ99" s="1"/>
      <c r="IK99" s="1"/>
      <c r="IL99" s="1"/>
      <c r="IM99" s="1"/>
      <c r="IN99" s="1"/>
      <c r="IO99" s="1"/>
      <c r="IP99" s="1"/>
      <c r="IQ99" s="1"/>
      <c r="IR99" s="1"/>
      <c r="IS99" s="1"/>
      <c r="IT99" s="1"/>
      <c r="IU99" s="1"/>
      <c r="IV99" s="1"/>
      <c r="IW99" s="1"/>
      <c r="IX99" s="1"/>
      <c r="IY99" s="1"/>
      <c r="IZ99" s="1"/>
      <c r="JA99" s="1"/>
      <c r="JB99" s="1"/>
      <c r="JC99" s="1"/>
      <c r="JD99" s="1"/>
      <c r="JE99" s="1"/>
      <c r="JF99" s="1"/>
      <c r="JG99" s="1"/>
      <c r="JH99" s="1"/>
      <c r="JI99" s="1"/>
      <c r="JJ99" s="1"/>
      <c r="JK99" s="1"/>
      <c r="JL99" s="1"/>
      <c r="JM99" s="1"/>
      <c r="JN99" s="1"/>
      <c r="JO99" s="1"/>
      <c r="JP99" s="1"/>
      <c r="JQ99" s="1"/>
      <c r="JR99" s="1"/>
      <c r="JS99" s="1"/>
      <c r="JT99" s="1"/>
      <c r="JU99" s="1"/>
      <c r="JV99" s="1"/>
      <c r="JW99" s="1"/>
      <c r="JX99" s="1"/>
      <c r="JY99" s="1"/>
      <c r="JZ99" s="1"/>
      <c r="KA99" s="1"/>
      <c r="KB99" s="1"/>
      <c r="KC99" s="1"/>
      <c r="KD99" s="1"/>
      <c r="KE99" s="1"/>
      <c r="KF99" s="1"/>
      <c r="KG99" s="1"/>
      <c r="KH99" s="1"/>
      <c r="KI99" s="1"/>
      <c r="KJ99" s="1"/>
      <c r="KK99" s="1"/>
      <c r="KL99" s="1"/>
      <c r="KM99" s="1"/>
      <c r="KN99" s="1"/>
      <c r="KO99" s="1"/>
      <c r="KP99" s="1"/>
      <c r="KQ99" s="1"/>
      <c r="KR99" s="1"/>
      <c r="KS99" s="1"/>
      <c r="KT99" s="1"/>
      <c r="KU99" s="1"/>
      <c r="KV99" s="1"/>
      <c r="KW99" s="1"/>
      <c r="KX99" s="1"/>
      <c r="KY99" s="1"/>
      <c r="KZ99" s="1"/>
      <c r="LA99" s="1"/>
      <c r="LB99" s="1"/>
      <c r="LC99" s="1"/>
      <c r="LD99" s="1"/>
      <c r="LE99" s="1"/>
      <c r="LF99" s="1"/>
      <c r="LG99" s="1"/>
      <c r="LH99" s="1"/>
      <c r="LI99" s="1"/>
      <c r="LJ99" s="1"/>
      <c r="LK99" s="1"/>
      <c r="LL99" s="1"/>
      <c r="LM99" s="1"/>
      <c r="LN99" s="1"/>
      <c r="LO99" s="1"/>
      <c r="LP99" s="1"/>
      <c r="LQ99" s="1"/>
      <c r="LR99" s="1"/>
      <c r="LS99" s="1"/>
    </row>
    <row r="100" spans="1:331" s="30" customFormat="1" x14ac:dyDescent="0.25">
      <c r="A100" s="30" t="s">
        <v>439</v>
      </c>
      <c r="B100" s="30" t="s">
        <v>439</v>
      </c>
      <c r="C100" s="96" t="s">
        <v>1647</v>
      </c>
      <c r="D100" s="30">
        <v>1</v>
      </c>
      <c r="E100" s="30" t="s">
        <v>440</v>
      </c>
      <c r="H100" s="30" t="s">
        <v>441</v>
      </c>
      <c r="I100" s="30" t="s">
        <v>440</v>
      </c>
      <c r="J100" s="30" t="s">
        <v>441</v>
      </c>
      <c r="K100" s="30" t="s">
        <v>441</v>
      </c>
      <c r="L100" s="30">
        <v>0</v>
      </c>
      <c r="O100" s="30">
        <v>1</v>
      </c>
      <c r="Q100" s="96" t="s">
        <v>1530</v>
      </c>
      <c r="R100" s="96"/>
      <c r="S100" s="30">
        <v>9</v>
      </c>
      <c r="W100" s="96">
        <v>9</v>
      </c>
      <c r="X100" s="96"/>
      <c r="Y100" s="96"/>
      <c r="Z100" s="30">
        <v>6</v>
      </c>
      <c r="AA100" s="94" t="b">
        <v>1</v>
      </c>
      <c r="AB100" s="1"/>
      <c r="AC100" s="57" t="s">
        <v>1280</v>
      </c>
      <c r="AD100" s="1"/>
      <c r="AE100" s="57"/>
      <c r="AF100" s="1"/>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c r="BG100" s="1"/>
      <c r="BH100" s="1"/>
      <c r="BI100" s="1"/>
      <c r="BJ100" s="1"/>
      <c r="BK100" s="1"/>
      <c r="BL100" s="1"/>
      <c r="BM100" s="1"/>
      <c r="BN100" s="1"/>
      <c r="BO100" s="1"/>
      <c r="BP100" s="1"/>
      <c r="BQ100" s="1"/>
      <c r="BR100" s="1"/>
      <c r="BS100" s="1"/>
      <c r="BT100" s="1"/>
      <c r="BU100" s="1"/>
      <c r="BV100" s="1"/>
      <c r="BW100" s="1"/>
      <c r="BX100" s="1"/>
      <c r="BY100" s="1"/>
      <c r="BZ100" s="1"/>
      <c r="CA100" s="1"/>
      <c r="CB100" s="1"/>
      <c r="CC100" s="1"/>
      <c r="CD100" s="1"/>
      <c r="CE100" s="1"/>
      <c r="CF100" s="1"/>
      <c r="CG100" s="1"/>
      <c r="CH100" s="1"/>
      <c r="CI100" s="1"/>
      <c r="CJ100" s="1"/>
      <c r="CK100" s="1"/>
      <c r="CL100" s="1"/>
      <c r="CM100" s="1"/>
      <c r="CN100" s="1"/>
      <c r="CO100" s="1"/>
      <c r="CP100" s="1"/>
      <c r="CQ100" s="1"/>
      <c r="CR100" s="1"/>
      <c r="CS100" s="1"/>
      <c r="CT100" s="1"/>
      <c r="CU100" s="1"/>
      <c r="CV100" s="1"/>
      <c r="CW100" s="1"/>
      <c r="CX100" s="1"/>
      <c r="CY100" s="1"/>
      <c r="CZ100" s="1"/>
      <c r="DA100" s="1"/>
      <c r="DB100" s="1"/>
      <c r="DC100" s="1"/>
      <c r="DD100" s="1"/>
      <c r="DE100" s="1"/>
      <c r="DF100" s="1"/>
      <c r="DG100" s="1"/>
      <c r="DH100" s="1"/>
      <c r="DI100" s="1"/>
      <c r="DJ100" s="1"/>
      <c r="DK100" s="1"/>
      <c r="DL100" s="1"/>
      <c r="DM100" s="1"/>
      <c r="DN100" s="1"/>
      <c r="DO100" s="1"/>
      <c r="DP100" s="1"/>
      <c r="DQ100" s="1"/>
      <c r="DR100" s="1"/>
      <c r="DS100" s="1"/>
      <c r="DT100" s="1"/>
      <c r="DU100" s="1"/>
      <c r="DV100" s="1"/>
      <c r="DW100" s="1"/>
      <c r="DX100" s="1"/>
      <c r="DY100" s="1"/>
      <c r="DZ100" s="1"/>
      <c r="EA100" s="1"/>
      <c r="EB100" s="1"/>
      <c r="EC100" s="1"/>
      <c r="ED100" s="1"/>
      <c r="EE100" s="1"/>
      <c r="EF100" s="1"/>
      <c r="EG100" s="1"/>
      <c r="EH100" s="1"/>
      <c r="EI100" s="1"/>
      <c r="EJ100" s="1"/>
      <c r="EK100" s="1"/>
      <c r="EL100" s="1"/>
      <c r="EM100" s="1"/>
      <c r="EN100" s="1"/>
      <c r="EO100" s="1"/>
      <c r="EP100" s="1"/>
      <c r="EQ100" s="1"/>
      <c r="ER100" s="1"/>
      <c r="ES100" s="1"/>
      <c r="ET100" s="1"/>
      <c r="EU100" s="1"/>
      <c r="EV100" s="1"/>
      <c r="EW100" s="1"/>
      <c r="EX100" s="1"/>
      <c r="EY100" s="1"/>
      <c r="EZ100" s="1"/>
      <c r="FA100" s="1"/>
      <c r="FB100" s="1"/>
      <c r="FC100" s="1"/>
      <c r="FD100" s="1"/>
      <c r="FE100" s="1"/>
      <c r="FF100" s="1"/>
      <c r="FG100" s="1"/>
      <c r="FH100" s="1"/>
      <c r="FI100" s="1"/>
      <c r="FJ100" s="1"/>
      <c r="FK100" s="1"/>
      <c r="FL100" s="1"/>
      <c r="FM100" s="1"/>
      <c r="FN100" s="1"/>
      <c r="FO100" s="1"/>
      <c r="FP100" s="1"/>
      <c r="FQ100" s="1"/>
      <c r="FR100" s="1"/>
      <c r="FS100" s="1"/>
      <c r="FT100" s="1"/>
      <c r="FU100" s="1"/>
      <c r="FV100" s="1"/>
      <c r="FW100" s="1"/>
      <c r="FX100" s="1"/>
      <c r="FY100" s="1"/>
      <c r="FZ100" s="1"/>
      <c r="GA100" s="1"/>
      <c r="GB100" s="1"/>
      <c r="GC100" s="1"/>
      <c r="GD100" s="1"/>
      <c r="GE100" s="1"/>
      <c r="GF100" s="1"/>
      <c r="GG100" s="1"/>
      <c r="GH100" s="1"/>
      <c r="GI100" s="1"/>
      <c r="GJ100" s="1"/>
      <c r="GK100" s="1"/>
      <c r="GL100" s="1"/>
      <c r="GM100" s="1"/>
      <c r="GN100" s="1"/>
      <c r="GO100" s="1"/>
      <c r="GP100" s="1"/>
      <c r="GQ100" s="1"/>
      <c r="GR100" s="1"/>
      <c r="GS100" s="1"/>
      <c r="GT100" s="1"/>
      <c r="GU100" s="1"/>
      <c r="GV100" s="1"/>
      <c r="GW100" s="1"/>
      <c r="GX100" s="1"/>
      <c r="GY100" s="1"/>
      <c r="GZ100" s="1"/>
      <c r="HA100" s="1"/>
      <c r="HB100" s="1"/>
      <c r="HC100" s="1"/>
      <c r="HD100" s="1"/>
      <c r="HE100" s="1"/>
      <c r="HF100" s="1"/>
      <c r="HG100" s="1"/>
      <c r="HH100" s="1"/>
      <c r="HI100" s="1"/>
      <c r="HJ100" s="1"/>
      <c r="HK100" s="1"/>
      <c r="HL100" s="1"/>
      <c r="HM100" s="1"/>
      <c r="HN100" s="1"/>
      <c r="HO100" s="1"/>
      <c r="HP100" s="1"/>
      <c r="HQ100" s="1"/>
      <c r="HR100" s="1"/>
      <c r="HS100" s="1"/>
      <c r="HT100" s="1"/>
      <c r="HU100" s="1"/>
      <c r="HV100" s="1"/>
      <c r="HW100" s="1"/>
      <c r="HX100" s="1"/>
      <c r="HY100" s="1"/>
      <c r="HZ100" s="1"/>
      <c r="IA100" s="1"/>
      <c r="IB100" s="1"/>
      <c r="IC100" s="1"/>
      <c r="ID100" s="1"/>
      <c r="IE100" s="1"/>
      <c r="IF100" s="1"/>
      <c r="IG100" s="1"/>
      <c r="IH100" s="1"/>
      <c r="II100" s="1"/>
      <c r="IJ100" s="1"/>
      <c r="IK100" s="1"/>
      <c r="IL100" s="1"/>
      <c r="IM100" s="1"/>
      <c r="IN100" s="1"/>
      <c r="IO100" s="1"/>
      <c r="IP100" s="1"/>
      <c r="IQ100" s="1"/>
      <c r="IR100" s="1"/>
      <c r="IS100" s="1"/>
      <c r="IT100" s="1"/>
      <c r="IU100" s="1"/>
      <c r="IV100" s="1"/>
      <c r="IW100" s="1"/>
      <c r="IX100" s="1"/>
      <c r="IY100" s="1"/>
      <c r="IZ100" s="1"/>
      <c r="JA100" s="1"/>
      <c r="JB100" s="1"/>
      <c r="JC100" s="1"/>
      <c r="JD100" s="1"/>
      <c r="JE100" s="1"/>
      <c r="JF100" s="1"/>
      <c r="JG100" s="1"/>
      <c r="JH100" s="1"/>
      <c r="JI100" s="1"/>
      <c r="JJ100" s="1"/>
      <c r="JK100" s="1"/>
      <c r="JL100" s="1"/>
      <c r="JM100" s="1"/>
      <c r="JN100" s="1"/>
      <c r="JO100" s="1"/>
      <c r="JP100" s="1"/>
      <c r="JQ100" s="1"/>
      <c r="JR100" s="1"/>
      <c r="JS100" s="1"/>
      <c r="JT100" s="1"/>
      <c r="JU100" s="1"/>
      <c r="JV100" s="1"/>
      <c r="JW100" s="1"/>
      <c r="JX100" s="1"/>
      <c r="JY100" s="1"/>
      <c r="JZ100" s="1"/>
      <c r="KA100" s="1"/>
      <c r="KB100" s="1"/>
      <c r="KC100" s="1"/>
      <c r="KD100" s="1"/>
      <c r="KE100" s="1"/>
      <c r="KF100" s="1"/>
      <c r="KG100" s="1"/>
      <c r="KH100" s="1"/>
      <c r="KI100" s="1"/>
      <c r="KJ100" s="1"/>
      <c r="KK100" s="1"/>
      <c r="KL100" s="1"/>
      <c r="KM100" s="1"/>
      <c r="KN100" s="1"/>
      <c r="KO100" s="1"/>
      <c r="KP100" s="1"/>
      <c r="KQ100" s="1"/>
      <c r="KR100" s="1"/>
      <c r="KS100" s="1"/>
      <c r="KT100" s="1"/>
      <c r="KU100" s="1"/>
      <c r="KV100" s="1"/>
      <c r="KW100" s="1"/>
      <c r="KX100" s="1"/>
      <c r="KY100" s="1"/>
      <c r="KZ100" s="1"/>
      <c r="LA100" s="1"/>
      <c r="LB100" s="1"/>
      <c r="LC100" s="1"/>
      <c r="LD100" s="1"/>
      <c r="LE100" s="1"/>
      <c r="LF100" s="1"/>
      <c r="LG100" s="1"/>
      <c r="LH100" s="1"/>
      <c r="LI100" s="1"/>
      <c r="LJ100" s="1"/>
      <c r="LK100" s="1"/>
      <c r="LL100" s="1"/>
      <c r="LM100" s="1"/>
      <c r="LN100" s="1"/>
      <c r="LO100" s="1"/>
      <c r="LP100" s="1"/>
      <c r="LQ100" s="1"/>
      <c r="LR100" s="1"/>
      <c r="LS100" s="1"/>
    </row>
    <row r="101" spans="1:331" s="49" customFormat="1" x14ac:dyDescent="0.25">
      <c r="A101" s="49" t="s">
        <v>442</v>
      </c>
      <c r="B101" s="49" t="s">
        <v>442</v>
      </c>
      <c r="C101" s="96" t="s">
        <v>1647</v>
      </c>
      <c r="D101" s="49">
        <v>0</v>
      </c>
      <c r="H101" s="49" t="s">
        <v>443</v>
      </c>
      <c r="I101" s="49" t="s">
        <v>444</v>
      </c>
      <c r="J101" s="49" t="s">
        <v>443</v>
      </c>
      <c r="K101" s="49" t="s">
        <v>444</v>
      </c>
      <c r="L101" s="49">
        <v>0</v>
      </c>
      <c r="O101" s="49">
        <v>1</v>
      </c>
      <c r="Q101" s="96"/>
      <c r="R101" s="96" t="s">
        <v>1794</v>
      </c>
      <c r="T101" s="49">
        <v>18</v>
      </c>
      <c r="W101" s="96">
        <v>18</v>
      </c>
      <c r="X101" s="96"/>
      <c r="Y101" s="96"/>
      <c r="Z101" s="49">
        <v>9</v>
      </c>
      <c r="AA101" s="94" t="b">
        <v>1</v>
      </c>
      <c r="AB101" s="1"/>
      <c r="AC101" s="57" t="s">
        <v>1408</v>
      </c>
      <c r="AD101" s="1"/>
      <c r="AE101" s="57"/>
      <c r="AF101" s="1"/>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c r="BI101" s="1"/>
      <c r="BJ101" s="1"/>
      <c r="BK101" s="1"/>
      <c r="BL101" s="1"/>
      <c r="BM101" s="1"/>
      <c r="BN101" s="1"/>
      <c r="BO101" s="1"/>
      <c r="BP101" s="1"/>
      <c r="BQ101" s="1"/>
      <c r="BR101" s="1"/>
      <c r="BS101" s="1"/>
      <c r="BT101" s="1"/>
      <c r="BU101" s="1"/>
      <c r="BV101" s="1"/>
      <c r="BW101" s="1"/>
      <c r="BX101" s="1"/>
      <c r="BY101" s="1"/>
      <c r="BZ101" s="1"/>
      <c r="CA101" s="1"/>
      <c r="CB101" s="1"/>
      <c r="CC101" s="1"/>
      <c r="CD101" s="1"/>
      <c r="CE101" s="1"/>
      <c r="CF101" s="1"/>
      <c r="CG101" s="1"/>
      <c r="CH101" s="1"/>
      <c r="CI101" s="1"/>
      <c r="CJ101" s="1"/>
      <c r="CK101" s="1"/>
      <c r="CL101" s="1"/>
      <c r="CM101" s="1"/>
      <c r="CN101" s="1"/>
      <c r="CO101" s="1"/>
      <c r="CP101" s="1"/>
      <c r="CQ101" s="1"/>
      <c r="CR101" s="1"/>
      <c r="CS101" s="1"/>
      <c r="CT101" s="1"/>
      <c r="CU101" s="1"/>
      <c r="CV101" s="1"/>
      <c r="CW101" s="1"/>
      <c r="CX101" s="1"/>
      <c r="CY101" s="1"/>
      <c r="CZ101" s="1"/>
      <c r="DA101" s="1"/>
      <c r="DB101" s="1"/>
      <c r="DC101" s="1"/>
      <c r="DD101" s="1"/>
      <c r="DE101" s="1"/>
      <c r="DF101" s="1"/>
      <c r="DG101" s="1"/>
      <c r="DH101" s="1"/>
      <c r="DI101" s="1"/>
      <c r="DJ101" s="1"/>
      <c r="DK101" s="1"/>
      <c r="DL101" s="1"/>
      <c r="DM101" s="1"/>
      <c r="DN101" s="1"/>
      <c r="DO101" s="1"/>
      <c r="DP101" s="1"/>
      <c r="DQ101" s="1"/>
      <c r="DR101" s="1"/>
      <c r="DS101" s="1"/>
      <c r="DT101" s="1"/>
      <c r="DU101" s="1"/>
      <c r="DV101" s="1"/>
      <c r="DW101" s="1"/>
      <c r="DX101" s="1"/>
      <c r="DY101" s="1"/>
      <c r="DZ101" s="1"/>
      <c r="EA101" s="1"/>
      <c r="EB101" s="1"/>
      <c r="EC101" s="1"/>
      <c r="ED101" s="1"/>
      <c r="EE101" s="1"/>
      <c r="EF101" s="1"/>
      <c r="EG101" s="1"/>
      <c r="EH101" s="1"/>
      <c r="EI101" s="1"/>
      <c r="EJ101" s="1"/>
      <c r="EK101" s="1"/>
      <c r="EL101" s="1"/>
      <c r="EM101" s="1"/>
      <c r="EN101" s="1"/>
      <c r="EO101" s="1"/>
      <c r="EP101" s="1"/>
      <c r="EQ101" s="1"/>
      <c r="ER101" s="1"/>
      <c r="ES101" s="1"/>
      <c r="ET101" s="1"/>
      <c r="EU101" s="1"/>
      <c r="EV101" s="1"/>
      <c r="EW101" s="1"/>
      <c r="EX101" s="1"/>
      <c r="EY101" s="1"/>
      <c r="EZ101" s="1"/>
      <c r="FA101" s="1"/>
      <c r="FB101" s="1"/>
      <c r="FC101" s="1"/>
      <c r="FD101" s="1"/>
      <c r="FE101" s="1"/>
      <c r="FF101" s="1"/>
      <c r="FG101" s="1"/>
      <c r="FH101" s="1"/>
      <c r="FI101" s="1"/>
      <c r="FJ101" s="1"/>
      <c r="FK101" s="1"/>
      <c r="FL101" s="1"/>
      <c r="FM101" s="1"/>
      <c r="FN101" s="1"/>
      <c r="FO101" s="1"/>
      <c r="FP101" s="1"/>
      <c r="FQ101" s="1"/>
      <c r="FR101" s="1"/>
      <c r="FS101" s="1"/>
      <c r="FT101" s="1"/>
      <c r="FU101" s="1"/>
      <c r="FV101" s="1"/>
      <c r="FW101" s="1"/>
      <c r="FX101" s="1"/>
      <c r="FY101" s="1"/>
      <c r="FZ101" s="1"/>
      <c r="GA101" s="1"/>
      <c r="GB101" s="1"/>
      <c r="GC101" s="1"/>
      <c r="GD101" s="1"/>
      <c r="GE101" s="1"/>
      <c r="GF101" s="1"/>
      <c r="GG101" s="1"/>
      <c r="GH101" s="1"/>
      <c r="GI101" s="1"/>
      <c r="GJ101" s="1"/>
      <c r="GK101" s="1"/>
      <c r="GL101" s="1"/>
      <c r="GM101" s="1"/>
      <c r="GN101" s="1"/>
      <c r="GO101" s="1"/>
      <c r="GP101" s="1"/>
      <c r="GQ101" s="1"/>
      <c r="GR101" s="1"/>
      <c r="GS101" s="1"/>
      <c r="GT101" s="1"/>
      <c r="GU101" s="1"/>
      <c r="GV101" s="1"/>
      <c r="GW101" s="1"/>
      <c r="GX101" s="1"/>
      <c r="GY101" s="1"/>
      <c r="GZ101" s="1"/>
      <c r="HA101" s="1"/>
      <c r="HB101" s="1"/>
      <c r="HC101" s="1"/>
      <c r="HD101" s="1"/>
      <c r="HE101" s="1"/>
      <c r="HF101" s="1"/>
      <c r="HG101" s="1"/>
      <c r="HH101" s="1"/>
      <c r="HI101" s="1"/>
      <c r="HJ101" s="1"/>
      <c r="HK101" s="1"/>
      <c r="HL101" s="1"/>
      <c r="HM101" s="1"/>
      <c r="HN101" s="1"/>
      <c r="HO101" s="1"/>
      <c r="HP101" s="1"/>
      <c r="HQ101" s="1"/>
      <c r="HR101" s="1"/>
      <c r="HS101" s="1"/>
      <c r="HT101" s="1"/>
      <c r="HU101" s="1"/>
      <c r="HV101" s="1"/>
      <c r="HW101" s="1"/>
      <c r="HX101" s="1"/>
      <c r="HY101" s="1"/>
      <c r="HZ101" s="1"/>
      <c r="IA101" s="1"/>
      <c r="IB101" s="1"/>
      <c r="IC101" s="1"/>
      <c r="ID101" s="1"/>
      <c r="IE101" s="1"/>
      <c r="IF101" s="1"/>
      <c r="IG101" s="1"/>
      <c r="IH101" s="1"/>
      <c r="II101" s="1"/>
      <c r="IJ101" s="1"/>
      <c r="IK101" s="1"/>
      <c r="IL101" s="1"/>
      <c r="IM101" s="1"/>
      <c r="IN101" s="1"/>
      <c r="IO101" s="1"/>
      <c r="IP101" s="1"/>
      <c r="IQ101" s="1"/>
      <c r="IR101" s="1"/>
      <c r="IS101" s="1"/>
      <c r="IT101" s="1"/>
      <c r="IU101" s="1"/>
      <c r="IV101" s="1"/>
      <c r="IW101" s="1"/>
      <c r="IX101" s="1"/>
      <c r="IY101" s="1"/>
      <c r="IZ101" s="1"/>
      <c r="JA101" s="1"/>
      <c r="JB101" s="1"/>
      <c r="JC101" s="1"/>
      <c r="JD101" s="1"/>
      <c r="JE101" s="1"/>
      <c r="JF101" s="1"/>
      <c r="JG101" s="1"/>
      <c r="JH101" s="1"/>
      <c r="JI101" s="1"/>
      <c r="JJ101" s="1"/>
      <c r="JK101" s="1"/>
      <c r="JL101" s="1"/>
      <c r="JM101" s="1"/>
      <c r="JN101" s="1"/>
      <c r="JO101" s="1"/>
      <c r="JP101" s="1"/>
      <c r="JQ101" s="1"/>
      <c r="JR101" s="1"/>
      <c r="JS101" s="1"/>
      <c r="JT101" s="1"/>
      <c r="JU101" s="1"/>
      <c r="JV101" s="1"/>
      <c r="JW101" s="1"/>
      <c r="JX101" s="1"/>
      <c r="JY101" s="1"/>
      <c r="JZ101" s="1"/>
      <c r="KA101" s="1"/>
      <c r="KB101" s="1"/>
      <c r="KC101" s="1"/>
      <c r="KD101" s="1"/>
      <c r="KE101" s="1"/>
      <c r="KF101" s="1"/>
      <c r="KG101" s="1"/>
      <c r="KH101" s="1"/>
      <c r="KI101" s="1"/>
      <c r="KJ101" s="1"/>
      <c r="KK101" s="1"/>
      <c r="KL101" s="1"/>
      <c r="KM101" s="1"/>
      <c r="KN101" s="1"/>
      <c r="KO101" s="1"/>
      <c r="KP101" s="1"/>
      <c r="KQ101" s="1"/>
      <c r="KR101" s="1"/>
      <c r="KS101" s="1"/>
      <c r="KT101" s="1"/>
      <c r="KU101" s="1"/>
      <c r="KV101" s="1"/>
      <c r="KW101" s="1"/>
      <c r="KX101" s="1"/>
      <c r="KY101" s="1"/>
      <c r="KZ101" s="1"/>
      <c r="LA101" s="1"/>
      <c r="LB101" s="1"/>
      <c r="LC101" s="1"/>
      <c r="LD101" s="1"/>
      <c r="LE101" s="1"/>
      <c r="LF101" s="1"/>
      <c r="LG101" s="1"/>
      <c r="LH101" s="1"/>
      <c r="LI101" s="1"/>
      <c r="LJ101" s="1"/>
      <c r="LK101" s="1"/>
      <c r="LL101" s="1"/>
      <c r="LM101" s="1"/>
      <c r="LN101" s="1"/>
      <c r="LO101" s="1"/>
      <c r="LP101" s="1"/>
      <c r="LQ101" s="1"/>
      <c r="LR101" s="1"/>
      <c r="LS101" s="1"/>
    </row>
    <row r="102" spans="1:331" s="25" customFormat="1" x14ac:dyDescent="0.25">
      <c r="A102" s="25" t="s">
        <v>445</v>
      </c>
      <c r="B102" s="29" t="s">
        <v>445</v>
      </c>
      <c r="C102" s="94" t="s">
        <v>1647</v>
      </c>
      <c r="D102" s="25">
        <v>0</v>
      </c>
      <c r="H102" s="25" t="s">
        <v>446</v>
      </c>
      <c r="I102" s="25" t="s">
        <v>447</v>
      </c>
      <c r="J102" s="25" t="s">
        <v>448</v>
      </c>
      <c r="K102" s="25" t="s">
        <v>1670</v>
      </c>
      <c r="L102" s="25">
        <v>0</v>
      </c>
      <c r="O102" s="25">
        <v>0</v>
      </c>
      <c r="Q102" s="96" t="s">
        <v>221</v>
      </c>
      <c r="R102" s="96"/>
      <c r="S102" s="25">
        <v>7</v>
      </c>
      <c r="U102" s="25">
        <v>6</v>
      </c>
      <c r="W102" s="96">
        <v>7</v>
      </c>
      <c r="X102" s="96"/>
      <c r="Y102" s="96"/>
      <c r="Z102" s="25">
        <v>5</v>
      </c>
      <c r="AA102" s="94" t="b">
        <v>1</v>
      </c>
      <c r="AB102" s="1"/>
      <c r="AC102" s="57" t="s">
        <v>1305</v>
      </c>
      <c r="AD102" s="1"/>
      <c r="AE102" s="57"/>
      <c r="AF102" s="1"/>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c r="BI102" s="1"/>
      <c r="BJ102" s="1"/>
      <c r="BK102" s="1"/>
      <c r="BL102" s="1"/>
      <c r="BM102" s="1"/>
      <c r="BN102" s="1"/>
      <c r="BO102" s="1"/>
      <c r="BP102" s="1"/>
      <c r="BQ102" s="1"/>
      <c r="BR102" s="1"/>
      <c r="BS102" s="1"/>
      <c r="BT102" s="1"/>
      <c r="BU102" s="1"/>
      <c r="BV102" s="1"/>
      <c r="BW102" s="1"/>
      <c r="BX102" s="1"/>
      <c r="BY102" s="1"/>
      <c r="BZ102" s="1"/>
      <c r="CA102" s="1"/>
      <c r="CB102" s="1"/>
      <c r="CC102" s="1"/>
      <c r="CD102" s="1"/>
      <c r="CE102" s="1"/>
      <c r="CF102" s="1"/>
      <c r="CG102" s="1"/>
      <c r="CH102" s="1"/>
      <c r="CI102" s="1"/>
      <c r="CJ102" s="1"/>
      <c r="CK102" s="1"/>
      <c r="CL102" s="1"/>
      <c r="CM102" s="1"/>
      <c r="CN102" s="1"/>
      <c r="CO102" s="1"/>
      <c r="CP102" s="1"/>
      <c r="CQ102" s="1"/>
      <c r="CR102" s="1"/>
      <c r="CS102" s="1"/>
      <c r="CT102" s="1"/>
      <c r="CU102" s="1"/>
      <c r="CV102" s="1"/>
      <c r="CW102" s="1"/>
      <c r="CX102" s="1"/>
      <c r="CY102" s="1"/>
      <c r="CZ102" s="1"/>
      <c r="DA102" s="1"/>
      <c r="DB102" s="1"/>
      <c r="DC102" s="1"/>
      <c r="DD102" s="1"/>
      <c r="DE102" s="1"/>
      <c r="DF102" s="1"/>
      <c r="DG102" s="1"/>
      <c r="DH102" s="1"/>
      <c r="DI102" s="1"/>
      <c r="DJ102" s="1"/>
      <c r="DK102" s="1"/>
      <c r="DL102" s="1"/>
      <c r="DM102" s="1"/>
      <c r="DN102" s="1"/>
      <c r="DO102" s="1"/>
      <c r="DP102" s="1"/>
      <c r="DQ102" s="1"/>
      <c r="DR102" s="1"/>
      <c r="DS102" s="1"/>
      <c r="DT102" s="1"/>
      <c r="DU102" s="1"/>
      <c r="DV102" s="1"/>
      <c r="DW102" s="1"/>
      <c r="DX102" s="1"/>
      <c r="DY102" s="1"/>
      <c r="DZ102" s="1"/>
      <c r="EA102" s="1"/>
      <c r="EB102" s="1"/>
      <c r="EC102" s="1"/>
      <c r="ED102" s="1"/>
      <c r="EE102" s="1"/>
      <c r="EF102" s="1"/>
      <c r="EG102" s="1"/>
      <c r="EH102" s="1"/>
      <c r="EI102" s="1"/>
      <c r="EJ102" s="1"/>
      <c r="EK102" s="1"/>
      <c r="EL102" s="1"/>
      <c r="EM102" s="1"/>
      <c r="EN102" s="1"/>
      <c r="EO102" s="1"/>
      <c r="EP102" s="1"/>
      <c r="EQ102" s="1"/>
      <c r="ER102" s="1"/>
      <c r="ES102" s="1"/>
      <c r="ET102" s="1"/>
      <c r="EU102" s="1"/>
      <c r="EV102" s="1"/>
      <c r="EW102" s="1"/>
      <c r="EX102" s="1"/>
      <c r="EY102" s="1"/>
      <c r="EZ102" s="1"/>
      <c r="FA102" s="1"/>
      <c r="FB102" s="1"/>
      <c r="FC102" s="1"/>
      <c r="FD102" s="1"/>
      <c r="FE102" s="1"/>
      <c r="FF102" s="1"/>
      <c r="FG102" s="1"/>
      <c r="FH102" s="1"/>
      <c r="FI102" s="1"/>
      <c r="FJ102" s="1"/>
      <c r="FK102" s="1"/>
      <c r="FL102" s="1"/>
      <c r="FM102" s="1"/>
      <c r="FN102" s="1"/>
      <c r="FO102" s="1"/>
      <c r="FP102" s="1"/>
      <c r="FQ102" s="1"/>
      <c r="FR102" s="1"/>
      <c r="FS102" s="1"/>
      <c r="FT102" s="1"/>
      <c r="FU102" s="1"/>
      <c r="FV102" s="1"/>
      <c r="FW102" s="1"/>
      <c r="FX102" s="1"/>
      <c r="FY102" s="1"/>
      <c r="FZ102" s="1"/>
      <c r="GA102" s="1"/>
      <c r="GB102" s="1"/>
      <c r="GC102" s="1"/>
      <c r="GD102" s="1"/>
      <c r="GE102" s="1"/>
      <c r="GF102" s="1"/>
      <c r="GG102" s="1"/>
      <c r="GH102" s="1"/>
      <c r="GI102" s="1"/>
      <c r="GJ102" s="1"/>
      <c r="GK102" s="1"/>
      <c r="GL102" s="1"/>
      <c r="GM102" s="1"/>
      <c r="GN102" s="1"/>
      <c r="GO102" s="1"/>
      <c r="GP102" s="1"/>
      <c r="GQ102" s="1"/>
      <c r="GR102" s="1"/>
      <c r="GS102" s="1"/>
      <c r="GT102" s="1"/>
      <c r="GU102" s="1"/>
      <c r="GV102" s="1"/>
      <c r="GW102" s="1"/>
      <c r="GX102" s="1"/>
      <c r="GY102" s="1"/>
      <c r="GZ102" s="1"/>
      <c r="HA102" s="1"/>
      <c r="HB102" s="1"/>
      <c r="HC102" s="1"/>
      <c r="HD102" s="1"/>
      <c r="HE102" s="1"/>
      <c r="HF102" s="1"/>
      <c r="HG102" s="1"/>
      <c r="HH102" s="1"/>
      <c r="HI102" s="1"/>
      <c r="HJ102" s="1"/>
      <c r="HK102" s="1"/>
      <c r="HL102" s="1"/>
      <c r="HM102" s="1"/>
      <c r="HN102" s="1"/>
      <c r="HO102" s="1"/>
      <c r="HP102" s="1"/>
      <c r="HQ102" s="1"/>
      <c r="HR102" s="1"/>
      <c r="HS102" s="1"/>
      <c r="HT102" s="1"/>
      <c r="HU102" s="1"/>
      <c r="HV102" s="1"/>
      <c r="HW102" s="1"/>
      <c r="HX102" s="1"/>
      <c r="HY102" s="1"/>
      <c r="HZ102" s="1"/>
      <c r="IA102" s="1"/>
      <c r="IB102" s="1"/>
      <c r="IC102" s="1"/>
      <c r="ID102" s="1"/>
      <c r="IE102" s="1"/>
      <c r="IF102" s="1"/>
      <c r="IG102" s="1"/>
      <c r="IH102" s="1"/>
      <c r="II102" s="1"/>
      <c r="IJ102" s="1"/>
      <c r="IK102" s="1"/>
      <c r="IL102" s="1"/>
      <c r="IM102" s="1"/>
      <c r="IN102" s="1"/>
      <c r="IO102" s="1"/>
      <c r="IP102" s="1"/>
      <c r="IQ102" s="1"/>
      <c r="IR102" s="1"/>
      <c r="IS102" s="1"/>
      <c r="IT102" s="1"/>
      <c r="IU102" s="1"/>
      <c r="IV102" s="1"/>
      <c r="IW102" s="1"/>
      <c r="IX102" s="1"/>
      <c r="IY102" s="1"/>
      <c r="IZ102" s="1"/>
      <c r="JA102" s="1"/>
      <c r="JB102" s="1"/>
      <c r="JC102" s="1"/>
      <c r="JD102" s="1"/>
      <c r="JE102" s="1"/>
      <c r="JF102" s="1"/>
      <c r="JG102" s="1"/>
      <c r="JH102" s="1"/>
      <c r="JI102" s="1"/>
      <c r="JJ102" s="1"/>
      <c r="JK102" s="1"/>
      <c r="JL102" s="1"/>
      <c r="JM102" s="1"/>
      <c r="JN102" s="1"/>
      <c r="JO102" s="1"/>
      <c r="JP102" s="1"/>
      <c r="JQ102" s="1"/>
      <c r="JR102" s="1"/>
      <c r="JS102" s="1"/>
      <c r="JT102" s="1"/>
      <c r="JU102" s="1"/>
      <c r="JV102" s="1"/>
      <c r="JW102" s="1"/>
      <c r="JX102" s="1"/>
      <c r="JY102" s="1"/>
      <c r="JZ102" s="1"/>
      <c r="KA102" s="1"/>
      <c r="KB102" s="1"/>
      <c r="KC102" s="1"/>
      <c r="KD102" s="1"/>
      <c r="KE102" s="1"/>
      <c r="KF102" s="1"/>
      <c r="KG102" s="1"/>
      <c r="KH102" s="1"/>
      <c r="KI102" s="1"/>
      <c r="KJ102" s="1"/>
      <c r="KK102" s="1"/>
      <c r="KL102" s="1"/>
      <c r="KM102" s="1"/>
      <c r="KN102" s="1"/>
      <c r="KO102" s="1"/>
      <c r="KP102" s="1"/>
      <c r="KQ102" s="1"/>
      <c r="KR102" s="1"/>
      <c r="KS102" s="1"/>
      <c r="KT102" s="1"/>
      <c r="KU102" s="1"/>
      <c r="KV102" s="1"/>
      <c r="KW102" s="1"/>
      <c r="KX102" s="1"/>
      <c r="KY102" s="1"/>
      <c r="KZ102" s="1"/>
      <c r="LA102" s="1"/>
      <c r="LB102" s="1"/>
      <c r="LC102" s="1"/>
      <c r="LD102" s="1"/>
      <c r="LE102" s="1"/>
      <c r="LF102" s="1"/>
      <c r="LG102" s="1"/>
      <c r="LH102" s="1"/>
      <c r="LI102" s="1"/>
      <c r="LJ102" s="1"/>
      <c r="LK102" s="1"/>
      <c r="LL102" s="1"/>
      <c r="LM102" s="1"/>
      <c r="LN102" s="1"/>
      <c r="LO102" s="1"/>
      <c r="LP102" s="1"/>
      <c r="LQ102" s="1"/>
      <c r="LR102" s="1"/>
      <c r="LS102" s="1"/>
    </row>
    <row r="103" spans="1:331" s="25" customFormat="1" x14ac:dyDescent="0.25">
      <c r="A103" s="25" t="s">
        <v>449</v>
      </c>
      <c r="B103" s="29" t="s">
        <v>450</v>
      </c>
      <c r="C103" s="94" t="s">
        <v>1647</v>
      </c>
      <c r="D103" s="25">
        <v>0</v>
      </c>
      <c r="H103" s="25" t="s">
        <v>223</v>
      </c>
      <c r="I103" s="25" t="s">
        <v>451</v>
      </c>
      <c r="J103" s="25" t="s">
        <v>223</v>
      </c>
      <c r="K103" s="25" t="s">
        <v>451</v>
      </c>
      <c r="L103" s="25">
        <v>0</v>
      </c>
      <c r="O103" s="25">
        <v>0</v>
      </c>
      <c r="Q103" s="96" t="s">
        <v>1531</v>
      </c>
      <c r="R103" s="96"/>
      <c r="S103" s="25">
        <v>7</v>
      </c>
      <c r="U103" s="25">
        <v>7</v>
      </c>
      <c r="W103" s="96">
        <v>7</v>
      </c>
      <c r="X103" s="96"/>
      <c r="Y103" s="96"/>
      <c r="Z103" s="25">
        <v>5</v>
      </c>
      <c r="AA103" s="94" t="b">
        <v>1</v>
      </c>
      <c r="AB103" s="1"/>
      <c r="AC103" s="57" t="s">
        <v>1333</v>
      </c>
      <c r="AD103" s="1"/>
      <c r="AE103" s="57"/>
      <c r="AF103" s="1"/>
      <c r="AG103" s="1"/>
      <c r="AH103" s="1"/>
      <c r="AI103" s="1"/>
      <c r="AJ103" s="1"/>
      <c r="AK103" s="1"/>
      <c r="AL103" s="1"/>
      <c r="AM103" s="1"/>
      <c r="AN103" s="1"/>
      <c r="AO103" s="1"/>
      <c r="AP103" s="1"/>
      <c r="AQ103" s="1"/>
      <c r="AR103" s="1"/>
      <c r="AS103" s="1"/>
      <c r="AT103" s="1"/>
      <c r="AU103" s="1"/>
      <c r="AV103" s="1"/>
      <c r="AW103" s="1"/>
      <c r="AX103" s="1"/>
      <c r="AY103" s="1"/>
      <c r="AZ103" s="1"/>
      <c r="BA103" s="1"/>
      <c r="BB103" s="1"/>
      <c r="BC103" s="1"/>
      <c r="BD103" s="1"/>
      <c r="BE103" s="1"/>
      <c r="BF103" s="1"/>
      <c r="BG103" s="1"/>
      <c r="BH103" s="1"/>
      <c r="BI103" s="1"/>
      <c r="BJ103" s="1"/>
      <c r="BK103" s="1"/>
      <c r="BL103" s="1"/>
      <c r="BM103" s="1"/>
      <c r="BN103" s="1"/>
      <c r="BO103" s="1"/>
      <c r="BP103" s="1"/>
      <c r="BQ103" s="1"/>
      <c r="BR103" s="1"/>
      <c r="BS103" s="1"/>
      <c r="BT103" s="1"/>
      <c r="BU103" s="1"/>
      <c r="BV103" s="1"/>
      <c r="BW103" s="1"/>
      <c r="BX103" s="1"/>
      <c r="BY103" s="1"/>
      <c r="BZ103" s="1"/>
      <c r="CA103" s="1"/>
      <c r="CB103" s="1"/>
      <c r="CC103" s="1"/>
      <c r="CD103" s="1"/>
      <c r="CE103" s="1"/>
      <c r="CF103" s="1"/>
      <c r="CG103" s="1"/>
      <c r="CH103" s="1"/>
      <c r="CI103" s="1"/>
      <c r="CJ103" s="1"/>
      <c r="CK103" s="1"/>
      <c r="CL103" s="1"/>
      <c r="CM103" s="1"/>
      <c r="CN103" s="1"/>
      <c r="CO103" s="1"/>
      <c r="CP103" s="1"/>
      <c r="CQ103" s="1"/>
      <c r="CR103" s="1"/>
      <c r="CS103" s="1"/>
      <c r="CT103" s="1"/>
      <c r="CU103" s="1"/>
      <c r="CV103" s="1"/>
      <c r="CW103" s="1"/>
      <c r="CX103" s="1"/>
      <c r="CY103" s="1"/>
      <c r="CZ103" s="1"/>
      <c r="DA103" s="1"/>
      <c r="DB103" s="1"/>
      <c r="DC103" s="1"/>
      <c r="DD103" s="1"/>
      <c r="DE103" s="1"/>
      <c r="DF103" s="1"/>
      <c r="DG103" s="1"/>
      <c r="DH103" s="1"/>
      <c r="DI103" s="1"/>
      <c r="DJ103" s="1"/>
      <c r="DK103" s="1"/>
      <c r="DL103" s="1"/>
      <c r="DM103" s="1"/>
      <c r="DN103" s="1"/>
      <c r="DO103" s="1"/>
      <c r="DP103" s="1"/>
      <c r="DQ103" s="1"/>
      <c r="DR103" s="1"/>
      <c r="DS103" s="1"/>
      <c r="DT103" s="1"/>
      <c r="DU103" s="1"/>
      <c r="DV103" s="1"/>
      <c r="DW103" s="1"/>
      <c r="DX103" s="1"/>
      <c r="DY103" s="1"/>
      <c r="DZ103" s="1"/>
      <c r="EA103" s="1"/>
      <c r="EB103" s="1"/>
      <c r="EC103" s="1"/>
      <c r="ED103" s="1"/>
      <c r="EE103" s="1"/>
      <c r="EF103" s="1"/>
      <c r="EG103" s="1"/>
      <c r="EH103" s="1"/>
      <c r="EI103" s="1"/>
      <c r="EJ103" s="1"/>
      <c r="EK103" s="1"/>
      <c r="EL103" s="1"/>
      <c r="EM103" s="1"/>
      <c r="EN103" s="1"/>
      <c r="EO103" s="1"/>
      <c r="EP103" s="1"/>
      <c r="EQ103" s="1"/>
      <c r="ER103" s="1"/>
      <c r="ES103" s="1"/>
      <c r="ET103" s="1"/>
      <c r="EU103" s="1"/>
      <c r="EV103" s="1"/>
      <c r="EW103" s="1"/>
      <c r="EX103" s="1"/>
      <c r="EY103" s="1"/>
      <c r="EZ103" s="1"/>
      <c r="FA103" s="1"/>
      <c r="FB103" s="1"/>
      <c r="FC103" s="1"/>
      <c r="FD103" s="1"/>
      <c r="FE103" s="1"/>
      <c r="FF103" s="1"/>
      <c r="FG103" s="1"/>
      <c r="FH103" s="1"/>
      <c r="FI103" s="1"/>
      <c r="FJ103" s="1"/>
      <c r="FK103" s="1"/>
      <c r="FL103" s="1"/>
      <c r="FM103" s="1"/>
      <c r="FN103" s="1"/>
      <c r="FO103" s="1"/>
      <c r="FP103" s="1"/>
      <c r="FQ103" s="1"/>
      <c r="FR103" s="1"/>
      <c r="FS103" s="1"/>
      <c r="FT103" s="1"/>
      <c r="FU103" s="1"/>
      <c r="FV103" s="1"/>
      <c r="FW103" s="1"/>
      <c r="FX103" s="1"/>
      <c r="FY103" s="1"/>
      <c r="FZ103" s="1"/>
      <c r="GA103" s="1"/>
      <c r="GB103" s="1"/>
      <c r="GC103" s="1"/>
      <c r="GD103" s="1"/>
      <c r="GE103" s="1"/>
      <c r="GF103" s="1"/>
      <c r="GG103" s="1"/>
      <c r="GH103" s="1"/>
      <c r="GI103" s="1"/>
      <c r="GJ103" s="1"/>
      <c r="GK103" s="1"/>
      <c r="GL103" s="1"/>
      <c r="GM103" s="1"/>
      <c r="GN103" s="1"/>
      <c r="GO103" s="1"/>
      <c r="GP103" s="1"/>
      <c r="GQ103" s="1"/>
      <c r="GR103" s="1"/>
      <c r="GS103" s="1"/>
      <c r="GT103" s="1"/>
      <c r="GU103" s="1"/>
      <c r="GV103" s="1"/>
      <c r="GW103" s="1"/>
      <c r="GX103" s="1"/>
      <c r="GY103" s="1"/>
      <c r="GZ103" s="1"/>
      <c r="HA103" s="1"/>
      <c r="HB103" s="1"/>
      <c r="HC103" s="1"/>
      <c r="HD103" s="1"/>
      <c r="HE103" s="1"/>
      <c r="HF103" s="1"/>
      <c r="HG103" s="1"/>
      <c r="HH103" s="1"/>
      <c r="HI103" s="1"/>
      <c r="HJ103" s="1"/>
      <c r="HK103" s="1"/>
      <c r="HL103" s="1"/>
      <c r="HM103" s="1"/>
      <c r="HN103" s="1"/>
      <c r="HO103" s="1"/>
      <c r="HP103" s="1"/>
      <c r="HQ103" s="1"/>
      <c r="HR103" s="1"/>
      <c r="HS103" s="1"/>
      <c r="HT103" s="1"/>
      <c r="HU103" s="1"/>
      <c r="HV103" s="1"/>
      <c r="HW103" s="1"/>
      <c r="HX103" s="1"/>
      <c r="HY103" s="1"/>
      <c r="HZ103" s="1"/>
      <c r="IA103" s="1"/>
      <c r="IB103" s="1"/>
      <c r="IC103" s="1"/>
      <c r="ID103" s="1"/>
      <c r="IE103" s="1"/>
      <c r="IF103" s="1"/>
      <c r="IG103" s="1"/>
      <c r="IH103" s="1"/>
      <c r="II103" s="1"/>
      <c r="IJ103" s="1"/>
      <c r="IK103" s="1"/>
      <c r="IL103" s="1"/>
      <c r="IM103" s="1"/>
      <c r="IN103" s="1"/>
      <c r="IO103" s="1"/>
      <c r="IP103" s="1"/>
      <c r="IQ103" s="1"/>
      <c r="IR103" s="1"/>
      <c r="IS103" s="1"/>
      <c r="IT103" s="1"/>
      <c r="IU103" s="1"/>
      <c r="IV103" s="1"/>
      <c r="IW103" s="1"/>
      <c r="IX103" s="1"/>
      <c r="IY103" s="1"/>
      <c r="IZ103" s="1"/>
      <c r="JA103" s="1"/>
      <c r="JB103" s="1"/>
      <c r="JC103" s="1"/>
      <c r="JD103" s="1"/>
      <c r="JE103" s="1"/>
      <c r="JF103" s="1"/>
      <c r="JG103" s="1"/>
      <c r="JH103" s="1"/>
      <c r="JI103" s="1"/>
      <c r="JJ103" s="1"/>
      <c r="JK103" s="1"/>
      <c r="JL103" s="1"/>
      <c r="JM103" s="1"/>
      <c r="JN103" s="1"/>
      <c r="JO103" s="1"/>
      <c r="JP103" s="1"/>
      <c r="JQ103" s="1"/>
      <c r="JR103" s="1"/>
      <c r="JS103" s="1"/>
      <c r="JT103" s="1"/>
      <c r="JU103" s="1"/>
      <c r="JV103" s="1"/>
      <c r="JW103" s="1"/>
      <c r="JX103" s="1"/>
      <c r="JY103" s="1"/>
      <c r="JZ103" s="1"/>
      <c r="KA103" s="1"/>
      <c r="KB103" s="1"/>
      <c r="KC103" s="1"/>
      <c r="KD103" s="1"/>
      <c r="KE103" s="1"/>
      <c r="KF103" s="1"/>
      <c r="KG103" s="1"/>
      <c r="KH103" s="1"/>
      <c r="KI103" s="1"/>
      <c r="KJ103" s="1"/>
      <c r="KK103" s="1"/>
      <c r="KL103" s="1"/>
      <c r="KM103" s="1"/>
      <c r="KN103" s="1"/>
      <c r="KO103" s="1"/>
      <c r="KP103" s="1"/>
      <c r="KQ103" s="1"/>
      <c r="KR103" s="1"/>
      <c r="KS103" s="1"/>
      <c r="KT103" s="1"/>
      <c r="KU103" s="1"/>
      <c r="KV103" s="1"/>
      <c r="KW103" s="1"/>
      <c r="KX103" s="1"/>
      <c r="KY103" s="1"/>
      <c r="KZ103" s="1"/>
      <c r="LA103" s="1"/>
      <c r="LB103" s="1"/>
      <c r="LC103" s="1"/>
      <c r="LD103" s="1"/>
      <c r="LE103" s="1"/>
      <c r="LF103" s="1"/>
      <c r="LG103" s="1"/>
      <c r="LH103" s="1"/>
      <c r="LI103" s="1"/>
      <c r="LJ103" s="1"/>
      <c r="LK103" s="1"/>
      <c r="LL103" s="1"/>
      <c r="LM103" s="1"/>
      <c r="LN103" s="1"/>
      <c r="LO103" s="1"/>
      <c r="LP103" s="1"/>
      <c r="LQ103" s="1"/>
      <c r="LR103" s="1"/>
      <c r="LS103" s="1"/>
    </row>
    <row r="104" spans="1:331" s="72" customFormat="1" x14ac:dyDescent="0.25">
      <c r="A104" s="72" t="s">
        <v>452</v>
      </c>
      <c r="B104" s="72" t="s">
        <v>452</v>
      </c>
      <c r="C104" s="96" t="s">
        <v>1647</v>
      </c>
      <c r="D104" s="72">
        <v>0</v>
      </c>
      <c r="H104" s="72" t="s">
        <v>453</v>
      </c>
      <c r="I104" s="72" t="s">
        <v>454</v>
      </c>
      <c r="J104" s="72" t="s">
        <v>453</v>
      </c>
      <c r="K104" s="72" t="s">
        <v>1671</v>
      </c>
      <c r="L104" s="72">
        <v>0</v>
      </c>
      <c r="O104" s="72">
        <v>1</v>
      </c>
      <c r="P104" s="72" t="s">
        <v>453</v>
      </c>
      <c r="Q104" s="96"/>
      <c r="R104" s="96" t="s">
        <v>455</v>
      </c>
      <c r="T104" s="72">
        <v>8</v>
      </c>
      <c r="W104" s="96">
        <v>8</v>
      </c>
      <c r="X104" s="96"/>
      <c r="Y104" s="96"/>
      <c r="Z104" s="72">
        <v>14</v>
      </c>
      <c r="AA104" s="94" t="b">
        <v>1</v>
      </c>
      <c r="AB104" s="1"/>
      <c r="AC104" s="57" t="s">
        <v>1449</v>
      </c>
      <c r="AD104" s="1"/>
      <c r="AE104" s="57"/>
      <c r="AF104" s="1"/>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c r="BH104" s="1"/>
      <c r="BI104" s="1"/>
      <c r="BJ104" s="1"/>
      <c r="BK104" s="1"/>
      <c r="BL104" s="1"/>
      <c r="BM104" s="1"/>
      <c r="BN104" s="1"/>
      <c r="BO104" s="1"/>
      <c r="BP104" s="1"/>
      <c r="BQ104" s="1"/>
      <c r="BR104" s="1"/>
      <c r="BS104" s="1"/>
      <c r="BT104" s="1"/>
      <c r="BU104" s="1"/>
      <c r="BV104" s="1"/>
    </row>
    <row r="105" spans="1:331" s="30" customFormat="1" x14ac:dyDescent="0.25">
      <c r="A105" s="30" t="s">
        <v>456</v>
      </c>
      <c r="B105" s="30" t="s">
        <v>456</v>
      </c>
      <c r="C105" s="96" t="s">
        <v>1647</v>
      </c>
      <c r="D105" s="30">
        <v>1</v>
      </c>
      <c r="E105" s="30" t="s">
        <v>457</v>
      </c>
      <c r="H105" s="30" t="s">
        <v>458</v>
      </c>
      <c r="I105" s="30" t="s">
        <v>457</v>
      </c>
      <c r="J105" s="30" t="s">
        <v>458</v>
      </c>
      <c r="K105" s="30" t="s">
        <v>1672</v>
      </c>
      <c r="L105" s="30">
        <v>0</v>
      </c>
      <c r="O105" s="30">
        <v>0</v>
      </c>
      <c r="Q105" s="96" t="s">
        <v>1532</v>
      </c>
      <c r="R105" s="96"/>
      <c r="S105" s="30">
        <v>13</v>
      </c>
      <c r="W105" s="96">
        <v>13</v>
      </c>
      <c r="X105" s="96"/>
      <c r="Y105" s="96"/>
      <c r="Z105" s="30">
        <v>6</v>
      </c>
      <c r="AA105" s="94" t="b">
        <v>1</v>
      </c>
      <c r="AB105" s="1" t="s">
        <v>1894</v>
      </c>
      <c r="AC105" s="57" t="s">
        <v>1444</v>
      </c>
      <c r="AD105" s="1"/>
      <c r="AE105" s="57"/>
      <c r="AF105" s="1"/>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c r="BI105" s="1"/>
      <c r="BJ105" s="1"/>
      <c r="BK105" s="1"/>
      <c r="BL105" s="1"/>
      <c r="BM105" s="1"/>
      <c r="BN105" s="1"/>
      <c r="BO105" s="1"/>
      <c r="BP105" s="1"/>
      <c r="BQ105" s="1"/>
      <c r="BR105" s="1"/>
      <c r="BS105" s="1"/>
      <c r="BT105" s="1"/>
      <c r="BU105" s="1"/>
      <c r="BV105" s="1"/>
      <c r="BW105" s="1"/>
      <c r="BX105" s="1"/>
      <c r="BY105" s="1"/>
      <c r="BZ105" s="1"/>
      <c r="CA105" s="1"/>
      <c r="CB105" s="1"/>
      <c r="CC105" s="1"/>
      <c r="CD105" s="1"/>
      <c r="CE105" s="1"/>
      <c r="CF105" s="1"/>
      <c r="CG105" s="1"/>
      <c r="CH105" s="1"/>
      <c r="CI105" s="1"/>
      <c r="CJ105" s="1"/>
      <c r="CK105" s="1"/>
      <c r="CL105" s="1"/>
      <c r="CM105" s="1"/>
      <c r="CN105" s="1"/>
      <c r="CO105" s="1"/>
      <c r="CP105" s="1"/>
      <c r="CQ105" s="1"/>
      <c r="CR105" s="1"/>
      <c r="CS105" s="1"/>
      <c r="CT105" s="1"/>
      <c r="CU105" s="1"/>
      <c r="CV105" s="1"/>
      <c r="CW105" s="1"/>
      <c r="CX105" s="1"/>
      <c r="CY105" s="1"/>
      <c r="CZ105" s="1"/>
      <c r="DA105" s="1"/>
      <c r="DB105" s="1"/>
      <c r="DC105" s="1"/>
      <c r="DD105" s="1"/>
      <c r="DE105" s="1"/>
      <c r="DF105" s="1"/>
      <c r="DG105" s="1"/>
      <c r="DH105" s="1"/>
      <c r="DI105" s="1"/>
      <c r="DJ105" s="1"/>
      <c r="DK105" s="1"/>
      <c r="DL105" s="1"/>
      <c r="DM105" s="1"/>
      <c r="DN105" s="1"/>
      <c r="DO105" s="1"/>
      <c r="DP105" s="1"/>
      <c r="DQ105" s="1"/>
      <c r="DR105" s="1"/>
      <c r="DS105" s="1"/>
      <c r="DT105" s="1"/>
      <c r="DU105" s="1"/>
      <c r="DV105" s="1"/>
      <c r="DW105" s="1"/>
      <c r="DX105" s="1"/>
      <c r="DY105" s="1"/>
      <c r="DZ105" s="1"/>
      <c r="EA105" s="1"/>
      <c r="EB105" s="1"/>
      <c r="EC105" s="1"/>
      <c r="ED105" s="1"/>
      <c r="EE105" s="1"/>
      <c r="EF105" s="1"/>
      <c r="EG105" s="1"/>
      <c r="EH105" s="1"/>
      <c r="EI105" s="1"/>
      <c r="EJ105" s="1"/>
      <c r="EK105" s="1"/>
      <c r="EL105" s="1"/>
      <c r="EM105" s="1"/>
      <c r="EN105" s="1"/>
      <c r="EO105" s="1"/>
      <c r="EP105" s="1"/>
      <c r="EQ105" s="1"/>
      <c r="ER105" s="1"/>
      <c r="ES105" s="1"/>
      <c r="ET105" s="1"/>
      <c r="EU105" s="1"/>
      <c r="EV105" s="1"/>
      <c r="EW105" s="1"/>
      <c r="EX105" s="1"/>
      <c r="EY105" s="1"/>
      <c r="EZ105" s="1"/>
      <c r="FA105" s="1"/>
      <c r="FB105" s="1"/>
      <c r="FC105" s="1"/>
      <c r="FD105" s="1"/>
      <c r="FE105" s="1"/>
      <c r="FF105" s="1"/>
      <c r="FG105" s="1"/>
      <c r="FH105" s="1"/>
      <c r="FI105" s="1"/>
      <c r="FJ105" s="1"/>
      <c r="FK105" s="1"/>
      <c r="FL105" s="1"/>
      <c r="FM105" s="1"/>
      <c r="FN105" s="1"/>
      <c r="FO105" s="1"/>
      <c r="FP105" s="1"/>
      <c r="FQ105" s="1"/>
      <c r="FR105" s="1"/>
      <c r="FS105" s="1"/>
      <c r="FT105" s="1"/>
      <c r="FU105" s="1"/>
      <c r="FV105" s="1"/>
      <c r="FW105" s="1"/>
      <c r="FX105" s="1"/>
      <c r="FY105" s="1"/>
      <c r="FZ105" s="1"/>
      <c r="GA105" s="1"/>
      <c r="GB105" s="1"/>
      <c r="GC105" s="1"/>
      <c r="GD105" s="1"/>
      <c r="GE105" s="1"/>
      <c r="GF105" s="1"/>
      <c r="GG105" s="1"/>
      <c r="GH105" s="1"/>
      <c r="GI105" s="1"/>
      <c r="GJ105" s="1"/>
      <c r="GK105" s="1"/>
      <c r="GL105" s="1"/>
      <c r="GM105" s="1"/>
      <c r="GN105" s="1"/>
      <c r="GO105" s="1"/>
      <c r="GP105" s="1"/>
      <c r="GQ105" s="1"/>
      <c r="GR105" s="1"/>
      <c r="GS105" s="1"/>
      <c r="GT105" s="1"/>
      <c r="GU105" s="1"/>
      <c r="GV105" s="1"/>
      <c r="GW105" s="1"/>
      <c r="GX105" s="1"/>
      <c r="GY105" s="1"/>
      <c r="GZ105" s="1"/>
      <c r="HA105" s="1"/>
      <c r="HB105" s="1"/>
      <c r="HC105" s="1"/>
      <c r="HD105" s="1"/>
      <c r="HE105" s="1"/>
      <c r="HF105" s="1"/>
      <c r="HG105" s="1"/>
      <c r="HH105" s="1"/>
      <c r="HI105" s="1"/>
      <c r="HJ105" s="1"/>
      <c r="HK105" s="1"/>
      <c r="HL105" s="1"/>
      <c r="HM105" s="1"/>
      <c r="HN105" s="1"/>
      <c r="HO105" s="1"/>
      <c r="HP105" s="1"/>
      <c r="HQ105" s="1"/>
      <c r="HR105" s="1"/>
      <c r="HS105" s="1"/>
      <c r="HT105" s="1"/>
      <c r="HU105" s="1"/>
      <c r="HV105" s="1"/>
      <c r="HW105" s="1"/>
      <c r="HX105" s="1"/>
      <c r="HY105" s="1"/>
      <c r="HZ105" s="1"/>
      <c r="IA105" s="1"/>
      <c r="IB105" s="1"/>
      <c r="IC105" s="1"/>
      <c r="ID105" s="1"/>
      <c r="IE105" s="1"/>
      <c r="IF105" s="1"/>
      <c r="IG105" s="1"/>
      <c r="IH105" s="1"/>
      <c r="II105" s="1"/>
      <c r="IJ105" s="1"/>
      <c r="IK105" s="1"/>
      <c r="IL105" s="1"/>
      <c r="IM105" s="1"/>
      <c r="IN105" s="1"/>
      <c r="IO105" s="1"/>
      <c r="IP105" s="1"/>
      <c r="IQ105" s="1"/>
      <c r="IR105" s="1"/>
      <c r="IS105" s="1"/>
      <c r="IT105" s="1"/>
      <c r="IU105" s="1"/>
      <c r="IV105" s="1"/>
      <c r="IW105" s="1"/>
      <c r="IX105" s="1"/>
      <c r="IY105" s="1"/>
      <c r="IZ105" s="1"/>
      <c r="JA105" s="1"/>
      <c r="JB105" s="1"/>
      <c r="JC105" s="1"/>
      <c r="JD105" s="1"/>
      <c r="JE105" s="1"/>
      <c r="JF105" s="1"/>
      <c r="JG105" s="1"/>
      <c r="JH105" s="1"/>
      <c r="JI105" s="1"/>
      <c r="JJ105" s="1"/>
      <c r="JK105" s="1"/>
      <c r="JL105" s="1"/>
      <c r="JM105" s="1"/>
      <c r="JN105" s="1"/>
      <c r="JO105" s="1"/>
      <c r="JP105" s="1"/>
      <c r="JQ105" s="1"/>
      <c r="JR105" s="1"/>
      <c r="JS105" s="1"/>
      <c r="JT105" s="1"/>
      <c r="JU105" s="1"/>
      <c r="JV105" s="1"/>
      <c r="JW105" s="1"/>
      <c r="JX105" s="1"/>
      <c r="JY105" s="1"/>
      <c r="JZ105" s="1"/>
      <c r="KA105" s="1"/>
      <c r="KB105" s="1"/>
      <c r="KC105" s="1"/>
      <c r="KD105" s="1"/>
      <c r="KE105" s="1"/>
      <c r="KF105" s="1"/>
      <c r="KG105" s="1"/>
      <c r="KH105" s="1"/>
      <c r="KI105" s="1"/>
      <c r="KJ105" s="1"/>
      <c r="KK105" s="1"/>
      <c r="KL105" s="1"/>
      <c r="KM105" s="1"/>
      <c r="KN105" s="1"/>
      <c r="KO105" s="1"/>
      <c r="KP105" s="1"/>
      <c r="KQ105" s="1"/>
      <c r="KR105" s="1"/>
      <c r="KS105" s="1"/>
      <c r="KT105" s="1"/>
      <c r="KU105" s="1"/>
      <c r="KV105" s="1"/>
      <c r="KW105" s="1"/>
      <c r="KX105" s="1"/>
      <c r="KY105" s="1"/>
      <c r="KZ105" s="1"/>
      <c r="LA105" s="1"/>
      <c r="LB105" s="1"/>
      <c r="LC105" s="1"/>
      <c r="LD105" s="1"/>
      <c r="LE105" s="1"/>
      <c r="LF105" s="1"/>
      <c r="LG105" s="1"/>
      <c r="LH105" s="1"/>
      <c r="LI105" s="1"/>
      <c r="LJ105" s="1"/>
      <c r="LK105" s="1"/>
      <c r="LL105" s="1"/>
      <c r="LM105" s="1"/>
      <c r="LN105" s="1"/>
      <c r="LO105" s="1"/>
      <c r="LP105" s="1"/>
      <c r="LQ105" s="1"/>
      <c r="LR105" s="1"/>
      <c r="LS105" s="1"/>
    </row>
    <row r="106" spans="1:331" s="40" customFormat="1" x14ac:dyDescent="0.25">
      <c r="A106" s="40" t="s">
        <v>459</v>
      </c>
      <c r="B106" s="40" t="s">
        <v>459</v>
      </c>
      <c r="C106" s="96" t="s">
        <v>1647</v>
      </c>
      <c r="D106" s="40">
        <v>0</v>
      </c>
      <c r="H106" s="40" t="s">
        <v>458</v>
      </c>
      <c r="I106" s="40" t="s">
        <v>460</v>
      </c>
      <c r="J106" s="40" t="s">
        <v>458</v>
      </c>
      <c r="K106" s="40" t="s">
        <v>460</v>
      </c>
      <c r="L106" s="40">
        <v>0</v>
      </c>
      <c r="O106" s="40">
        <v>1</v>
      </c>
      <c r="P106" s="40" t="s">
        <v>461</v>
      </c>
      <c r="Q106" s="96" t="s">
        <v>1533</v>
      </c>
      <c r="R106" s="96"/>
      <c r="T106" s="40">
        <v>9</v>
      </c>
      <c r="V106" s="40">
        <v>9</v>
      </c>
      <c r="W106" s="96">
        <v>9</v>
      </c>
      <c r="X106" s="96"/>
      <c r="Y106" s="96"/>
      <c r="Z106" s="40">
        <v>8</v>
      </c>
      <c r="AA106" s="94" t="b">
        <v>1</v>
      </c>
      <c r="AB106" s="1"/>
      <c r="AC106" s="57" t="s">
        <v>1461</v>
      </c>
      <c r="AD106" s="1"/>
      <c r="AE106" s="57"/>
      <c r="AF106" s="1"/>
      <c r="AG106" s="1"/>
      <c r="AH106" s="1"/>
      <c r="AI106" s="1"/>
      <c r="AJ106" s="1"/>
      <c r="AK106" s="1"/>
      <c r="AL106" s="1"/>
      <c r="AM106" s="1"/>
      <c r="AN106" s="1"/>
      <c r="AO106" s="1"/>
      <c r="AP106" s="1"/>
      <c r="AQ106" s="1"/>
      <c r="AR106" s="1"/>
      <c r="AS106" s="1"/>
      <c r="AT106" s="1"/>
      <c r="AU106" s="1"/>
      <c r="AV106" s="1"/>
      <c r="AW106" s="1"/>
      <c r="AX106" s="1"/>
      <c r="AY106" s="1"/>
      <c r="AZ106" s="1"/>
      <c r="BA106" s="1"/>
      <c r="BB106" s="1"/>
      <c r="BC106" s="1"/>
      <c r="BD106" s="1"/>
      <c r="BE106" s="1"/>
      <c r="BF106" s="1"/>
      <c r="BG106" s="1"/>
      <c r="BH106" s="1"/>
      <c r="BI106" s="1"/>
      <c r="BJ106" s="1"/>
      <c r="BK106" s="1"/>
      <c r="BL106" s="1"/>
      <c r="BM106" s="1"/>
      <c r="BN106" s="1"/>
      <c r="BO106" s="1"/>
      <c r="BP106" s="1"/>
      <c r="BQ106" s="1"/>
      <c r="BR106" s="1"/>
      <c r="BS106" s="1"/>
      <c r="BT106" s="1"/>
      <c r="BU106" s="1"/>
      <c r="BV106" s="1"/>
      <c r="BW106" s="1"/>
      <c r="BX106" s="1"/>
      <c r="BY106" s="1"/>
      <c r="BZ106" s="1"/>
      <c r="CA106" s="1"/>
      <c r="CB106" s="1"/>
      <c r="CC106" s="1"/>
      <c r="CD106" s="1"/>
      <c r="CE106" s="1"/>
      <c r="CF106" s="1"/>
      <c r="CG106" s="1"/>
      <c r="CH106" s="1"/>
      <c r="CI106" s="1"/>
      <c r="CJ106" s="1"/>
      <c r="CK106" s="1"/>
      <c r="CL106" s="1"/>
      <c r="CM106" s="1"/>
      <c r="CN106" s="1"/>
      <c r="CO106" s="1"/>
      <c r="CP106" s="1"/>
      <c r="CQ106" s="1"/>
      <c r="CR106" s="1"/>
      <c r="CS106" s="1"/>
      <c r="CT106" s="1"/>
      <c r="CU106" s="1"/>
      <c r="CV106" s="1"/>
      <c r="CW106" s="1"/>
      <c r="CX106" s="1"/>
      <c r="CY106" s="1"/>
      <c r="CZ106" s="1"/>
      <c r="DA106" s="1"/>
      <c r="DB106" s="1"/>
      <c r="DC106" s="1"/>
      <c r="DD106" s="1"/>
      <c r="DE106" s="1"/>
      <c r="DF106" s="1"/>
      <c r="DG106" s="1"/>
      <c r="DH106" s="1"/>
      <c r="DI106" s="1"/>
      <c r="DJ106" s="1"/>
      <c r="DK106" s="1"/>
      <c r="DL106" s="1"/>
      <c r="DM106" s="1"/>
      <c r="DN106" s="1"/>
      <c r="DO106" s="1"/>
      <c r="DP106" s="1"/>
      <c r="DQ106" s="1"/>
      <c r="DR106" s="1"/>
      <c r="DS106" s="1"/>
      <c r="DT106" s="1"/>
      <c r="DU106" s="1"/>
      <c r="DV106" s="1"/>
      <c r="DW106" s="1"/>
      <c r="DX106" s="1"/>
      <c r="DY106" s="1"/>
      <c r="DZ106" s="1"/>
      <c r="EA106" s="1"/>
      <c r="EB106" s="1"/>
      <c r="EC106" s="1"/>
      <c r="ED106" s="1"/>
      <c r="EE106" s="1"/>
      <c r="EF106" s="1"/>
      <c r="EG106" s="1"/>
      <c r="EH106" s="1"/>
      <c r="EI106" s="1"/>
      <c r="EJ106" s="1"/>
      <c r="EK106" s="1"/>
      <c r="EL106" s="1"/>
      <c r="EM106" s="1"/>
      <c r="EN106" s="1"/>
      <c r="EO106" s="1"/>
      <c r="EP106" s="1"/>
      <c r="EQ106" s="1"/>
      <c r="ER106" s="1"/>
      <c r="ES106" s="1"/>
      <c r="ET106" s="1"/>
      <c r="EU106" s="1"/>
      <c r="EV106" s="1"/>
      <c r="EW106" s="1"/>
      <c r="EX106" s="1"/>
      <c r="EY106" s="1"/>
      <c r="EZ106" s="1"/>
      <c r="FA106" s="1"/>
      <c r="FB106" s="1"/>
      <c r="FC106" s="1"/>
      <c r="FD106" s="1"/>
      <c r="FE106" s="1"/>
      <c r="FF106" s="1"/>
      <c r="FG106" s="1"/>
      <c r="FH106" s="1"/>
      <c r="FI106" s="1"/>
      <c r="FJ106" s="1"/>
      <c r="FK106" s="1"/>
      <c r="FL106" s="1"/>
      <c r="FM106" s="1"/>
      <c r="FN106" s="1"/>
      <c r="FO106" s="1"/>
      <c r="FP106" s="1"/>
      <c r="FQ106" s="1"/>
      <c r="FR106" s="1"/>
      <c r="FS106" s="1"/>
      <c r="FT106" s="1"/>
      <c r="FU106" s="1"/>
      <c r="FV106" s="1"/>
      <c r="FW106" s="1"/>
      <c r="FX106" s="1"/>
      <c r="FY106" s="1"/>
      <c r="FZ106" s="1"/>
      <c r="GA106" s="1"/>
      <c r="GB106" s="1"/>
      <c r="GC106" s="1"/>
      <c r="GD106" s="1"/>
      <c r="GE106" s="1"/>
      <c r="GF106" s="1"/>
      <c r="GG106" s="1"/>
      <c r="GH106" s="1"/>
      <c r="GI106" s="1"/>
      <c r="GJ106" s="1"/>
      <c r="GK106" s="1"/>
      <c r="GL106" s="1"/>
      <c r="GM106" s="1"/>
      <c r="GN106" s="1"/>
      <c r="GO106" s="1"/>
      <c r="GP106" s="1"/>
      <c r="GQ106" s="1"/>
      <c r="GR106" s="1"/>
      <c r="GS106" s="1"/>
      <c r="GT106" s="1"/>
      <c r="GU106" s="1"/>
      <c r="GV106" s="1"/>
      <c r="GW106" s="1"/>
      <c r="GX106" s="1"/>
      <c r="GY106" s="1"/>
      <c r="GZ106" s="1"/>
      <c r="HA106" s="1"/>
      <c r="HB106" s="1"/>
      <c r="HC106" s="1"/>
      <c r="HD106" s="1"/>
      <c r="HE106" s="1"/>
      <c r="HF106" s="1"/>
      <c r="HG106" s="1"/>
      <c r="HH106" s="1"/>
      <c r="HI106" s="1"/>
      <c r="HJ106" s="1"/>
      <c r="HK106" s="1"/>
      <c r="HL106" s="1"/>
      <c r="HM106" s="1"/>
      <c r="HN106" s="1"/>
      <c r="HO106" s="1"/>
      <c r="HP106" s="1"/>
      <c r="HQ106" s="1"/>
      <c r="HR106" s="1"/>
      <c r="HS106" s="1"/>
      <c r="HT106" s="1"/>
      <c r="HU106" s="1"/>
      <c r="HV106" s="1"/>
      <c r="HW106" s="1"/>
      <c r="HX106" s="1"/>
      <c r="HY106" s="1"/>
      <c r="HZ106" s="1"/>
      <c r="IA106" s="1"/>
      <c r="IB106" s="1"/>
      <c r="IC106" s="1"/>
      <c r="ID106" s="1"/>
      <c r="IE106" s="1"/>
      <c r="IF106" s="1"/>
      <c r="IG106" s="1"/>
      <c r="IH106" s="1"/>
      <c r="II106" s="1"/>
      <c r="IJ106" s="1"/>
      <c r="IK106" s="1"/>
      <c r="IL106" s="1"/>
      <c r="IM106" s="1"/>
      <c r="IN106" s="1"/>
      <c r="IO106" s="1"/>
      <c r="IP106" s="1"/>
      <c r="IQ106" s="1"/>
      <c r="IR106" s="1"/>
      <c r="IS106" s="1"/>
      <c r="IT106" s="1"/>
      <c r="IU106" s="1"/>
      <c r="IV106" s="1"/>
      <c r="IW106" s="1"/>
      <c r="IX106" s="1"/>
      <c r="IY106" s="1"/>
      <c r="IZ106" s="1"/>
      <c r="JA106" s="1"/>
      <c r="JB106" s="1"/>
      <c r="JC106" s="1"/>
      <c r="JD106" s="1"/>
      <c r="JE106" s="1"/>
      <c r="JF106" s="1"/>
      <c r="JG106" s="1"/>
      <c r="JH106" s="1"/>
      <c r="JI106" s="1"/>
      <c r="JJ106" s="1"/>
      <c r="JK106" s="1"/>
      <c r="JL106" s="1"/>
      <c r="JM106" s="1"/>
      <c r="JN106" s="1"/>
      <c r="JO106" s="1"/>
      <c r="JP106" s="1"/>
      <c r="JQ106" s="1"/>
      <c r="JR106" s="1"/>
      <c r="JS106" s="1"/>
      <c r="JT106" s="1"/>
      <c r="JU106" s="1"/>
      <c r="JV106" s="1"/>
      <c r="JW106" s="1"/>
      <c r="JX106" s="1"/>
      <c r="JY106" s="1"/>
      <c r="JZ106" s="1"/>
      <c r="KA106" s="1"/>
      <c r="KB106" s="1"/>
      <c r="KC106" s="1"/>
      <c r="KD106" s="1"/>
      <c r="KE106" s="1"/>
      <c r="KF106" s="1"/>
      <c r="KG106" s="1"/>
      <c r="KH106" s="1"/>
      <c r="KI106" s="1"/>
      <c r="KJ106" s="1"/>
      <c r="KK106" s="1"/>
      <c r="KL106" s="1"/>
      <c r="KM106" s="1"/>
      <c r="KN106" s="1"/>
      <c r="KO106" s="1"/>
      <c r="KP106" s="1"/>
      <c r="KQ106" s="1"/>
      <c r="KR106" s="1"/>
      <c r="KS106" s="1"/>
      <c r="KT106" s="1"/>
      <c r="KU106" s="1"/>
      <c r="KV106" s="1"/>
      <c r="KW106" s="1"/>
      <c r="KX106" s="1"/>
      <c r="KY106" s="1"/>
      <c r="KZ106" s="1"/>
      <c r="LA106" s="1"/>
      <c r="LB106" s="1"/>
      <c r="LC106" s="1"/>
      <c r="LD106" s="1"/>
      <c r="LE106" s="1"/>
      <c r="LF106" s="1"/>
      <c r="LG106" s="1"/>
      <c r="LH106" s="1"/>
      <c r="LI106" s="1"/>
      <c r="LJ106" s="1"/>
      <c r="LK106" s="1"/>
      <c r="LL106" s="1"/>
      <c r="LM106" s="1"/>
      <c r="LN106" s="1"/>
      <c r="LO106" s="1"/>
      <c r="LP106" s="1"/>
      <c r="LQ106" s="1"/>
      <c r="LR106" s="1"/>
      <c r="LS106" s="1"/>
    </row>
    <row r="107" spans="1:331" s="45" customFormat="1" x14ac:dyDescent="0.25">
      <c r="A107" s="45" t="s">
        <v>462</v>
      </c>
      <c r="C107" s="96" t="s">
        <v>1647</v>
      </c>
      <c r="D107" s="45">
        <v>0</v>
      </c>
      <c r="H107" s="45" t="s">
        <v>463</v>
      </c>
      <c r="I107" s="45" t="s">
        <v>464</v>
      </c>
      <c r="K107" s="45" t="s">
        <v>685</v>
      </c>
      <c r="L107" s="45">
        <v>0</v>
      </c>
      <c r="O107" s="45">
        <v>1</v>
      </c>
      <c r="P107" s="45" t="s">
        <v>465</v>
      </c>
      <c r="Q107" s="96"/>
      <c r="R107" s="96" t="s">
        <v>1795</v>
      </c>
      <c r="T107" s="45">
        <v>14</v>
      </c>
      <c r="W107" s="96"/>
      <c r="X107" s="96"/>
      <c r="Y107" s="96"/>
      <c r="Z107" s="45">
        <v>-1</v>
      </c>
      <c r="AA107" s="94" t="b">
        <v>0</v>
      </c>
      <c r="AB107" s="1"/>
      <c r="AC107" s="57" t="s">
        <v>1251</v>
      </c>
      <c r="AD107" s="1"/>
      <c r="AE107" s="57"/>
      <c r="AF107" s="1"/>
      <c r="AG107" s="1"/>
      <c r="AH107" s="1"/>
      <c r="AI107" s="1"/>
      <c r="AJ107" s="1"/>
      <c r="AK107" s="1"/>
      <c r="AL107" s="1"/>
      <c r="AM107" s="1"/>
      <c r="AN107" s="1"/>
      <c r="AO107" s="1"/>
      <c r="AP107" s="1"/>
      <c r="AQ107" s="1"/>
      <c r="AR107" s="1"/>
      <c r="AS107" s="1"/>
      <c r="AT107" s="1"/>
      <c r="AU107" s="1"/>
      <c r="AV107" s="1"/>
      <c r="AW107" s="1"/>
      <c r="AX107" s="1"/>
      <c r="AY107" s="1"/>
      <c r="AZ107" s="1"/>
      <c r="BA107" s="1"/>
      <c r="BB107" s="1"/>
      <c r="BC107" s="1"/>
      <c r="BD107" s="1"/>
      <c r="BE107" s="1"/>
      <c r="BF107" s="1"/>
      <c r="BG107" s="1"/>
      <c r="BH107" s="1"/>
      <c r="BI107" s="1"/>
      <c r="BJ107" s="1"/>
      <c r="BK107" s="1"/>
      <c r="BL107" s="1"/>
      <c r="BM107" s="1"/>
      <c r="BN107" s="1"/>
      <c r="BO107" s="1"/>
      <c r="BP107" s="1"/>
      <c r="BQ107" s="1"/>
      <c r="BR107" s="1"/>
      <c r="BS107" s="1"/>
      <c r="BT107" s="1"/>
      <c r="BU107" s="1"/>
      <c r="BV107" s="1"/>
      <c r="BW107" s="1"/>
      <c r="BX107" s="1"/>
      <c r="BY107" s="1"/>
      <c r="BZ107" s="1"/>
      <c r="CA107" s="1"/>
      <c r="CB107" s="1"/>
      <c r="CC107" s="1"/>
      <c r="CD107" s="1"/>
      <c r="CE107" s="1"/>
      <c r="CF107" s="1"/>
      <c r="CG107" s="1"/>
      <c r="CH107" s="1"/>
      <c r="CI107" s="1"/>
      <c r="CJ107" s="1"/>
      <c r="CK107" s="1"/>
      <c r="CL107" s="1"/>
      <c r="CM107" s="1"/>
      <c r="CN107" s="1"/>
      <c r="CO107" s="1"/>
      <c r="CP107" s="1"/>
      <c r="CQ107" s="1"/>
      <c r="CR107" s="1"/>
      <c r="CS107" s="1"/>
      <c r="CT107" s="1"/>
      <c r="CU107" s="1"/>
      <c r="CV107" s="1"/>
      <c r="CW107" s="1"/>
      <c r="CX107" s="1"/>
      <c r="CY107" s="1"/>
      <c r="CZ107" s="1"/>
      <c r="DA107" s="1"/>
      <c r="DB107" s="1"/>
      <c r="DC107" s="1"/>
      <c r="DD107" s="1"/>
      <c r="DE107" s="1"/>
      <c r="DF107" s="1"/>
      <c r="DG107" s="1"/>
      <c r="DH107" s="1"/>
      <c r="DI107" s="1"/>
      <c r="DJ107" s="1"/>
      <c r="DK107" s="1"/>
      <c r="DL107" s="1"/>
      <c r="DM107" s="1"/>
      <c r="DN107" s="1"/>
      <c r="DO107" s="1"/>
      <c r="DP107" s="1"/>
      <c r="DQ107" s="1"/>
      <c r="DR107" s="1"/>
      <c r="DS107" s="1"/>
      <c r="DT107" s="1"/>
      <c r="DU107" s="1"/>
      <c r="DV107" s="1"/>
      <c r="DW107" s="1"/>
      <c r="DX107" s="1"/>
      <c r="DY107" s="1"/>
      <c r="DZ107" s="1"/>
      <c r="EA107" s="1"/>
      <c r="EB107" s="1"/>
      <c r="EC107" s="1"/>
      <c r="ED107" s="1"/>
      <c r="EE107" s="1"/>
      <c r="EF107" s="1"/>
      <c r="EG107" s="1"/>
      <c r="EH107" s="1"/>
      <c r="EI107" s="1"/>
      <c r="EJ107" s="1"/>
      <c r="EK107" s="1"/>
      <c r="EL107" s="1"/>
      <c r="EM107" s="1"/>
      <c r="EN107" s="1"/>
      <c r="EO107" s="1"/>
      <c r="EP107" s="1"/>
      <c r="EQ107" s="1"/>
      <c r="ER107" s="1"/>
      <c r="ES107" s="1"/>
      <c r="ET107" s="1"/>
      <c r="EU107" s="1"/>
      <c r="EV107" s="1"/>
      <c r="EW107" s="1"/>
      <c r="EX107" s="1"/>
      <c r="EY107" s="1"/>
      <c r="EZ107" s="1"/>
      <c r="FA107" s="1"/>
      <c r="FB107" s="1"/>
      <c r="FC107" s="1"/>
      <c r="FD107" s="1"/>
      <c r="FE107" s="1"/>
      <c r="FF107" s="1"/>
      <c r="FG107" s="1"/>
      <c r="FH107" s="1"/>
      <c r="FI107" s="1"/>
      <c r="FJ107" s="1"/>
      <c r="FK107" s="1"/>
      <c r="FL107" s="1"/>
      <c r="FM107" s="1"/>
      <c r="FN107" s="1"/>
      <c r="FO107" s="1"/>
      <c r="FP107" s="1"/>
      <c r="FQ107" s="1"/>
      <c r="FR107" s="1"/>
      <c r="FS107" s="1"/>
      <c r="FT107" s="1"/>
      <c r="FU107" s="1"/>
      <c r="FV107" s="1"/>
      <c r="FW107" s="1"/>
      <c r="FX107" s="1"/>
      <c r="FY107" s="1"/>
      <c r="FZ107" s="1"/>
      <c r="GA107" s="1"/>
      <c r="GB107" s="1"/>
      <c r="GC107" s="1"/>
      <c r="GD107" s="1"/>
      <c r="GE107" s="1"/>
      <c r="GF107" s="1"/>
      <c r="GG107" s="1"/>
      <c r="GH107" s="1"/>
      <c r="GI107" s="1"/>
      <c r="GJ107" s="1"/>
      <c r="GK107" s="1"/>
      <c r="GL107" s="1"/>
      <c r="GM107" s="1"/>
      <c r="GN107" s="1"/>
      <c r="GO107" s="1"/>
      <c r="GP107" s="1"/>
      <c r="GQ107" s="1"/>
      <c r="GR107" s="1"/>
      <c r="GS107" s="1"/>
      <c r="GT107" s="1"/>
      <c r="GU107" s="1"/>
      <c r="GV107" s="1"/>
      <c r="GW107" s="1"/>
      <c r="GX107" s="1"/>
      <c r="GY107" s="1"/>
      <c r="GZ107" s="1"/>
      <c r="HA107" s="1"/>
      <c r="HB107" s="1"/>
      <c r="HC107" s="1"/>
      <c r="HD107" s="1"/>
      <c r="HE107" s="1"/>
      <c r="HF107" s="1"/>
      <c r="HG107" s="1"/>
      <c r="HH107" s="1"/>
      <c r="HI107" s="1"/>
      <c r="HJ107" s="1"/>
      <c r="HK107" s="1"/>
      <c r="HL107" s="1"/>
      <c r="HM107" s="1"/>
      <c r="HN107" s="1"/>
      <c r="HO107" s="1"/>
      <c r="HP107" s="1"/>
      <c r="HQ107" s="1"/>
      <c r="HR107" s="1"/>
      <c r="HS107" s="1"/>
      <c r="HT107" s="1"/>
      <c r="HU107" s="1"/>
      <c r="HV107" s="1"/>
      <c r="HW107" s="1"/>
      <c r="HX107" s="1"/>
      <c r="HY107" s="1"/>
      <c r="HZ107" s="1"/>
      <c r="IA107" s="1"/>
      <c r="IB107" s="1"/>
      <c r="IC107" s="1"/>
      <c r="ID107" s="1"/>
      <c r="IE107" s="1"/>
      <c r="IF107" s="1"/>
      <c r="IG107" s="1"/>
      <c r="IH107" s="1"/>
      <c r="II107" s="1"/>
      <c r="IJ107" s="1"/>
      <c r="IK107" s="1"/>
      <c r="IL107" s="1"/>
      <c r="IM107" s="1"/>
      <c r="IN107" s="1"/>
      <c r="IO107" s="1"/>
      <c r="IP107" s="1"/>
      <c r="IQ107" s="1"/>
      <c r="IR107" s="1"/>
      <c r="IS107" s="1"/>
      <c r="IT107" s="1"/>
      <c r="IU107" s="1"/>
      <c r="IV107" s="1"/>
      <c r="IW107" s="1"/>
      <c r="IX107" s="1"/>
      <c r="IY107" s="1"/>
      <c r="IZ107" s="1"/>
      <c r="JA107" s="1"/>
      <c r="JB107" s="1"/>
      <c r="JC107" s="1"/>
      <c r="JD107" s="1"/>
      <c r="JE107" s="1"/>
      <c r="JF107" s="1"/>
      <c r="JG107" s="1"/>
      <c r="JH107" s="1"/>
      <c r="JI107" s="1"/>
      <c r="JJ107" s="1"/>
      <c r="JK107" s="1"/>
      <c r="JL107" s="1"/>
      <c r="JM107" s="1"/>
      <c r="JN107" s="1"/>
      <c r="JO107" s="1"/>
      <c r="JP107" s="1"/>
      <c r="JQ107" s="1"/>
      <c r="JR107" s="1"/>
      <c r="JS107" s="1"/>
      <c r="JT107" s="1"/>
      <c r="JU107" s="1"/>
      <c r="JV107" s="1"/>
      <c r="JW107" s="1"/>
      <c r="JX107" s="1"/>
      <c r="JY107" s="1"/>
      <c r="JZ107" s="1"/>
      <c r="KA107" s="1"/>
      <c r="KB107" s="1"/>
      <c r="KC107" s="1"/>
      <c r="KD107" s="1"/>
      <c r="KE107" s="1"/>
      <c r="KF107" s="1"/>
      <c r="KG107" s="1"/>
      <c r="KH107" s="1"/>
      <c r="KI107" s="1"/>
      <c r="KJ107" s="1"/>
      <c r="KK107" s="1"/>
      <c r="KL107" s="1"/>
      <c r="KM107" s="1"/>
      <c r="KN107" s="1"/>
      <c r="KO107" s="1"/>
      <c r="KP107" s="1"/>
      <c r="KQ107" s="1"/>
      <c r="KR107" s="1"/>
      <c r="KS107" s="1"/>
      <c r="KT107" s="1"/>
      <c r="KU107" s="1"/>
      <c r="KV107" s="1"/>
      <c r="KW107" s="1"/>
      <c r="KX107" s="1"/>
      <c r="KY107" s="1"/>
      <c r="KZ107" s="1"/>
      <c r="LA107" s="1"/>
      <c r="LB107" s="1"/>
      <c r="LC107" s="1"/>
      <c r="LD107" s="1"/>
      <c r="LE107" s="1"/>
      <c r="LF107" s="1"/>
      <c r="LG107" s="1"/>
      <c r="LH107" s="1"/>
      <c r="LI107" s="1"/>
      <c r="LJ107" s="1"/>
      <c r="LK107" s="1"/>
      <c r="LL107" s="1"/>
      <c r="LM107" s="1"/>
      <c r="LN107" s="1"/>
      <c r="LO107" s="1"/>
      <c r="LP107" s="1"/>
      <c r="LQ107" s="1"/>
      <c r="LR107" s="1"/>
      <c r="LS107" s="1"/>
    </row>
    <row r="108" spans="1:331" s="72" customFormat="1" x14ac:dyDescent="0.25">
      <c r="A108" s="72" t="s">
        <v>1239</v>
      </c>
      <c r="B108" s="72" t="s">
        <v>1239</v>
      </c>
      <c r="C108" s="96" t="s">
        <v>1647</v>
      </c>
      <c r="D108" s="72">
        <v>0</v>
      </c>
      <c r="H108" s="72" t="s">
        <v>1243</v>
      </c>
      <c r="I108" s="72" t="s">
        <v>1244</v>
      </c>
      <c r="J108" s="72" t="s">
        <v>1243</v>
      </c>
      <c r="K108" s="72" t="s">
        <v>1243</v>
      </c>
      <c r="L108" s="72">
        <v>0</v>
      </c>
      <c r="O108" s="72">
        <v>1</v>
      </c>
      <c r="P108" s="72" t="s">
        <v>1245</v>
      </c>
      <c r="Q108" s="96"/>
      <c r="R108" s="96" t="s">
        <v>453</v>
      </c>
      <c r="T108" s="72">
        <v>6</v>
      </c>
      <c r="V108" s="72">
        <v>6</v>
      </c>
      <c r="W108" s="96">
        <v>6</v>
      </c>
      <c r="X108" s="96"/>
      <c r="Y108" s="96"/>
      <c r="Z108" s="72">
        <v>14</v>
      </c>
      <c r="AA108" s="94" t="b">
        <v>1</v>
      </c>
      <c r="AB108" s="1" t="s">
        <v>1890</v>
      </c>
      <c r="AC108" s="57" t="s">
        <v>1409</v>
      </c>
      <c r="AD108" s="1"/>
      <c r="AE108" s="57"/>
      <c r="AF108" s="1"/>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c r="BH108" s="1"/>
      <c r="BI108" s="1"/>
      <c r="BJ108" s="1"/>
      <c r="BK108" s="1"/>
      <c r="BL108" s="1"/>
      <c r="BM108" s="1"/>
      <c r="BN108" s="1"/>
      <c r="BO108" s="1"/>
      <c r="BP108" s="1"/>
      <c r="BQ108" s="1"/>
      <c r="BR108" s="1"/>
      <c r="BS108" s="1"/>
      <c r="BT108" s="1"/>
      <c r="BU108" s="1"/>
      <c r="BV108" s="1"/>
    </row>
    <row r="109" spans="1:331" s="59" customFormat="1" x14ac:dyDescent="0.25">
      <c r="A109" s="59" t="s">
        <v>1240</v>
      </c>
      <c r="B109" s="59" t="s">
        <v>1240</v>
      </c>
      <c r="C109" s="96" t="s">
        <v>1647</v>
      </c>
      <c r="D109" s="59">
        <v>0</v>
      </c>
      <c r="H109" s="59" t="s">
        <v>123</v>
      </c>
      <c r="I109" s="59" t="s">
        <v>1246</v>
      </c>
      <c r="J109" s="59" t="s">
        <v>716</v>
      </c>
      <c r="K109" s="59" t="s">
        <v>1673</v>
      </c>
      <c r="L109" s="59">
        <v>1</v>
      </c>
      <c r="M109" s="59" t="s">
        <v>1247</v>
      </c>
      <c r="O109" s="59">
        <v>1</v>
      </c>
      <c r="Q109" s="96"/>
      <c r="R109" s="96" t="s">
        <v>700</v>
      </c>
      <c r="S109" s="59">
        <v>10</v>
      </c>
      <c r="T109" s="59">
        <v>5</v>
      </c>
      <c r="U109" s="59">
        <v>10</v>
      </c>
      <c r="V109" s="59">
        <v>7</v>
      </c>
      <c r="W109" s="96">
        <v>10</v>
      </c>
      <c r="X109" s="96"/>
      <c r="Y109" s="96"/>
      <c r="Z109" s="59">
        <v>11</v>
      </c>
      <c r="AA109" s="94" t="b">
        <v>1</v>
      </c>
      <c r="AB109" s="1"/>
      <c r="AC109" s="57" t="s">
        <v>1365</v>
      </c>
      <c r="AD109" s="1"/>
      <c r="AE109" s="57"/>
      <c r="AF109" s="1"/>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c r="BI109" s="1"/>
      <c r="BJ109" s="1"/>
      <c r="BK109" s="1"/>
      <c r="BL109" s="1"/>
      <c r="BM109" s="1"/>
      <c r="BN109" s="1"/>
      <c r="BO109" s="1"/>
      <c r="BP109" s="1"/>
      <c r="BQ109" s="1"/>
      <c r="BR109" s="1"/>
      <c r="BS109" s="1"/>
      <c r="BT109" s="1"/>
      <c r="BU109" s="1"/>
      <c r="BV109" s="1"/>
      <c r="BW109" s="1"/>
      <c r="BX109" s="1"/>
      <c r="BY109" s="1"/>
      <c r="BZ109" s="1"/>
      <c r="CA109" s="1"/>
      <c r="CB109" s="1"/>
      <c r="CC109" s="1"/>
      <c r="CD109" s="1"/>
      <c r="CE109" s="1"/>
      <c r="CF109" s="1"/>
      <c r="CG109" s="1"/>
      <c r="CH109" s="1"/>
      <c r="CI109" s="1"/>
      <c r="CJ109" s="1"/>
      <c r="CK109" s="1"/>
      <c r="CL109" s="1"/>
      <c r="CM109" s="1"/>
      <c r="CN109" s="1"/>
      <c r="CO109" s="1"/>
      <c r="CP109" s="1"/>
      <c r="CQ109" s="1"/>
      <c r="CR109" s="1"/>
      <c r="CS109" s="1"/>
      <c r="CT109" s="1"/>
      <c r="CU109" s="1"/>
      <c r="CV109" s="1"/>
      <c r="CW109" s="1"/>
      <c r="CX109" s="1"/>
      <c r="CY109" s="1"/>
      <c r="CZ109" s="1"/>
      <c r="DA109" s="1"/>
      <c r="DB109" s="1"/>
      <c r="DC109" s="1"/>
      <c r="DD109" s="1"/>
      <c r="DE109" s="1"/>
      <c r="DF109" s="1"/>
      <c r="DG109" s="1"/>
      <c r="DH109" s="1"/>
      <c r="DI109" s="1"/>
      <c r="DJ109" s="1"/>
      <c r="DK109" s="1"/>
      <c r="DL109" s="1"/>
      <c r="DM109" s="1"/>
      <c r="DN109" s="1"/>
      <c r="DO109" s="1"/>
      <c r="DP109" s="1"/>
      <c r="DQ109" s="1"/>
      <c r="DR109" s="1"/>
      <c r="DS109" s="1"/>
      <c r="DT109" s="1"/>
      <c r="DU109" s="1"/>
      <c r="DV109" s="1"/>
      <c r="DW109" s="1"/>
      <c r="DX109" s="1"/>
      <c r="DY109" s="1"/>
      <c r="DZ109" s="1"/>
      <c r="EA109" s="1"/>
      <c r="EB109" s="1"/>
      <c r="EC109" s="1"/>
      <c r="ED109" s="1"/>
      <c r="EE109" s="1"/>
      <c r="EF109" s="1"/>
      <c r="EG109" s="1"/>
      <c r="EH109" s="1"/>
      <c r="EI109" s="1"/>
      <c r="EJ109" s="1"/>
      <c r="EK109" s="1"/>
      <c r="EL109" s="1"/>
      <c r="EM109" s="1"/>
      <c r="EN109" s="1"/>
      <c r="EO109" s="1"/>
      <c r="EP109" s="1"/>
      <c r="EQ109" s="1"/>
      <c r="ER109" s="1"/>
      <c r="ES109" s="1"/>
      <c r="ET109" s="1"/>
      <c r="EU109" s="1"/>
      <c r="EV109" s="1"/>
      <c r="EW109" s="1"/>
      <c r="EX109" s="1"/>
      <c r="EY109" s="1"/>
      <c r="EZ109" s="1"/>
      <c r="FA109" s="1"/>
      <c r="FB109" s="1"/>
      <c r="FC109" s="1"/>
      <c r="FD109" s="1"/>
      <c r="FE109" s="1"/>
      <c r="FF109" s="1"/>
      <c r="FG109" s="1"/>
      <c r="FH109" s="1"/>
      <c r="FI109" s="1"/>
      <c r="FJ109" s="1"/>
      <c r="FK109" s="1"/>
      <c r="FL109" s="1"/>
      <c r="FM109" s="1"/>
      <c r="FN109" s="1"/>
      <c r="FO109" s="1"/>
      <c r="FP109" s="1"/>
      <c r="FQ109" s="1"/>
      <c r="FR109" s="1"/>
      <c r="FS109" s="1"/>
      <c r="FT109" s="1"/>
      <c r="FU109" s="1"/>
      <c r="FV109" s="1"/>
      <c r="FW109" s="1"/>
      <c r="FX109" s="1"/>
      <c r="FY109" s="1"/>
      <c r="FZ109" s="1"/>
      <c r="GA109" s="1"/>
      <c r="GB109" s="1"/>
      <c r="GC109" s="1"/>
      <c r="GD109" s="1"/>
      <c r="GE109" s="1"/>
      <c r="GF109" s="1"/>
      <c r="GG109" s="1"/>
      <c r="GH109" s="1"/>
      <c r="GI109" s="1"/>
      <c r="GJ109" s="1"/>
      <c r="GK109" s="1"/>
      <c r="GL109" s="1"/>
      <c r="GM109" s="1"/>
      <c r="GN109" s="1"/>
      <c r="GO109" s="1"/>
      <c r="GP109" s="1"/>
      <c r="GQ109" s="1"/>
      <c r="GR109" s="1"/>
      <c r="GS109" s="1"/>
      <c r="GT109" s="1"/>
      <c r="GU109" s="1"/>
      <c r="GV109" s="1"/>
      <c r="GW109" s="1"/>
      <c r="GX109" s="1"/>
      <c r="GY109" s="1"/>
      <c r="GZ109" s="1"/>
      <c r="HA109" s="1"/>
      <c r="HB109" s="1"/>
      <c r="HC109" s="1"/>
      <c r="HD109" s="1"/>
      <c r="HE109" s="1"/>
      <c r="HF109" s="1"/>
      <c r="HG109" s="1"/>
      <c r="HH109" s="1"/>
      <c r="HI109" s="1"/>
      <c r="HJ109" s="1"/>
      <c r="HK109" s="1"/>
      <c r="HL109" s="1"/>
      <c r="HM109" s="1"/>
      <c r="HN109" s="1"/>
      <c r="HO109" s="1"/>
      <c r="HP109" s="1"/>
      <c r="HQ109" s="1"/>
      <c r="HR109" s="1"/>
      <c r="HS109" s="1"/>
      <c r="HT109" s="1"/>
      <c r="HU109" s="1"/>
      <c r="HV109" s="1"/>
      <c r="HW109" s="1"/>
      <c r="HX109" s="1"/>
      <c r="HY109" s="1"/>
      <c r="HZ109" s="1"/>
      <c r="IA109" s="1"/>
      <c r="IB109" s="1"/>
      <c r="IC109" s="1"/>
      <c r="ID109" s="1"/>
      <c r="IE109" s="1"/>
      <c r="IF109" s="1"/>
      <c r="IG109" s="1"/>
      <c r="IH109" s="1"/>
      <c r="II109" s="1"/>
      <c r="IJ109" s="1"/>
      <c r="IK109" s="1"/>
      <c r="IL109" s="1"/>
      <c r="IM109" s="1"/>
      <c r="IN109" s="1"/>
      <c r="IO109" s="1"/>
      <c r="IP109" s="1"/>
      <c r="IQ109" s="1"/>
      <c r="IR109" s="1"/>
      <c r="IS109" s="1"/>
      <c r="IT109" s="1"/>
      <c r="IU109" s="1"/>
      <c r="IV109" s="1"/>
      <c r="IW109" s="1"/>
      <c r="IX109" s="1"/>
      <c r="IY109" s="1"/>
      <c r="IZ109" s="1"/>
      <c r="JA109" s="1"/>
      <c r="JB109" s="1"/>
      <c r="JC109" s="1"/>
      <c r="JD109" s="1"/>
      <c r="JE109" s="1"/>
      <c r="JF109" s="1"/>
      <c r="JG109" s="1"/>
      <c r="JH109" s="1"/>
      <c r="JI109" s="1"/>
      <c r="JJ109" s="1"/>
      <c r="JK109" s="1"/>
      <c r="JL109" s="1"/>
      <c r="JM109" s="1"/>
      <c r="JN109" s="1"/>
      <c r="JO109" s="1"/>
      <c r="JP109" s="1"/>
      <c r="JQ109" s="1"/>
      <c r="JR109" s="1"/>
      <c r="JS109" s="1"/>
      <c r="JT109" s="1"/>
      <c r="JU109" s="1"/>
      <c r="JV109" s="1"/>
      <c r="JW109" s="1"/>
      <c r="JX109" s="1"/>
      <c r="JY109" s="1"/>
      <c r="JZ109" s="1"/>
      <c r="KA109" s="1"/>
      <c r="KB109" s="1"/>
      <c r="KC109" s="1"/>
      <c r="KD109" s="1"/>
      <c r="KE109" s="1"/>
      <c r="KF109" s="1"/>
      <c r="KG109" s="1"/>
      <c r="KH109" s="1"/>
      <c r="KI109" s="1"/>
      <c r="KJ109" s="1"/>
      <c r="KK109" s="1"/>
      <c r="KL109" s="1"/>
      <c r="KM109" s="1"/>
      <c r="KN109" s="1"/>
      <c r="KO109" s="1"/>
      <c r="KP109" s="1"/>
      <c r="KQ109" s="1"/>
      <c r="KR109" s="1"/>
      <c r="KS109" s="1"/>
      <c r="KT109" s="1"/>
      <c r="KU109" s="1"/>
      <c r="KV109" s="1"/>
      <c r="KW109" s="1"/>
      <c r="KX109" s="1"/>
      <c r="KY109" s="1"/>
      <c r="KZ109" s="1"/>
      <c r="LA109" s="1"/>
      <c r="LB109" s="1"/>
      <c r="LC109" s="1"/>
      <c r="LD109" s="1"/>
      <c r="LE109" s="1"/>
      <c r="LF109" s="1"/>
      <c r="LG109" s="1"/>
      <c r="LH109" s="1"/>
      <c r="LI109" s="1"/>
      <c r="LJ109" s="1"/>
      <c r="LK109" s="1"/>
      <c r="LL109" s="1"/>
      <c r="LM109" s="1"/>
      <c r="LN109" s="1"/>
      <c r="LO109" s="1"/>
      <c r="LP109" s="1"/>
      <c r="LQ109" s="1"/>
      <c r="LR109" s="1"/>
      <c r="LS109" s="1"/>
    </row>
    <row r="110" spans="1:331" s="40" customFormat="1" x14ac:dyDescent="0.25">
      <c r="A110" s="40" t="s">
        <v>1241</v>
      </c>
      <c r="B110" s="40" t="s">
        <v>1241</v>
      </c>
      <c r="C110" s="96" t="s">
        <v>1647</v>
      </c>
      <c r="D110" s="40">
        <v>0</v>
      </c>
      <c r="H110" s="40" t="s">
        <v>1248</v>
      </c>
      <c r="I110" s="40" t="s">
        <v>226</v>
      </c>
      <c r="J110" s="77">
        <v>45650</v>
      </c>
      <c r="K110" s="77" t="s">
        <v>226</v>
      </c>
      <c r="L110" s="40">
        <v>0</v>
      </c>
      <c r="O110" s="40">
        <v>1</v>
      </c>
      <c r="P110" s="40" t="s">
        <v>222</v>
      </c>
      <c r="Q110" s="96" t="s">
        <v>1534</v>
      </c>
      <c r="R110" s="96"/>
      <c r="T110" s="40">
        <v>12</v>
      </c>
      <c r="V110" s="40">
        <v>16</v>
      </c>
      <c r="W110" s="96">
        <v>12</v>
      </c>
      <c r="X110" s="96"/>
      <c r="Y110" s="96"/>
      <c r="Z110" s="40">
        <v>8</v>
      </c>
      <c r="AA110" s="94" t="b">
        <v>1</v>
      </c>
      <c r="AB110" s="1" t="s">
        <v>1890</v>
      </c>
      <c r="AC110" s="57" t="s">
        <v>1626</v>
      </c>
      <c r="AD110" s="1"/>
      <c r="AE110" s="57"/>
      <c r="AF110" s="1"/>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c r="BH110" s="1"/>
      <c r="BI110" s="1"/>
      <c r="BJ110" s="1"/>
      <c r="BK110" s="1"/>
      <c r="BL110" s="1"/>
      <c r="BM110" s="1"/>
      <c r="BN110" s="1"/>
      <c r="BO110" s="1"/>
      <c r="BP110" s="1"/>
      <c r="BQ110" s="1"/>
      <c r="BR110" s="1"/>
      <c r="BS110" s="1"/>
      <c r="BT110" s="1"/>
      <c r="BU110" s="1"/>
      <c r="BV110" s="1"/>
      <c r="BW110" s="1"/>
      <c r="BX110" s="1"/>
      <c r="BY110" s="1"/>
      <c r="BZ110" s="1"/>
      <c r="CA110" s="1"/>
      <c r="CB110" s="1"/>
      <c r="CC110" s="1"/>
      <c r="CD110" s="1"/>
      <c r="CE110" s="1"/>
      <c r="CF110" s="1"/>
      <c r="CG110" s="1"/>
      <c r="CH110" s="1"/>
      <c r="CI110" s="1"/>
      <c r="CJ110" s="1"/>
      <c r="CK110" s="1"/>
      <c r="CL110" s="1"/>
      <c r="CM110" s="1"/>
      <c r="CN110" s="1"/>
      <c r="CO110" s="1"/>
      <c r="CP110" s="1"/>
      <c r="CQ110" s="1"/>
      <c r="CR110" s="1"/>
      <c r="CS110" s="1"/>
      <c r="CT110" s="1"/>
      <c r="CU110" s="1"/>
      <c r="CV110" s="1"/>
      <c r="CW110" s="1"/>
      <c r="CX110" s="1"/>
      <c r="CY110" s="1"/>
      <c r="CZ110" s="1"/>
      <c r="DA110" s="1"/>
      <c r="DB110" s="1"/>
      <c r="DC110" s="1"/>
      <c r="DD110" s="1"/>
      <c r="DE110" s="1"/>
      <c r="DF110" s="1"/>
      <c r="DG110" s="1"/>
      <c r="DH110" s="1"/>
      <c r="DI110" s="1"/>
      <c r="DJ110" s="1"/>
      <c r="DK110" s="1"/>
      <c r="DL110" s="1"/>
      <c r="DM110" s="1"/>
      <c r="DN110" s="1"/>
      <c r="DO110" s="1"/>
      <c r="DP110" s="1"/>
      <c r="DQ110" s="1"/>
      <c r="DR110" s="1"/>
      <c r="DS110" s="1"/>
      <c r="DT110" s="1"/>
      <c r="DU110" s="1"/>
      <c r="DV110" s="1"/>
      <c r="DW110" s="1"/>
      <c r="DX110" s="1"/>
      <c r="DY110" s="1"/>
      <c r="DZ110" s="1"/>
      <c r="EA110" s="1"/>
      <c r="EB110" s="1"/>
      <c r="EC110" s="1"/>
      <c r="ED110" s="1"/>
      <c r="EE110" s="1"/>
      <c r="EF110" s="1"/>
      <c r="EG110" s="1"/>
      <c r="EH110" s="1"/>
      <c r="EI110" s="1"/>
      <c r="EJ110" s="1"/>
      <c r="EK110" s="1"/>
      <c r="EL110" s="1"/>
      <c r="EM110" s="1"/>
      <c r="EN110" s="1"/>
      <c r="EO110" s="1"/>
      <c r="EP110" s="1"/>
      <c r="EQ110" s="1"/>
      <c r="ER110" s="1"/>
      <c r="ES110" s="1"/>
      <c r="ET110" s="1"/>
      <c r="EU110" s="1"/>
      <c r="EV110" s="1"/>
      <c r="EW110" s="1"/>
      <c r="EX110" s="1"/>
      <c r="EY110" s="1"/>
      <c r="EZ110" s="1"/>
      <c r="FA110" s="1"/>
      <c r="FB110" s="1"/>
      <c r="FC110" s="1"/>
      <c r="FD110" s="1"/>
      <c r="FE110" s="1"/>
      <c r="FF110" s="1"/>
      <c r="FG110" s="1"/>
      <c r="FH110" s="1"/>
      <c r="FI110" s="1"/>
      <c r="FJ110" s="1"/>
      <c r="FK110" s="1"/>
      <c r="FL110" s="1"/>
      <c r="FM110" s="1"/>
      <c r="FN110" s="1"/>
      <c r="FO110" s="1"/>
      <c r="FP110" s="1"/>
      <c r="FQ110" s="1"/>
      <c r="FR110" s="1"/>
      <c r="FS110" s="1"/>
      <c r="FT110" s="1"/>
      <c r="FU110" s="1"/>
      <c r="FV110" s="1"/>
      <c r="FW110" s="1"/>
      <c r="FX110" s="1"/>
      <c r="FY110" s="1"/>
      <c r="FZ110" s="1"/>
      <c r="GA110" s="1"/>
      <c r="GB110" s="1"/>
      <c r="GC110" s="1"/>
      <c r="GD110" s="1"/>
      <c r="GE110" s="1"/>
      <c r="GF110" s="1"/>
      <c r="GG110" s="1"/>
      <c r="GH110" s="1"/>
      <c r="GI110" s="1"/>
      <c r="GJ110" s="1"/>
      <c r="GK110" s="1"/>
      <c r="GL110" s="1"/>
      <c r="GM110" s="1"/>
      <c r="GN110" s="1"/>
      <c r="GO110" s="1"/>
      <c r="GP110" s="1"/>
      <c r="GQ110" s="1"/>
      <c r="GR110" s="1"/>
      <c r="GS110" s="1"/>
      <c r="GT110" s="1"/>
      <c r="GU110" s="1"/>
      <c r="GV110" s="1"/>
      <c r="GW110" s="1"/>
      <c r="GX110" s="1"/>
      <c r="GY110" s="1"/>
      <c r="GZ110" s="1"/>
      <c r="HA110" s="1"/>
      <c r="HB110" s="1"/>
      <c r="HC110" s="1"/>
      <c r="HD110" s="1"/>
      <c r="HE110" s="1"/>
      <c r="HF110" s="1"/>
      <c r="HG110" s="1"/>
      <c r="HH110" s="1"/>
      <c r="HI110" s="1"/>
      <c r="HJ110" s="1"/>
      <c r="HK110" s="1"/>
      <c r="HL110" s="1"/>
      <c r="HM110" s="1"/>
      <c r="HN110" s="1"/>
      <c r="HO110" s="1"/>
      <c r="HP110" s="1"/>
      <c r="HQ110" s="1"/>
      <c r="HR110" s="1"/>
      <c r="HS110" s="1"/>
      <c r="HT110" s="1"/>
      <c r="HU110" s="1"/>
      <c r="HV110" s="1"/>
      <c r="HW110" s="1"/>
      <c r="HX110" s="1"/>
      <c r="HY110" s="1"/>
      <c r="HZ110" s="1"/>
      <c r="IA110" s="1"/>
      <c r="IB110" s="1"/>
      <c r="IC110" s="1"/>
      <c r="ID110" s="1"/>
      <c r="IE110" s="1"/>
      <c r="IF110" s="1"/>
      <c r="IG110" s="1"/>
      <c r="IH110" s="1"/>
      <c r="II110" s="1"/>
      <c r="IJ110" s="1"/>
      <c r="IK110" s="1"/>
      <c r="IL110" s="1"/>
      <c r="IM110" s="1"/>
      <c r="IN110" s="1"/>
      <c r="IO110" s="1"/>
      <c r="IP110" s="1"/>
      <c r="IQ110" s="1"/>
      <c r="IR110" s="1"/>
      <c r="IS110" s="1"/>
      <c r="IT110" s="1"/>
      <c r="IU110" s="1"/>
      <c r="IV110" s="1"/>
      <c r="IW110" s="1"/>
      <c r="IX110" s="1"/>
      <c r="IY110" s="1"/>
      <c r="IZ110" s="1"/>
      <c r="JA110" s="1"/>
      <c r="JB110" s="1"/>
      <c r="JC110" s="1"/>
      <c r="JD110" s="1"/>
      <c r="JE110" s="1"/>
      <c r="JF110" s="1"/>
      <c r="JG110" s="1"/>
      <c r="JH110" s="1"/>
      <c r="JI110" s="1"/>
      <c r="JJ110" s="1"/>
      <c r="JK110" s="1"/>
      <c r="JL110" s="1"/>
      <c r="JM110" s="1"/>
      <c r="JN110" s="1"/>
      <c r="JO110" s="1"/>
      <c r="JP110" s="1"/>
      <c r="JQ110" s="1"/>
      <c r="JR110" s="1"/>
      <c r="JS110" s="1"/>
      <c r="JT110" s="1"/>
      <c r="JU110" s="1"/>
      <c r="JV110" s="1"/>
      <c r="JW110" s="1"/>
      <c r="JX110" s="1"/>
      <c r="JY110" s="1"/>
      <c r="JZ110" s="1"/>
      <c r="KA110" s="1"/>
      <c r="KB110" s="1"/>
      <c r="KC110" s="1"/>
      <c r="KD110" s="1"/>
      <c r="KE110" s="1"/>
      <c r="KF110" s="1"/>
      <c r="KG110" s="1"/>
      <c r="KH110" s="1"/>
      <c r="KI110" s="1"/>
      <c r="KJ110" s="1"/>
      <c r="KK110" s="1"/>
      <c r="KL110" s="1"/>
      <c r="KM110" s="1"/>
      <c r="KN110" s="1"/>
      <c r="KO110" s="1"/>
      <c r="KP110" s="1"/>
      <c r="KQ110" s="1"/>
      <c r="KR110" s="1"/>
      <c r="KS110" s="1"/>
      <c r="KT110" s="1"/>
      <c r="KU110" s="1"/>
      <c r="KV110" s="1"/>
      <c r="KW110" s="1"/>
      <c r="KX110" s="1"/>
      <c r="KY110" s="1"/>
      <c r="KZ110" s="1"/>
      <c r="LA110" s="1"/>
      <c r="LB110" s="1"/>
      <c r="LC110" s="1"/>
      <c r="LD110" s="1"/>
      <c r="LE110" s="1"/>
      <c r="LF110" s="1"/>
      <c r="LG110" s="1"/>
      <c r="LH110" s="1"/>
      <c r="LI110" s="1"/>
      <c r="LJ110" s="1"/>
      <c r="LK110" s="1"/>
      <c r="LL110" s="1"/>
      <c r="LM110" s="1"/>
      <c r="LN110" s="1"/>
      <c r="LO110" s="1"/>
      <c r="LP110" s="1"/>
      <c r="LQ110" s="1"/>
      <c r="LR110" s="1"/>
      <c r="LS110" s="1"/>
    </row>
    <row r="111" spans="1:331" s="17" customFormat="1" x14ac:dyDescent="0.25">
      <c r="A111" s="17" t="s">
        <v>1242</v>
      </c>
      <c r="B111" s="21" t="s">
        <v>1242</v>
      </c>
      <c r="C111" s="94" t="s">
        <v>1647</v>
      </c>
      <c r="D111" s="17">
        <v>1</v>
      </c>
      <c r="E111" s="17" t="s">
        <v>1249</v>
      </c>
      <c r="I111" s="17" t="s">
        <v>1250</v>
      </c>
      <c r="J111" s="17" t="s">
        <v>690</v>
      </c>
      <c r="L111" s="17">
        <v>1</v>
      </c>
      <c r="M111" s="17" t="s">
        <v>140</v>
      </c>
      <c r="O111" s="17">
        <v>1</v>
      </c>
      <c r="Q111" s="96" t="s">
        <v>1535</v>
      </c>
      <c r="R111" s="96"/>
      <c r="T111" s="17">
        <v>17</v>
      </c>
      <c r="V111" s="17">
        <v>17</v>
      </c>
      <c r="W111" s="96">
        <v>17</v>
      </c>
      <c r="X111" s="96"/>
      <c r="Y111" s="96"/>
      <c r="Z111" s="17">
        <v>3</v>
      </c>
      <c r="AA111" s="94" t="b">
        <v>1</v>
      </c>
      <c r="AB111" s="1"/>
      <c r="AC111" s="57" t="s">
        <v>1366</v>
      </c>
      <c r="AD111" s="1"/>
      <c r="AE111" s="57"/>
      <c r="AF111" s="1"/>
      <c r="AG111" s="1"/>
      <c r="AH111" s="1"/>
      <c r="AI111" s="1"/>
      <c r="AJ111" s="1"/>
      <c r="AK111" s="1"/>
      <c r="AL111" s="1"/>
      <c r="AM111" s="1"/>
      <c r="AN111" s="1"/>
      <c r="AO111" s="1"/>
      <c r="AP111" s="1"/>
      <c r="AQ111" s="1"/>
      <c r="AR111" s="1"/>
      <c r="AS111" s="1"/>
      <c r="AT111" s="1"/>
      <c r="AU111" s="1"/>
      <c r="AV111" s="1"/>
      <c r="AW111" s="1"/>
      <c r="AX111" s="1"/>
      <c r="AY111" s="1"/>
      <c r="AZ111" s="1"/>
      <c r="BA111" s="1"/>
      <c r="BB111" s="1"/>
      <c r="BC111" s="1"/>
      <c r="BD111" s="1"/>
      <c r="BE111" s="1"/>
      <c r="BF111" s="1"/>
      <c r="BG111" s="1"/>
      <c r="BH111" s="1"/>
      <c r="BI111" s="1"/>
      <c r="BJ111" s="1"/>
      <c r="BK111" s="1"/>
      <c r="BL111" s="1"/>
      <c r="BM111" s="1"/>
      <c r="BN111" s="1"/>
      <c r="BO111" s="1"/>
      <c r="BP111" s="1"/>
      <c r="BQ111" s="1"/>
      <c r="BR111" s="1"/>
      <c r="BS111" s="1"/>
      <c r="BT111" s="1"/>
      <c r="BU111" s="1"/>
      <c r="BV111" s="1"/>
    </row>
    <row r="112" spans="1:331" s="35" customFormat="1" x14ac:dyDescent="0.25">
      <c r="A112" s="35" t="s">
        <v>1467</v>
      </c>
      <c r="B112" s="35" t="s">
        <v>1467</v>
      </c>
      <c r="C112" s="96" t="s">
        <v>1647</v>
      </c>
      <c r="D112" s="35">
        <v>2</v>
      </c>
      <c r="E112" s="35" t="s">
        <v>1468</v>
      </c>
      <c r="F112" s="35" t="s">
        <v>1468</v>
      </c>
      <c r="H112" s="35" t="s">
        <v>1468</v>
      </c>
      <c r="I112" s="35" t="s">
        <v>1468</v>
      </c>
      <c r="J112" s="35" t="s">
        <v>1469</v>
      </c>
      <c r="K112" s="35" t="s">
        <v>1468</v>
      </c>
      <c r="L112" s="35">
        <v>0</v>
      </c>
      <c r="P112" s="35" t="s">
        <v>1469</v>
      </c>
      <c r="Q112" s="96" t="s">
        <v>1536</v>
      </c>
      <c r="R112" s="96"/>
      <c r="T112" s="35">
        <v>11</v>
      </c>
      <c r="V112" s="35">
        <v>12</v>
      </c>
      <c r="W112" s="96">
        <v>12</v>
      </c>
      <c r="X112" s="96"/>
      <c r="Y112" s="96"/>
      <c r="Z112" s="35">
        <v>7</v>
      </c>
      <c r="AA112" s="94" t="b">
        <v>1</v>
      </c>
      <c r="AB112" s="1"/>
      <c r="AC112" s="57" t="s">
        <v>1395</v>
      </c>
      <c r="AD112" s="1"/>
      <c r="AE112" s="57"/>
      <c r="AF112" s="1"/>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c r="BG112" s="1"/>
      <c r="BH112" s="1"/>
      <c r="BI112" s="1"/>
      <c r="BJ112" s="1"/>
      <c r="BK112" s="1"/>
      <c r="BL112" s="1"/>
      <c r="BM112" s="1"/>
      <c r="BN112" s="1"/>
      <c r="BO112" s="1"/>
      <c r="BP112" s="1"/>
      <c r="BQ112" s="1"/>
      <c r="BR112" s="1"/>
      <c r="BS112" s="1"/>
      <c r="BT112" s="1"/>
      <c r="BU112" s="1"/>
      <c r="BV112" s="1"/>
    </row>
    <row r="113" spans="1:331" s="72" customFormat="1" x14ac:dyDescent="0.25">
      <c r="A113" s="72" t="s">
        <v>1628</v>
      </c>
      <c r="B113" s="72" t="s">
        <v>1628</v>
      </c>
      <c r="C113" s="96" t="s">
        <v>1647</v>
      </c>
      <c r="D113" s="72">
        <v>0</v>
      </c>
      <c r="H113" s="72" t="s">
        <v>1535</v>
      </c>
      <c r="I113" s="72" t="s">
        <v>141</v>
      </c>
      <c r="J113" s="72" t="s">
        <v>1535</v>
      </c>
      <c r="K113" s="72" t="s">
        <v>690</v>
      </c>
      <c r="L113" s="72">
        <v>0</v>
      </c>
      <c r="O113" s="72">
        <v>1</v>
      </c>
      <c r="P113" s="72" t="s">
        <v>1535</v>
      </c>
      <c r="Q113" s="96" t="s">
        <v>1629</v>
      </c>
      <c r="R113" s="96"/>
      <c r="S113" s="72">
        <v>10.6</v>
      </c>
      <c r="W113" s="96">
        <v>11</v>
      </c>
      <c r="X113" s="96"/>
      <c r="Y113" s="96"/>
      <c r="Z113" s="72">
        <v>14</v>
      </c>
      <c r="AA113" s="94" t="b">
        <v>1</v>
      </c>
      <c r="AB113" s="1"/>
      <c r="AC113" s="57" t="s">
        <v>1948</v>
      </c>
      <c r="AD113" s="1"/>
      <c r="AE113" s="57"/>
      <c r="AF113" s="1"/>
      <c r="AG113" s="1"/>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c r="BG113" s="1"/>
      <c r="BH113" s="1"/>
      <c r="BI113" s="1"/>
      <c r="BJ113" s="1"/>
      <c r="BK113" s="1"/>
      <c r="BL113" s="1"/>
      <c r="BM113" s="1"/>
      <c r="BN113" s="1"/>
      <c r="BO113" s="1"/>
      <c r="BP113" s="1"/>
      <c r="BQ113" s="1"/>
      <c r="BR113" s="1"/>
      <c r="BS113" s="1"/>
      <c r="BT113" s="1"/>
      <c r="BU113" s="1"/>
      <c r="BV113" s="1"/>
    </row>
    <row r="114" spans="1:331" s="72" customFormat="1" x14ac:dyDescent="0.25">
      <c r="A114" s="72" t="s">
        <v>1630</v>
      </c>
      <c r="B114" s="72" t="s">
        <v>1630</v>
      </c>
      <c r="C114" s="96" t="s">
        <v>1647</v>
      </c>
      <c r="D114" s="72">
        <v>0</v>
      </c>
      <c r="H114" s="72" t="s">
        <v>1674</v>
      </c>
      <c r="I114" s="72" t="s">
        <v>1674</v>
      </c>
      <c r="J114" s="72" t="s">
        <v>1735</v>
      </c>
      <c r="K114" s="72" t="s">
        <v>1674</v>
      </c>
      <c r="L114" s="72">
        <v>0</v>
      </c>
      <c r="O114" s="72">
        <v>1</v>
      </c>
      <c r="P114" s="72" t="s">
        <v>1735</v>
      </c>
      <c r="Q114" s="96" t="s">
        <v>1736</v>
      </c>
      <c r="R114" s="96"/>
      <c r="T114" s="72">
        <v>14.6</v>
      </c>
      <c r="V114" s="72">
        <v>8</v>
      </c>
      <c r="W114" s="96">
        <v>15</v>
      </c>
      <c r="X114" s="96"/>
      <c r="Y114" s="96"/>
      <c r="Z114" s="72">
        <v>14</v>
      </c>
      <c r="AA114" s="94" t="b">
        <v>1</v>
      </c>
      <c r="AB114" s="1"/>
      <c r="AC114" s="57" t="s">
        <v>1947</v>
      </c>
      <c r="AD114" s="1"/>
      <c r="AE114" s="57"/>
      <c r="AF114" s="1"/>
      <c r="AG114" s="1"/>
      <c r="AH114" s="1"/>
      <c r="AI114" s="1"/>
      <c r="AJ114" s="1"/>
      <c r="AK114" s="1"/>
      <c r="AL114" s="1"/>
      <c r="AM114" s="1"/>
      <c r="AN114" s="1"/>
      <c r="AO114" s="1"/>
      <c r="AP114" s="1"/>
      <c r="AQ114" s="1"/>
      <c r="AR114" s="1"/>
      <c r="AS114" s="1"/>
      <c r="AT114" s="1"/>
      <c r="AU114" s="1"/>
      <c r="AV114" s="1"/>
      <c r="AW114" s="1"/>
      <c r="AX114" s="1"/>
      <c r="AY114" s="1"/>
      <c r="AZ114" s="1"/>
      <c r="BA114" s="1"/>
      <c r="BB114" s="1"/>
      <c r="BC114" s="1"/>
      <c r="BD114" s="1"/>
      <c r="BE114" s="1"/>
      <c r="BF114" s="1"/>
      <c r="BG114" s="1"/>
      <c r="BH114" s="1"/>
      <c r="BI114" s="1"/>
      <c r="BJ114" s="1"/>
      <c r="BK114" s="1"/>
      <c r="BL114" s="1"/>
      <c r="BM114" s="1"/>
      <c r="BN114" s="1"/>
      <c r="BO114" s="1"/>
      <c r="BP114" s="1"/>
      <c r="BQ114" s="1"/>
      <c r="BR114" s="1"/>
      <c r="BS114" s="1"/>
      <c r="BT114" s="1"/>
      <c r="BU114" s="1"/>
      <c r="BV114" s="1"/>
    </row>
    <row r="115" spans="1:331" s="49" customFormat="1" x14ac:dyDescent="0.25">
      <c r="A115" s="49" t="s">
        <v>1631</v>
      </c>
      <c r="B115" s="49" t="s">
        <v>1631</v>
      </c>
      <c r="C115" s="96" t="s">
        <v>1647</v>
      </c>
      <c r="D115" s="49">
        <v>0</v>
      </c>
      <c r="H115" s="49" t="s">
        <v>1737</v>
      </c>
      <c r="I115" s="49" t="s">
        <v>1472</v>
      </c>
      <c r="J115" s="49" t="s">
        <v>1737</v>
      </c>
      <c r="K115" s="49" t="s">
        <v>1555</v>
      </c>
      <c r="L115" s="49">
        <v>0</v>
      </c>
      <c r="O115" s="49">
        <v>1</v>
      </c>
      <c r="Q115" s="96" t="s">
        <v>727</v>
      </c>
      <c r="R115" s="96"/>
      <c r="S115" s="49">
        <v>14</v>
      </c>
      <c r="T115" s="49">
        <v>14</v>
      </c>
      <c r="V115" s="49">
        <v>9</v>
      </c>
      <c r="W115" s="96">
        <v>14</v>
      </c>
      <c r="X115" s="96"/>
      <c r="Y115" s="96"/>
      <c r="Z115" s="49">
        <v>9</v>
      </c>
      <c r="AA115" s="94" t="b">
        <v>1</v>
      </c>
      <c r="AB115" s="1" t="s">
        <v>1949</v>
      </c>
      <c r="AC115" s="57" t="s">
        <v>1902</v>
      </c>
      <c r="AD115" s="1"/>
      <c r="AE115" s="57"/>
      <c r="AF115" s="1"/>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c r="BH115" s="1"/>
      <c r="BI115" s="1"/>
      <c r="BJ115" s="1"/>
      <c r="BK115" s="1"/>
      <c r="BL115" s="1"/>
      <c r="BM115" s="1"/>
      <c r="BN115" s="1"/>
      <c r="BO115" s="1"/>
      <c r="BP115" s="1"/>
      <c r="BQ115" s="1"/>
      <c r="BR115" s="1"/>
      <c r="BS115" s="1"/>
      <c r="BT115" s="1"/>
      <c r="BU115" s="1"/>
      <c r="BV115" s="1"/>
    </row>
    <row r="116" spans="1:331" s="35" customFormat="1" x14ac:dyDescent="0.25">
      <c r="A116" s="35" t="s">
        <v>466</v>
      </c>
      <c r="B116" s="35" t="s">
        <v>467</v>
      </c>
      <c r="C116" s="96" t="s">
        <v>1648</v>
      </c>
      <c r="D116" s="35">
        <v>3</v>
      </c>
      <c r="E116" s="35" t="s">
        <v>468</v>
      </c>
      <c r="F116" s="35" t="s">
        <v>468</v>
      </c>
      <c r="G116" s="35" t="s">
        <v>468</v>
      </c>
      <c r="H116" s="35" t="s">
        <v>468</v>
      </c>
      <c r="I116" s="35" t="s">
        <v>468</v>
      </c>
      <c r="J116" s="35" t="s">
        <v>468</v>
      </c>
      <c r="K116" s="35" t="s">
        <v>468</v>
      </c>
      <c r="L116" s="35">
        <v>0</v>
      </c>
      <c r="O116" s="35">
        <v>1</v>
      </c>
      <c r="Q116" s="96"/>
      <c r="R116" s="96" t="s">
        <v>469</v>
      </c>
      <c r="T116" s="35">
        <v>30</v>
      </c>
      <c r="W116" s="96">
        <v>30</v>
      </c>
      <c r="X116" s="96"/>
      <c r="Y116" s="96"/>
      <c r="Z116" s="35">
        <v>7</v>
      </c>
      <c r="AA116" s="94" t="b">
        <v>1</v>
      </c>
      <c r="AB116" s="1"/>
      <c r="AC116" s="57" t="s">
        <v>1718</v>
      </c>
      <c r="AD116" s="1"/>
      <c r="AE116" s="57"/>
      <c r="AF116" s="1"/>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c r="BH116" s="1"/>
      <c r="BI116" s="1"/>
      <c r="BJ116" s="1"/>
      <c r="BK116" s="1"/>
      <c r="BL116" s="1"/>
      <c r="BM116" s="1"/>
      <c r="BN116" s="1"/>
      <c r="BO116" s="1"/>
      <c r="BP116" s="1"/>
      <c r="BQ116" s="1"/>
      <c r="BR116" s="1"/>
      <c r="BS116" s="1"/>
      <c r="BT116" s="1"/>
      <c r="BU116" s="1"/>
      <c r="BV116" s="1"/>
      <c r="BW116" s="1"/>
      <c r="BX116" s="1"/>
      <c r="BY116" s="1"/>
      <c r="BZ116" s="1"/>
      <c r="CA116" s="1"/>
      <c r="CB116" s="1"/>
      <c r="CC116" s="1"/>
      <c r="CD116" s="1"/>
      <c r="CE116" s="1"/>
      <c r="CF116" s="1"/>
      <c r="CG116" s="1"/>
      <c r="CH116" s="1"/>
      <c r="CI116" s="1"/>
      <c r="CJ116" s="1"/>
      <c r="CK116" s="1"/>
      <c r="CL116" s="1"/>
      <c r="CM116" s="1"/>
      <c r="CN116" s="1"/>
      <c r="CO116" s="1"/>
      <c r="CP116" s="1"/>
      <c r="CQ116" s="1"/>
      <c r="CR116" s="1"/>
      <c r="CS116" s="1"/>
      <c r="CT116" s="1"/>
      <c r="CU116" s="1"/>
      <c r="CV116" s="1"/>
      <c r="CW116" s="1"/>
      <c r="CX116" s="1"/>
      <c r="CY116" s="1"/>
      <c r="CZ116" s="1"/>
      <c r="DA116" s="1"/>
      <c r="DB116" s="1"/>
      <c r="DC116" s="1"/>
      <c r="DD116" s="1"/>
      <c r="DE116" s="1"/>
      <c r="DF116" s="1"/>
      <c r="DG116" s="1"/>
      <c r="DH116" s="1"/>
      <c r="DI116" s="1"/>
      <c r="DJ116" s="1"/>
      <c r="DK116" s="1"/>
      <c r="DL116" s="1"/>
      <c r="DM116" s="1"/>
      <c r="DN116" s="1"/>
      <c r="DO116" s="1"/>
      <c r="DP116" s="1"/>
      <c r="DQ116" s="1"/>
      <c r="DR116" s="1"/>
      <c r="DS116" s="1"/>
      <c r="DT116" s="1"/>
      <c r="DU116" s="1"/>
      <c r="DV116" s="1"/>
      <c r="DW116" s="1"/>
      <c r="DX116" s="1"/>
      <c r="DY116" s="1"/>
      <c r="DZ116" s="1"/>
      <c r="EA116" s="1"/>
      <c r="EB116" s="1"/>
      <c r="EC116" s="1"/>
      <c r="ED116" s="1"/>
      <c r="EE116" s="1"/>
      <c r="EF116" s="1"/>
      <c r="EG116" s="1"/>
      <c r="EH116" s="1"/>
      <c r="EI116" s="1"/>
      <c r="EJ116" s="1"/>
      <c r="EK116" s="1"/>
      <c r="EL116" s="1"/>
      <c r="EM116" s="1"/>
      <c r="EN116" s="1"/>
      <c r="EO116" s="1"/>
      <c r="EP116" s="1"/>
      <c r="EQ116" s="1"/>
      <c r="ER116" s="1"/>
      <c r="ES116" s="1"/>
      <c r="ET116" s="1"/>
      <c r="EU116" s="1"/>
      <c r="EV116" s="1"/>
      <c r="EW116" s="1"/>
      <c r="EX116" s="1"/>
      <c r="EY116" s="1"/>
      <c r="EZ116" s="1"/>
      <c r="FA116" s="1"/>
      <c r="FB116" s="1"/>
      <c r="FC116" s="1"/>
      <c r="FD116" s="1"/>
      <c r="FE116" s="1"/>
      <c r="FF116" s="1"/>
      <c r="FG116" s="1"/>
      <c r="FH116" s="1"/>
      <c r="FI116" s="1"/>
      <c r="FJ116" s="1"/>
      <c r="FK116" s="1"/>
      <c r="FL116" s="1"/>
      <c r="FM116" s="1"/>
      <c r="FN116" s="1"/>
      <c r="FO116" s="1"/>
      <c r="FP116" s="1"/>
      <c r="FQ116" s="1"/>
      <c r="FR116" s="1"/>
      <c r="FS116" s="1"/>
      <c r="FT116" s="1"/>
      <c r="FU116" s="1"/>
      <c r="FV116" s="1"/>
      <c r="FW116" s="1"/>
      <c r="FX116" s="1"/>
      <c r="FY116" s="1"/>
      <c r="FZ116" s="1"/>
      <c r="GA116" s="1"/>
      <c r="GB116" s="1"/>
      <c r="GC116" s="1"/>
      <c r="GD116" s="1"/>
      <c r="GE116" s="1"/>
      <c r="GF116" s="1"/>
      <c r="GG116" s="1"/>
      <c r="GH116" s="1"/>
      <c r="GI116" s="1"/>
      <c r="GJ116" s="1"/>
      <c r="GK116" s="1"/>
      <c r="GL116" s="1"/>
      <c r="GM116" s="1"/>
      <c r="GN116" s="1"/>
      <c r="GO116" s="1"/>
      <c r="GP116" s="1"/>
      <c r="GQ116" s="1"/>
      <c r="GR116" s="1"/>
      <c r="GS116" s="1"/>
      <c r="GT116" s="1"/>
      <c r="GU116" s="1"/>
      <c r="GV116" s="1"/>
      <c r="GW116" s="1"/>
      <c r="GX116" s="1"/>
      <c r="GY116" s="1"/>
      <c r="GZ116" s="1"/>
      <c r="HA116" s="1"/>
      <c r="HB116" s="1"/>
      <c r="HC116" s="1"/>
      <c r="HD116" s="1"/>
      <c r="HE116" s="1"/>
      <c r="HF116" s="1"/>
      <c r="HG116" s="1"/>
      <c r="HH116" s="1"/>
      <c r="HI116" s="1"/>
      <c r="HJ116" s="1"/>
      <c r="HK116" s="1"/>
      <c r="HL116" s="1"/>
      <c r="HM116" s="1"/>
      <c r="HN116" s="1"/>
      <c r="HO116" s="1"/>
      <c r="HP116" s="1"/>
      <c r="HQ116" s="1"/>
      <c r="HR116" s="1"/>
      <c r="HS116" s="1"/>
      <c r="HT116" s="1"/>
      <c r="HU116" s="1"/>
      <c r="HV116" s="1"/>
      <c r="HW116" s="1"/>
      <c r="HX116" s="1"/>
      <c r="HY116" s="1"/>
      <c r="HZ116" s="1"/>
      <c r="IA116" s="1"/>
      <c r="IB116" s="1"/>
      <c r="IC116" s="1"/>
      <c r="ID116" s="1"/>
      <c r="IE116" s="1"/>
      <c r="IF116" s="1"/>
      <c r="IG116" s="1"/>
      <c r="IH116" s="1"/>
      <c r="II116" s="1"/>
      <c r="IJ116" s="1"/>
      <c r="IK116" s="1"/>
      <c r="IL116" s="1"/>
      <c r="IM116" s="1"/>
      <c r="IN116" s="1"/>
      <c r="IO116" s="1"/>
      <c r="IP116" s="1"/>
      <c r="IQ116" s="1"/>
      <c r="IR116" s="1"/>
      <c r="IS116" s="1"/>
      <c r="IT116" s="1"/>
      <c r="IU116" s="1"/>
      <c r="IV116" s="1"/>
      <c r="IW116" s="1"/>
      <c r="IX116" s="1"/>
      <c r="IY116" s="1"/>
      <c r="IZ116" s="1"/>
      <c r="JA116" s="1"/>
      <c r="JB116" s="1"/>
      <c r="JC116" s="1"/>
      <c r="JD116" s="1"/>
      <c r="JE116" s="1"/>
      <c r="JF116" s="1"/>
      <c r="JG116" s="1"/>
      <c r="JH116" s="1"/>
      <c r="JI116" s="1"/>
      <c r="JJ116" s="1"/>
      <c r="JK116" s="1"/>
      <c r="JL116" s="1"/>
      <c r="JM116" s="1"/>
      <c r="JN116" s="1"/>
      <c r="JO116" s="1"/>
      <c r="JP116" s="1"/>
      <c r="JQ116" s="1"/>
      <c r="JR116" s="1"/>
      <c r="JS116" s="1"/>
      <c r="JT116" s="1"/>
      <c r="JU116" s="1"/>
      <c r="JV116" s="1"/>
      <c r="JW116" s="1"/>
      <c r="JX116" s="1"/>
      <c r="JY116" s="1"/>
      <c r="JZ116" s="1"/>
      <c r="KA116" s="1"/>
      <c r="KB116" s="1"/>
      <c r="KC116" s="1"/>
      <c r="KD116" s="1"/>
      <c r="KE116" s="1"/>
      <c r="KF116" s="1"/>
      <c r="KG116" s="1"/>
      <c r="KH116" s="1"/>
      <c r="KI116" s="1"/>
      <c r="KJ116" s="1"/>
      <c r="KK116" s="1"/>
      <c r="KL116" s="1"/>
      <c r="KM116" s="1"/>
      <c r="KN116" s="1"/>
      <c r="KO116" s="1"/>
      <c r="KP116" s="1"/>
      <c r="KQ116" s="1"/>
      <c r="KR116" s="1"/>
      <c r="KS116" s="1"/>
      <c r="KT116" s="1"/>
      <c r="KU116" s="1"/>
      <c r="KV116" s="1"/>
      <c r="KW116" s="1"/>
      <c r="KX116" s="1"/>
      <c r="KY116" s="1"/>
      <c r="KZ116" s="1"/>
      <c r="LA116" s="1"/>
      <c r="LB116" s="1"/>
      <c r="LC116" s="1"/>
      <c r="LD116" s="1"/>
      <c r="LE116" s="1"/>
      <c r="LF116" s="1"/>
      <c r="LG116" s="1"/>
      <c r="LH116" s="1"/>
      <c r="LI116" s="1"/>
      <c r="LJ116" s="1"/>
      <c r="LK116" s="1"/>
      <c r="LL116" s="1"/>
      <c r="LM116" s="1"/>
      <c r="LN116" s="1"/>
      <c r="LO116" s="1"/>
      <c r="LP116" s="1"/>
      <c r="LQ116" s="1"/>
      <c r="LR116" s="1"/>
      <c r="LS116" s="1"/>
    </row>
    <row r="117" spans="1:331" s="30" customFormat="1" x14ac:dyDescent="0.25">
      <c r="A117" s="30" t="s">
        <v>470</v>
      </c>
      <c r="B117" s="30" t="s">
        <v>471</v>
      </c>
      <c r="C117" s="96" t="s">
        <v>1648</v>
      </c>
      <c r="D117" s="30">
        <v>1</v>
      </c>
      <c r="E117" s="30" t="s">
        <v>472</v>
      </c>
      <c r="H117" s="30" t="s">
        <v>473</v>
      </c>
      <c r="I117" s="30" t="s">
        <v>472</v>
      </c>
      <c r="J117" s="30" t="s">
        <v>473</v>
      </c>
      <c r="K117" s="30" t="s">
        <v>1675</v>
      </c>
      <c r="L117" s="30">
        <v>0</v>
      </c>
      <c r="O117" s="30">
        <v>0</v>
      </c>
      <c r="Q117" s="96" t="s">
        <v>61</v>
      </c>
      <c r="R117" s="96"/>
      <c r="T117" s="30">
        <v>15</v>
      </c>
      <c r="V117" s="30">
        <v>15</v>
      </c>
      <c r="W117" s="96">
        <v>15</v>
      </c>
      <c r="X117" s="96"/>
      <c r="Y117" s="96"/>
      <c r="Z117" s="30">
        <v>6</v>
      </c>
      <c r="AA117" s="94" t="b">
        <v>1</v>
      </c>
      <c r="AB117" s="1"/>
      <c r="AC117" s="57" t="s">
        <v>1445</v>
      </c>
      <c r="AD117" s="1"/>
      <c r="AE117" s="57"/>
      <c r="AF117" s="1"/>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c r="BH117" s="1"/>
      <c r="BI117" s="1"/>
      <c r="BJ117" s="1"/>
      <c r="BK117" s="1"/>
      <c r="BL117" s="1"/>
      <c r="BM117" s="1"/>
      <c r="BN117" s="1"/>
      <c r="BO117" s="1"/>
      <c r="BP117" s="1"/>
      <c r="BQ117" s="1"/>
      <c r="BR117" s="1"/>
      <c r="BS117" s="1"/>
      <c r="BT117" s="1"/>
      <c r="BU117" s="1"/>
      <c r="BV117" s="1"/>
      <c r="BW117" s="1"/>
      <c r="BX117" s="1"/>
      <c r="BY117" s="1"/>
      <c r="BZ117" s="1"/>
      <c r="CA117" s="1"/>
      <c r="CB117" s="1"/>
      <c r="CC117" s="1"/>
      <c r="CD117" s="1"/>
      <c r="CE117" s="1"/>
      <c r="CF117" s="1"/>
      <c r="CG117" s="1"/>
      <c r="CH117" s="1"/>
      <c r="CI117" s="1"/>
      <c r="CJ117" s="1"/>
      <c r="CK117" s="1"/>
      <c r="CL117" s="1"/>
      <c r="CM117" s="1"/>
      <c r="CN117" s="1"/>
      <c r="CO117" s="1"/>
      <c r="CP117" s="1"/>
      <c r="CQ117" s="1"/>
      <c r="CR117" s="1"/>
      <c r="CS117" s="1"/>
      <c r="CT117" s="1"/>
      <c r="CU117" s="1"/>
      <c r="CV117" s="1"/>
      <c r="CW117" s="1"/>
      <c r="CX117" s="1"/>
      <c r="CY117" s="1"/>
      <c r="CZ117" s="1"/>
      <c r="DA117" s="1"/>
      <c r="DB117" s="1"/>
      <c r="DC117" s="1"/>
      <c r="DD117" s="1"/>
      <c r="DE117" s="1"/>
      <c r="DF117" s="1"/>
      <c r="DG117" s="1"/>
      <c r="DH117" s="1"/>
      <c r="DI117" s="1"/>
      <c r="DJ117" s="1"/>
      <c r="DK117" s="1"/>
      <c r="DL117" s="1"/>
      <c r="DM117" s="1"/>
      <c r="DN117" s="1"/>
      <c r="DO117" s="1"/>
      <c r="DP117" s="1"/>
      <c r="DQ117" s="1"/>
      <c r="DR117" s="1"/>
      <c r="DS117" s="1"/>
      <c r="DT117" s="1"/>
      <c r="DU117" s="1"/>
      <c r="DV117" s="1"/>
      <c r="DW117" s="1"/>
      <c r="DX117" s="1"/>
      <c r="DY117" s="1"/>
      <c r="DZ117" s="1"/>
      <c r="EA117" s="1"/>
      <c r="EB117" s="1"/>
      <c r="EC117" s="1"/>
      <c r="ED117" s="1"/>
      <c r="EE117" s="1"/>
      <c r="EF117" s="1"/>
      <c r="EG117" s="1"/>
      <c r="EH117" s="1"/>
      <c r="EI117" s="1"/>
      <c r="EJ117" s="1"/>
      <c r="EK117" s="1"/>
      <c r="EL117" s="1"/>
      <c r="EM117" s="1"/>
      <c r="EN117" s="1"/>
      <c r="EO117" s="1"/>
      <c r="EP117" s="1"/>
      <c r="EQ117" s="1"/>
      <c r="ER117" s="1"/>
      <c r="ES117" s="1"/>
      <c r="ET117" s="1"/>
      <c r="EU117" s="1"/>
      <c r="EV117" s="1"/>
      <c r="EW117" s="1"/>
      <c r="EX117" s="1"/>
      <c r="EY117" s="1"/>
      <c r="EZ117" s="1"/>
      <c r="FA117" s="1"/>
      <c r="FB117" s="1"/>
      <c r="FC117" s="1"/>
      <c r="FD117" s="1"/>
      <c r="FE117" s="1"/>
      <c r="FF117" s="1"/>
      <c r="FG117" s="1"/>
      <c r="FH117" s="1"/>
      <c r="FI117" s="1"/>
      <c r="FJ117" s="1"/>
      <c r="FK117" s="1"/>
      <c r="FL117" s="1"/>
      <c r="FM117" s="1"/>
      <c r="FN117" s="1"/>
      <c r="FO117" s="1"/>
      <c r="FP117" s="1"/>
      <c r="FQ117" s="1"/>
      <c r="FR117" s="1"/>
      <c r="FS117" s="1"/>
      <c r="FT117" s="1"/>
      <c r="FU117" s="1"/>
      <c r="FV117" s="1"/>
      <c r="FW117" s="1"/>
      <c r="FX117" s="1"/>
      <c r="FY117" s="1"/>
      <c r="FZ117" s="1"/>
      <c r="GA117" s="1"/>
      <c r="GB117" s="1"/>
      <c r="GC117" s="1"/>
      <c r="GD117" s="1"/>
      <c r="GE117" s="1"/>
      <c r="GF117" s="1"/>
      <c r="GG117" s="1"/>
      <c r="GH117" s="1"/>
      <c r="GI117" s="1"/>
      <c r="GJ117" s="1"/>
      <c r="GK117" s="1"/>
      <c r="GL117" s="1"/>
      <c r="GM117" s="1"/>
      <c r="GN117" s="1"/>
      <c r="GO117" s="1"/>
      <c r="GP117" s="1"/>
      <c r="GQ117" s="1"/>
      <c r="GR117" s="1"/>
      <c r="GS117" s="1"/>
      <c r="GT117" s="1"/>
      <c r="GU117" s="1"/>
      <c r="GV117" s="1"/>
      <c r="GW117" s="1"/>
      <c r="GX117" s="1"/>
      <c r="GY117" s="1"/>
      <c r="GZ117" s="1"/>
      <c r="HA117" s="1"/>
      <c r="HB117" s="1"/>
      <c r="HC117" s="1"/>
      <c r="HD117" s="1"/>
      <c r="HE117" s="1"/>
      <c r="HF117" s="1"/>
      <c r="HG117" s="1"/>
      <c r="HH117" s="1"/>
      <c r="HI117" s="1"/>
      <c r="HJ117" s="1"/>
      <c r="HK117" s="1"/>
      <c r="HL117" s="1"/>
      <c r="HM117" s="1"/>
      <c r="HN117" s="1"/>
      <c r="HO117" s="1"/>
      <c r="HP117" s="1"/>
      <c r="HQ117" s="1"/>
      <c r="HR117" s="1"/>
      <c r="HS117" s="1"/>
      <c r="HT117" s="1"/>
      <c r="HU117" s="1"/>
      <c r="HV117" s="1"/>
      <c r="HW117" s="1"/>
      <c r="HX117" s="1"/>
      <c r="HY117" s="1"/>
      <c r="HZ117" s="1"/>
      <c r="IA117" s="1"/>
      <c r="IB117" s="1"/>
      <c r="IC117" s="1"/>
      <c r="ID117" s="1"/>
      <c r="IE117" s="1"/>
      <c r="IF117" s="1"/>
      <c r="IG117" s="1"/>
      <c r="IH117" s="1"/>
      <c r="II117" s="1"/>
      <c r="IJ117" s="1"/>
      <c r="IK117" s="1"/>
      <c r="IL117" s="1"/>
      <c r="IM117" s="1"/>
      <c r="IN117" s="1"/>
      <c r="IO117" s="1"/>
      <c r="IP117" s="1"/>
      <c r="IQ117" s="1"/>
      <c r="IR117" s="1"/>
      <c r="IS117" s="1"/>
      <c r="IT117" s="1"/>
      <c r="IU117" s="1"/>
      <c r="IV117" s="1"/>
      <c r="IW117" s="1"/>
      <c r="IX117" s="1"/>
      <c r="IY117" s="1"/>
      <c r="IZ117" s="1"/>
      <c r="JA117" s="1"/>
      <c r="JB117" s="1"/>
      <c r="JC117" s="1"/>
      <c r="JD117" s="1"/>
      <c r="JE117" s="1"/>
      <c r="JF117" s="1"/>
      <c r="JG117" s="1"/>
      <c r="JH117" s="1"/>
      <c r="JI117" s="1"/>
      <c r="JJ117" s="1"/>
      <c r="JK117" s="1"/>
      <c r="JL117" s="1"/>
      <c r="JM117" s="1"/>
      <c r="JN117" s="1"/>
      <c r="JO117" s="1"/>
      <c r="JP117" s="1"/>
      <c r="JQ117" s="1"/>
      <c r="JR117" s="1"/>
      <c r="JS117" s="1"/>
      <c r="JT117" s="1"/>
      <c r="JU117" s="1"/>
      <c r="JV117" s="1"/>
      <c r="JW117" s="1"/>
      <c r="JX117" s="1"/>
      <c r="JY117" s="1"/>
      <c r="JZ117" s="1"/>
      <c r="KA117" s="1"/>
      <c r="KB117" s="1"/>
      <c r="KC117" s="1"/>
      <c r="KD117" s="1"/>
      <c r="KE117" s="1"/>
      <c r="KF117" s="1"/>
      <c r="KG117" s="1"/>
      <c r="KH117" s="1"/>
      <c r="KI117" s="1"/>
      <c r="KJ117" s="1"/>
      <c r="KK117" s="1"/>
      <c r="KL117" s="1"/>
      <c r="KM117" s="1"/>
      <c r="KN117" s="1"/>
      <c r="KO117" s="1"/>
      <c r="KP117" s="1"/>
      <c r="KQ117" s="1"/>
      <c r="KR117" s="1"/>
      <c r="KS117" s="1"/>
      <c r="KT117" s="1"/>
      <c r="KU117" s="1"/>
      <c r="KV117" s="1"/>
      <c r="KW117" s="1"/>
      <c r="KX117" s="1"/>
      <c r="KY117" s="1"/>
      <c r="KZ117" s="1"/>
      <c r="LA117" s="1"/>
      <c r="LB117" s="1"/>
      <c r="LC117" s="1"/>
      <c r="LD117" s="1"/>
      <c r="LE117" s="1"/>
      <c r="LF117" s="1"/>
      <c r="LG117" s="1"/>
      <c r="LH117" s="1"/>
      <c r="LI117" s="1"/>
      <c r="LJ117" s="1"/>
      <c r="LK117" s="1"/>
      <c r="LL117" s="1"/>
      <c r="LM117" s="1"/>
      <c r="LN117" s="1"/>
      <c r="LO117" s="1"/>
      <c r="LP117" s="1"/>
      <c r="LQ117" s="1"/>
      <c r="LR117" s="1"/>
      <c r="LS117" s="1"/>
    </row>
    <row r="118" spans="1:331" s="30" customFormat="1" x14ac:dyDescent="0.25">
      <c r="A118" s="30" t="s">
        <v>474</v>
      </c>
      <c r="B118" s="30" t="s">
        <v>475</v>
      </c>
      <c r="C118" s="96" t="s">
        <v>1648</v>
      </c>
      <c r="D118" s="30">
        <v>3</v>
      </c>
      <c r="E118" s="30" t="s">
        <v>476</v>
      </c>
      <c r="F118" s="30" t="s">
        <v>476</v>
      </c>
      <c r="G118" s="30" t="s">
        <v>476</v>
      </c>
      <c r="H118" s="30" t="s">
        <v>477</v>
      </c>
      <c r="I118" s="30" t="s">
        <v>478</v>
      </c>
      <c r="J118" s="30" t="s">
        <v>479</v>
      </c>
      <c r="K118" s="30" t="s">
        <v>477</v>
      </c>
      <c r="L118" s="30">
        <v>0</v>
      </c>
      <c r="O118" s="30">
        <v>1</v>
      </c>
      <c r="Q118" s="96" t="s">
        <v>482</v>
      </c>
      <c r="R118" s="96"/>
      <c r="T118" s="30">
        <v>28</v>
      </c>
      <c r="V118" s="30">
        <v>17</v>
      </c>
      <c r="W118" s="96">
        <v>28</v>
      </c>
      <c r="X118" s="96"/>
      <c r="Y118" s="96"/>
      <c r="Z118" s="30">
        <v>6</v>
      </c>
      <c r="AA118" s="94" t="b">
        <v>1</v>
      </c>
      <c r="AB118" s="1"/>
      <c r="AC118" s="57" t="s">
        <v>1907</v>
      </c>
      <c r="AD118" s="1"/>
      <c r="AE118" s="57"/>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c r="BI118" s="1"/>
      <c r="BJ118" s="1"/>
      <c r="BK118" s="1"/>
      <c r="BL118" s="1"/>
      <c r="BM118" s="1"/>
      <c r="BN118" s="1"/>
      <c r="BO118" s="1"/>
      <c r="BP118" s="1"/>
      <c r="BQ118" s="1"/>
      <c r="BR118" s="1"/>
      <c r="BS118" s="1"/>
      <c r="BT118" s="1"/>
      <c r="BU118" s="1"/>
      <c r="BV118" s="1"/>
      <c r="BW118" s="1"/>
      <c r="BX118" s="1"/>
      <c r="BY118" s="1"/>
      <c r="BZ118" s="1"/>
      <c r="CA118" s="1"/>
      <c r="CB118" s="1"/>
      <c r="CC118" s="1"/>
      <c r="CD118" s="1"/>
      <c r="CE118" s="1"/>
      <c r="CF118" s="1"/>
      <c r="CG118" s="1"/>
      <c r="CH118" s="1"/>
      <c r="CI118" s="1"/>
      <c r="CJ118" s="1"/>
      <c r="CK118" s="1"/>
      <c r="CL118" s="1"/>
      <c r="CM118" s="1"/>
      <c r="CN118" s="1"/>
      <c r="CO118" s="1"/>
      <c r="CP118" s="1"/>
      <c r="CQ118" s="1"/>
      <c r="CR118" s="1"/>
      <c r="CS118" s="1"/>
      <c r="CT118" s="1"/>
      <c r="CU118" s="1"/>
      <c r="CV118" s="1"/>
      <c r="CW118" s="1"/>
      <c r="CX118" s="1"/>
      <c r="CY118" s="1"/>
      <c r="CZ118" s="1"/>
      <c r="DA118" s="1"/>
      <c r="DB118" s="1"/>
      <c r="DC118" s="1"/>
      <c r="DD118" s="1"/>
      <c r="DE118" s="1"/>
      <c r="DF118" s="1"/>
      <c r="DG118" s="1"/>
      <c r="DH118" s="1"/>
      <c r="DI118" s="1"/>
      <c r="DJ118" s="1"/>
      <c r="DK118" s="1"/>
      <c r="DL118" s="1"/>
      <c r="DM118" s="1"/>
      <c r="DN118" s="1"/>
      <c r="DO118" s="1"/>
      <c r="DP118" s="1"/>
      <c r="DQ118" s="1"/>
      <c r="DR118" s="1"/>
      <c r="DS118" s="1"/>
      <c r="DT118" s="1"/>
      <c r="DU118" s="1"/>
      <c r="DV118" s="1"/>
      <c r="DW118" s="1"/>
      <c r="DX118" s="1"/>
      <c r="DY118" s="1"/>
      <c r="DZ118" s="1"/>
      <c r="EA118" s="1"/>
      <c r="EB118" s="1"/>
      <c r="EC118" s="1"/>
      <c r="ED118" s="1"/>
      <c r="EE118" s="1"/>
      <c r="EF118" s="1"/>
      <c r="EG118" s="1"/>
      <c r="EH118" s="1"/>
      <c r="EI118" s="1"/>
      <c r="EJ118" s="1"/>
      <c r="EK118" s="1"/>
      <c r="EL118" s="1"/>
      <c r="EM118" s="1"/>
      <c r="EN118" s="1"/>
      <c r="EO118" s="1"/>
      <c r="EP118" s="1"/>
      <c r="EQ118" s="1"/>
      <c r="ER118" s="1"/>
      <c r="ES118" s="1"/>
      <c r="ET118" s="1"/>
      <c r="EU118" s="1"/>
      <c r="EV118" s="1"/>
      <c r="EW118" s="1"/>
      <c r="EX118" s="1"/>
      <c r="EY118" s="1"/>
      <c r="EZ118" s="1"/>
      <c r="FA118" s="1"/>
      <c r="FB118" s="1"/>
      <c r="FC118" s="1"/>
      <c r="FD118" s="1"/>
      <c r="FE118" s="1"/>
      <c r="FF118" s="1"/>
      <c r="FG118" s="1"/>
      <c r="FH118" s="1"/>
      <c r="FI118" s="1"/>
      <c r="FJ118" s="1"/>
      <c r="FK118" s="1"/>
      <c r="FL118" s="1"/>
      <c r="FM118" s="1"/>
      <c r="FN118" s="1"/>
      <c r="FO118" s="1"/>
      <c r="FP118" s="1"/>
      <c r="FQ118" s="1"/>
      <c r="FR118" s="1"/>
      <c r="FS118" s="1"/>
      <c r="FT118" s="1"/>
      <c r="FU118" s="1"/>
      <c r="FV118" s="1"/>
      <c r="FW118" s="1"/>
      <c r="FX118" s="1"/>
      <c r="FY118" s="1"/>
      <c r="FZ118" s="1"/>
      <c r="GA118" s="1"/>
      <c r="GB118" s="1"/>
      <c r="GC118" s="1"/>
      <c r="GD118" s="1"/>
      <c r="GE118" s="1"/>
      <c r="GF118" s="1"/>
      <c r="GG118" s="1"/>
      <c r="GH118" s="1"/>
      <c r="GI118" s="1"/>
      <c r="GJ118" s="1"/>
      <c r="GK118" s="1"/>
      <c r="GL118" s="1"/>
      <c r="GM118" s="1"/>
      <c r="GN118" s="1"/>
      <c r="GO118" s="1"/>
      <c r="GP118" s="1"/>
      <c r="GQ118" s="1"/>
      <c r="GR118" s="1"/>
      <c r="GS118" s="1"/>
      <c r="GT118" s="1"/>
      <c r="GU118" s="1"/>
      <c r="GV118" s="1"/>
      <c r="GW118" s="1"/>
      <c r="GX118" s="1"/>
      <c r="GY118" s="1"/>
      <c r="GZ118" s="1"/>
      <c r="HA118" s="1"/>
      <c r="HB118" s="1"/>
      <c r="HC118" s="1"/>
      <c r="HD118" s="1"/>
      <c r="HE118" s="1"/>
      <c r="HF118" s="1"/>
      <c r="HG118" s="1"/>
      <c r="HH118" s="1"/>
      <c r="HI118" s="1"/>
      <c r="HJ118" s="1"/>
      <c r="HK118" s="1"/>
      <c r="HL118" s="1"/>
      <c r="HM118" s="1"/>
      <c r="HN118" s="1"/>
      <c r="HO118" s="1"/>
      <c r="HP118" s="1"/>
      <c r="HQ118" s="1"/>
      <c r="HR118" s="1"/>
      <c r="HS118" s="1"/>
      <c r="HT118" s="1"/>
      <c r="HU118" s="1"/>
      <c r="HV118" s="1"/>
      <c r="HW118" s="1"/>
      <c r="HX118" s="1"/>
      <c r="HY118" s="1"/>
      <c r="HZ118" s="1"/>
      <c r="IA118" s="1"/>
      <c r="IB118" s="1"/>
      <c r="IC118" s="1"/>
      <c r="ID118" s="1"/>
      <c r="IE118" s="1"/>
      <c r="IF118" s="1"/>
      <c r="IG118" s="1"/>
      <c r="IH118" s="1"/>
      <c r="II118" s="1"/>
      <c r="IJ118" s="1"/>
      <c r="IK118" s="1"/>
      <c r="IL118" s="1"/>
      <c r="IM118" s="1"/>
      <c r="IN118" s="1"/>
      <c r="IO118" s="1"/>
      <c r="IP118" s="1"/>
      <c r="IQ118" s="1"/>
      <c r="IR118" s="1"/>
      <c r="IS118" s="1"/>
      <c r="IT118" s="1"/>
      <c r="IU118" s="1"/>
      <c r="IV118" s="1"/>
      <c r="IW118" s="1"/>
      <c r="IX118" s="1"/>
      <c r="IY118" s="1"/>
      <c r="IZ118" s="1"/>
      <c r="JA118" s="1"/>
      <c r="JB118" s="1"/>
      <c r="JC118" s="1"/>
      <c r="JD118" s="1"/>
      <c r="JE118" s="1"/>
      <c r="JF118" s="1"/>
      <c r="JG118" s="1"/>
      <c r="JH118" s="1"/>
      <c r="JI118" s="1"/>
      <c r="JJ118" s="1"/>
      <c r="JK118" s="1"/>
      <c r="JL118" s="1"/>
      <c r="JM118" s="1"/>
      <c r="JN118" s="1"/>
      <c r="JO118" s="1"/>
      <c r="JP118" s="1"/>
      <c r="JQ118" s="1"/>
      <c r="JR118" s="1"/>
      <c r="JS118" s="1"/>
      <c r="JT118" s="1"/>
      <c r="JU118" s="1"/>
      <c r="JV118" s="1"/>
      <c r="JW118" s="1"/>
      <c r="JX118" s="1"/>
      <c r="JY118" s="1"/>
      <c r="JZ118" s="1"/>
      <c r="KA118" s="1"/>
      <c r="KB118" s="1"/>
      <c r="KC118" s="1"/>
      <c r="KD118" s="1"/>
      <c r="KE118" s="1"/>
      <c r="KF118" s="1"/>
      <c r="KG118" s="1"/>
      <c r="KH118" s="1"/>
      <c r="KI118" s="1"/>
      <c r="KJ118" s="1"/>
      <c r="KK118" s="1"/>
      <c r="KL118" s="1"/>
      <c r="KM118" s="1"/>
      <c r="KN118" s="1"/>
      <c r="KO118" s="1"/>
      <c r="KP118" s="1"/>
      <c r="KQ118" s="1"/>
      <c r="KR118" s="1"/>
      <c r="KS118" s="1"/>
      <c r="KT118" s="1"/>
      <c r="KU118" s="1"/>
      <c r="KV118" s="1"/>
      <c r="KW118" s="1"/>
      <c r="KX118" s="1"/>
      <c r="KY118" s="1"/>
      <c r="KZ118" s="1"/>
      <c r="LA118" s="1"/>
      <c r="LB118" s="1"/>
      <c r="LC118" s="1"/>
      <c r="LD118" s="1"/>
      <c r="LE118" s="1"/>
      <c r="LF118" s="1"/>
      <c r="LG118" s="1"/>
      <c r="LH118" s="1"/>
      <c r="LI118" s="1"/>
      <c r="LJ118" s="1"/>
      <c r="LK118" s="1"/>
      <c r="LL118" s="1"/>
      <c r="LM118" s="1"/>
      <c r="LN118" s="1"/>
      <c r="LO118" s="1"/>
      <c r="LP118" s="1"/>
      <c r="LQ118" s="1"/>
      <c r="LR118" s="1"/>
      <c r="LS118" s="1"/>
    </row>
    <row r="119" spans="1:331" s="17" customFormat="1" x14ac:dyDescent="0.25">
      <c r="A119" s="17" t="s">
        <v>480</v>
      </c>
      <c r="B119" s="21" t="s">
        <v>481</v>
      </c>
      <c r="C119" s="94" t="s">
        <v>1648</v>
      </c>
      <c r="D119" s="17">
        <v>1</v>
      </c>
      <c r="E119" s="17" t="s">
        <v>482</v>
      </c>
      <c r="H119" s="17" t="s">
        <v>482</v>
      </c>
      <c r="I119" s="17" t="s">
        <v>420</v>
      </c>
      <c r="J119" s="17" t="s">
        <v>422</v>
      </c>
      <c r="K119" s="17" t="s">
        <v>482</v>
      </c>
      <c r="L119" s="17">
        <v>1</v>
      </c>
      <c r="M119" s="17" t="s">
        <v>483</v>
      </c>
      <c r="O119" s="17">
        <v>1</v>
      </c>
      <c r="Q119" s="96" t="s">
        <v>483</v>
      </c>
      <c r="R119" s="96"/>
      <c r="S119" s="17">
        <v>12</v>
      </c>
      <c r="T119" s="17">
        <v>4</v>
      </c>
      <c r="U119" s="17">
        <v>14</v>
      </c>
      <c r="V119" s="17">
        <v>4</v>
      </c>
      <c r="W119" s="96">
        <v>12</v>
      </c>
      <c r="X119" s="96"/>
      <c r="Y119" s="96"/>
      <c r="Z119" s="17">
        <v>3</v>
      </c>
      <c r="AA119" s="94" t="b">
        <v>1</v>
      </c>
      <c r="AB119" s="1"/>
      <c r="AC119" s="57" t="s">
        <v>1384</v>
      </c>
      <c r="AD119" s="1"/>
      <c r="AE119" s="57"/>
      <c r="AF119" s="1"/>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c r="BI119" s="1"/>
      <c r="BJ119" s="1"/>
      <c r="BK119" s="1"/>
      <c r="BL119" s="1"/>
      <c r="BM119" s="1"/>
      <c r="BN119" s="1"/>
      <c r="BO119" s="1"/>
      <c r="BP119" s="1"/>
      <c r="BQ119" s="1"/>
      <c r="BR119" s="1"/>
      <c r="BS119" s="1"/>
      <c r="BT119" s="1"/>
      <c r="BU119" s="1"/>
      <c r="BV119" s="1"/>
      <c r="BW119" s="1"/>
      <c r="BX119" s="1"/>
      <c r="BY119" s="1"/>
      <c r="BZ119" s="1"/>
      <c r="CA119" s="1"/>
      <c r="CB119" s="1"/>
      <c r="CC119" s="1"/>
      <c r="CD119" s="1"/>
      <c r="CE119" s="1"/>
      <c r="CF119" s="1"/>
      <c r="CG119" s="1"/>
      <c r="CH119" s="1"/>
      <c r="CI119" s="1"/>
      <c r="CJ119" s="1"/>
      <c r="CK119" s="1"/>
      <c r="CL119" s="1"/>
      <c r="CM119" s="1"/>
      <c r="CN119" s="1"/>
      <c r="CO119" s="1"/>
      <c r="CP119" s="1"/>
      <c r="CQ119" s="1"/>
      <c r="CR119" s="1"/>
      <c r="CS119" s="1"/>
      <c r="CT119" s="1"/>
      <c r="CU119" s="1"/>
      <c r="CV119" s="1"/>
      <c r="CW119" s="1"/>
      <c r="CX119" s="1"/>
      <c r="CY119" s="1"/>
      <c r="CZ119" s="1"/>
      <c r="DA119" s="1"/>
      <c r="DB119" s="1"/>
      <c r="DC119" s="1"/>
      <c r="DD119" s="1"/>
      <c r="DE119" s="1"/>
      <c r="DF119" s="1"/>
      <c r="DG119" s="1"/>
      <c r="DH119" s="1"/>
      <c r="DI119" s="1"/>
      <c r="DJ119" s="1"/>
      <c r="DK119" s="1"/>
      <c r="DL119" s="1"/>
      <c r="DM119" s="1"/>
      <c r="DN119" s="1"/>
      <c r="DO119" s="1"/>
      <c r="DP119" s="1"/>
      <c r="DQ119" s="1"/>
      <c r="DR119" s="1"/>
      <c r="DS119" s="1"/>
      <c r="DT119" s="1"/>
      <c r="DU119" s="1"/>
      <c r="DV119" s="1"/>
      <c r="DW119" s="1"/>
      <c r="DX119" s="1"/>
      <c r="DY119" s="1"/>
      <c r="DZ119" s="1"/>
      <c r="EA119" s="1"/>
      <c r="EB119" s="1"/>
      <c r="EC119" s="1"/>
      <c r="ED119" s="1"/>
      <c r="EE119" s="1"/>
      <c r="EF119" s="1"/>
      <c r="EG119" s="1"/>
      <c r="EH119" s="1"/>
      <c r="EI119" s="1"/>
      <c r="EJ119" s="1"/>
      <c r="EK119" s="1"/>
      <c r="EL119" s="1"/>
      <c r="EM119" s="1"/>
      <c r="EN119" s="1"/>
      <c r="EO119" s="1"/>
      <c r="EP119" s="1"/>
      <c r="EQ119" s="1"/>
      <c r="ER119" s="1"/>
      <c r="ES119" s="1"/>
      <c r="ET119" s="1"/>
      <c r="EU119" s="1"/>
      <c r="EV119" s="1"/>
      <c r="EW119" s="1"/>
      <c r="EX119" s="1"/>
      <c r="EY119" s="1"/>
      <c r="EZ119" s="1"/>
      <c r="FA119" s="1"/>
      <c r="FB119" s="1"/>
      <c r="FC119" s="1"/>
      <c r="FD119" s="1"/>
      <c r="FE119" s="1"/>
      <c r="FF119" s="1"/>
      <c r="FG119" s="1"/>
      <c r="FH119" s="1"/>
      <c r="FI119" s="1"/>
      <c r="FJ119" s="1"/>
      <c r="FK119" s="1"/>
      <c r="FL119" s="1"/>
      <c r="FM119" s="1"/>
      <c r="FN119" s="1"/>
      <c r="FO119" s="1"/>
      <c r="FP119" s="1"/>
      <c r="FQ119" s="1"/>
      <c r="FR119" s="1"/>
      <c r="FS119" s="1"/>
      <c r="FT119" s="1"/>
      <c r="FU119" s="1"/>
      <c r="FV119" s="1"/>
      <c r="FW119" s="1"/>
      <c r="FX119" s="1"/>
      <c r="FY119" s="1"/>
      <c r="FZ119" s="1"/>
      <c r="GA119" s="1"/>
      <c r="GB119" s="1"/>
      <c r="GC119" s="1"/>
      <c r="GD119" s="1"/>
      <c r="GE119" s="1"/>
      <c r="GF119" s="1"/>
      <c r="GG119" s="1"/>
      <c r="GH119" s="1"/>
      <c r="GI119" s="1"/>
      <c r="GJ119" s="1"/>
      <c r="GK119" s="1"/>
      <c r="GL119" s="1"/>
      <c r="GM119" s="1"/>
      <c r="GN119" s="1"/>
      <c r="GO119" s="1"/>
      <c r="GP119" s="1"/>
      <c r="GQ119" s="1"/>
      <c r="GR119" s="1"/>
      <c r="GS119" s="1"/>
      <c r="GT119" s="1"/>
      <c r="GU119" s="1"/>
      <c r="GV119" s="1"/>
      <c r="GW119" s="1"/>
      <c r="GX119" s="1"/>
      <c r="GY119" s="1"/>
      <c r="GZ119" s="1"/>
      <c r="HA119" s="1"/>
      <c r="HB119" s="1"/>
      <c r="HC119" s="1"/>
      <c r="HD119" s="1"/>
      <c r="HE119" s="1"/>
      <c r="HF119" s="1"/>
      <c r="HG119" s="1"/>
      <c r="HH119" s="1"/>
      <c r="HI119" s="1"/>
      <c r="HJ119" s="1"/>
      <c r="HK119" s="1"/>
      <c r="HL119" s="1"/>
      <c r="HM119" s="1"/>
      <c r="HN119" s="1"/>
      <c r="HO119" s="1"/>
      <c r="HP119" s="1"/>
      <c r="HQ119" s="1"/>
      <c r="HR119" s="1"/>
      <c r="HS119" s="1"/>
      <c r="HT119" s="1"/>
      <c r="HU119" s="1"/>
      <c r="HV119" s="1"/>
      <c r="HW119" s="1"/>
      <c r="HX119" s="1"/>
      <c r="HY119" s="1"/>
      <c r="HZ119" s="1"/>
      <c r="IA119" s="1"/>
      <c r="IB119" s="1"/>
      <c r="IC119" s="1"/>
      <c r="ID119" s="1"/>
      <c r="IE119" s="1"/>
      <c r="IF119" s="1"/>
      <c r="IG119" s="1"/>
      <c r="IH119" s="1"/>
      <c r="II119" s="1"/>
      <c r="IJ119" s="1"/>
      <c r="IK119" s="1"/>
      <c r="IL119" s="1"/>
      <c r="IM119" s="1"/>
      <c r="IN119" s="1"/>
      <c r="IO119" s="1"/>
      <c r="IP119" s="1"/>
      <c r="IQ119" s="1"/>
      <c r="IR119" s="1"/>
      <c r="IS119" s="1"/>
      <c r="IT119" s="1"/>
      <c r="IU119" s="1"/>
      <c r="IV119" s="1"/>
      <c r="IW119" s="1"/>
      <c r="IX119" s="1"/>
      <c r="IY119" s="1"/>
      <c r="IZ119" s="1"/>
      <c r="JA119" s="1"/>
      <c r="JB119" s="1"/>
      <c r="JC119" s="1"/>
      <c r="JD119" s="1"/>
      <c r="JE119" s="1"/>
      <c r="JF119" s="1"/>
      <c r="JG119" s="1"/>
      <c r="JH119" s="1"/>
      <c r="JI119" s="1"/>
      <c r="JJ119" s="1"/>
      <c r="JK119" s="1"/>
      <c r="JL119" s="1"/>
      <c r="JM119" s="1"/>
      <c r="JN119" s="1"/>
      <c r="JO119" s="1"/>
      <c r="JP119" s="1"/>
      <c r="JQ119" s="1"/>
      <c r="JR119" s="1"/>
      <c r="JS119" s="1"/>
      <c r="JT119" s="1"/>
      <c r="JU119" s="1"/>
      <c r="JV119" s="1"/>
      <c r="JW119" s="1"/>
      <c r="JX119" s="1"/>
      <c r="JY119" s="1"/>
      <c r="JZ119" s="1"/>
      <c r="KA119" s="1"/>
      <c r="KB119" s="1"/>
      <c r="KC119" s="1"/>
      <c r="KD119" s="1"/>
      <c r="KE119" s="1"/>
      <c r="KF119" s="1"/>
      <c r="KG119" s="1"/>
      <c r="KH119" s="1"/>
      <c r="KI119" s="1"/>
      <c r="KJ119" s="1"/>
      <c r="KK119" s="1"/>
      <c r="KL119" s="1"/>
      <c r="KM119" s="1"/>
      <c r="KN119" s="1"/>
      <c r="KO119" s="1"/>
      <c r="KP119" s="1"/>
      <c r="KQ119" s="1"/>
      <c r="KR119" s="1"/>
      <c r="KS119" s="1"/>
      <c r="KT119" s="1"/>
      <c r="KU119" s="1"/>
      <c r="KV119" s="1"/>
      <c r="KW119" s="1"/>
      <c r="KX119" s="1"/>
      <c r="KY119" s="1"/>
      <c r="KZ119" s="1"/>
      <c r="LA119" s="1"/>
      <c r="LB119" s="1"/>
      <c r="LC119" s="1"/>
      <c r="LD119" s="1"/>
      <c r="LE119" s="1"/>
      <c r="LF119" s="1"/>
      <c r="LG119" s="1"/>
      <c r="LH119" s="1"/>
      <c r="LI119" s="1"/>
      <c r="LJ119" s="1"/>
      <c r="LK119" s="1"/>
      <c r="LL119" s="1"/>
      <c r="LM119" s="1"/>
      <c r="LN119" s="1"/>
      <c r="LO119" s="1"/>
      <c r="LP119" s="1"/>
      <c r="LQ119" s="1"/>
      <c r="LR119" s="1"/>
      <c r="LS119" s="1"/>
    </row>
    <row r="120" spans="1:331" s="25" customFormat="1" x14ac:dyDescent="0.25">
      <c r="A120" s="25" t="s">
        <v>484</v>
      </c>
      <c r="B120" s="25" t="s">
        <v>485</v>
      </c>
      <c r="C120" s="96" t="s">
        <v>1648</v>
      </c>
      <c r="D120" s="25">
        <v>0</v>
      </c>
      <c r="H120" s="25" t="s">
        <v>486</v>
      </c>
      <c r="I120" s="25" t="s">
        <v>477</v>
      </c>
      <c r="J120" s="25" t="s">
        <v>486</v>
      </c>
      <c r="K120" s="25" t="s">
        <v>476</v>
      </c>
      <c r="L120" s="25">
        <v>0</v>
      </c>
      <c r="O120" s="25">
        <v>0</v>
      </c>
      <c r="Q120" s="96" t="s">
        <v>420</v>
      </c>
      <c r="R120" s="96"/>
      <c r="T120" s="25">
        <v>6</v>
      </c>
      <c r="V120" s="25">
        <v>5</v>
      </c>
      <c r="W120" s="96">
        <v>6</v>
      </c>
      <c r="X120" s="96"/>
      <c r="Y120" s="96"/>
      <c r="Z120" s="25">
        <v>5</v>
      </c>
      <c r="AA120" s="94" t="b">
        <v>1</v>
      </c>
      <c r="AB120" s="1"/>
      <c r="AC120" s="57" t="s">
        <v>1287</v>
      </c>
      <c r="AD120" s="1"/>
      <c r="AE120" s="57"/>
      <c r="AF120" s="1"/>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
      <c r="BI120" s="1"/>
      <c r="BJ120" s="1"/>
      <c r="BK120" s="1"/>
      <c r="BL120" s="1"/>
      <c r="BM120" s="1"/>
      <c r="BN120" s="1"/>
      <c r="BO120" s="1"/>
      <c r="BP120" s="1"/>
      <c r="BQ120" s="1"/>
      <c r="BR120" s="1"/>
      <c r="BS120" s="1"/>
      <c r="BT120" s="1"/>
      <c r="BU120" s="1"/>
      <c r="BV120" s="1"/>
      <c r="BW120" s="1"/>
      <c r="BX120" s="1"/>
      <c r="BY120" s="1"/>
      <c r="BZ120" s="1"/>
      <c r="CA120" s="1"/>
      <c r="CB120" s="1"/>
      <c r="CC120" s="1"/>
      <c r="CD120" s="1"/>
      <c r="CE120" s="1"/>
      <c r="CF120" s="1"/>
      <c r="CG120" s="1"/>
      <c r="CH120" s="1"/>
      <c r="CI120" s="1"/>
      <c r="CJ120" s="1"/>
      <c r="CK120" s="1"/>
      <c r="CL120" s="1"/>
      <c r="CM120" s="1"/>
      <c r="CN120" s="1"/>
      <c r="CO120" s="1"/>
      <c r="CP120" s="1"/>
      <c r="CQ120" s="1"/>
      <c r="CR120" s="1"/>
      <c r="CS120" s="1"/>
      <c r="CT120" s="1"/>
      <c r="CU120" s="1"/>
      <c r="CV120" s="1"/>
      <c r="CW120" s="1"/>
      <c r="CX120" s="1"/>
      <c r="CY120" s="1"/>
      <c r="CZ120" s="1"/>
      <c r="DA120" s="1"/>
      <c r="DB120" s="1"/>
      <c r="DC120" s="1"/>
      <c r="DD120" s="1"/>
      <c r="DE120" s="1"/>
      <c r="DF120" s="1"/>
      <c r="DG120" s="1"/>
      <c r="DH120" s="1"/>
      <c r="DI120" s="1"/>
      <c r="DJ120" s="1"/>
      <c r="DK120" s="1"/>
      <c r="DL120" s="1"/>
      <c r="DM120" s="1"/>
      <c r="DN120" s="1"/>
      <c r="DO120" s="1"/>
      <c r="DP120" s="1"/>
      <c r="DQ120" s="1"/>
      <c r="DR120" s="1"/>
      <c r="DS120" s="1"/>
      <c r="DT120" s="1"/>
      <c r="DU120" s="1"/>
      <c r="DV120" s="1"/>
      <c r="DW120" s="1"/>
      <c r="DX120" s="1"/>
      <c r="DY120" s="1"/>
      <c r="DZ120" s="1"/>
      <c r="EA120" s="1"/>
      <c r="EB120" s="1"/>
      <c r="EC120" s="1"/>
      <c r="ED120" s="1"/>
      <c r="EE120" s="1"/>
      <c r="EF120" s="1"/>
      <c r="EG120" s="1"/>
      <c r="EH120" s="1"/>
      <c r="EI120" s="1"/>
      <c r="EJ120" s="1"/>
      <c r="EK120" s="1"/>
      <c r="EL120" s="1"/>
      <c r="EM120" s="1"/>
      <c r="EN120" s="1"/>
      <c r="EO120" s="1"/>
      <c r="EP120" s="1"/>
      <c r="EQ120" s="1"/>
      <c r="ER120" s="1"/>
      <c r="ES120" s="1"/>
      <c r="ET120" s="1"/>
      <c r="EU120" s="1"/>
      <c r="EV120" s="1"/>
      <c r="EW120" s="1"/>
      <c r="EX120" s="1"/>
      <c r="EY120" s="1"/>
      <c r="EZ120" s="1"/>
      <c r="FA120" s="1"/>
      <c r="FB120" s="1"/>
      <c r="FC120" s="1"/>
      <c r="FD120" s="1"/>
      <c r="FE120" s="1"/>
      <c r="FF120" s="1"/>
      <c r="FG120" s="1"/>
      <c r="FH120" s="1"/>
      <c r="FI120" s="1"/>
      <c r="FJ120" s="1"/>
      <c r="FK120" s="1"/>
      <c r="FL120" s="1"/>
      <c r="FM120" s="1"/>
      <c r="FN120" s="1"/>
      <c r="FO120" s="1"/>
      <c r="FP120" s="1"/>
      <c r="FQ120" s="1"/>
      <c r="FR120" s="1"/>
      <c r="FS120" s="1"/>
      <c r="FT120" s="1"/>
      <c r="FU120" s="1"/>
      <c r="FV120" s="1"/>
      <c r="FW120" s="1"/>
      <c r="FX120" s="1"/>
      <c r="FY120" s="1"/>
      <c r="FZ120" s="1"/>
      <c r="GA120" s="1"/>
      <c r="GB120" s="1"/>
      <c r="GC120" s="1"/>
      <c r="GD120" s="1"/>
      <c r="GE120" s="1"/>
      <c r="GF120" s="1"/>
      <c r="GG120" s="1"/>
      <c r="GH120" s="1"/>
      <c r="GI120" s="1"/>
      <c r="GJ120" s="1"/>
      <c r="GK120" s="1"/>
      <c r="GL120" s="1"/>
      <c r="GM120" s="1"/>
      <c r="GN120" s="1"/>
      <c r="GO120" s="1"/>
      <c r="GP120" s="1"/>
      <c r="GQ120" s="1"/>
      <c r="GR120" s="1"/>
      <c r="GS120" s="1"/>
      <c r="GT120" s="1"/>
      <c r="GU120" s="1"/>
      <c r="GV120" s="1"/>
      <c r="GW120" s="1"/>
      <c r="GX120" s="1"/>
      <c r="GY120" s="1"/>
      <c r="GZ120" s="1"/>
      <c r="HA120" s="1"/>
      <c r="HB120" s="1"/>
      <c r="HC120" s="1"/>
      <c r="HD120" s="1"/>
      <c r="HE120" s="1"/>
      <c r="HF120" s="1"/>
      <c r="HG120" s="1"/>
      <c r="HH120" s="1"/>
      <c r="HI120" s="1"/>
      <c r="HJ120" s="1"/>
      <c r="HK120" s="1"/>
      <c r="HL120" s="1"/>
      <c r="HM120" s="1"/>
      <c r="HN120" s="1"/>
      <c r="HO120" s="1"/>
      <c r="HP120" s="1"/>
      <c r="HQ120" s="1"/>
      <c r="HR120" s="1"/>
      <c r="HS120" s="1"/>
      <c r="HT120" s="1"/>
      <c r="HU120" s="1"/>
      <c r="HV120" s="1"/>
      <c r="HW120" s="1"/>
      <c r="HX120" s="1"/>
      <c r="HY120" s="1"/>
      <c r="HZ120" s="1"/>
      <c r="IA120" s="1"/>
      <c r="IB120" s="1"/>
      <c r="IC120" s="1"/>
      <c r="ID120" s="1"/>
      <c r="IE120" s="1"/>
      <c r="IF120" s="1"/>
      <c r="IG120" s="1"/>
      <c r="IH120" s="1"/>
      <c r="II120" s="1"/>
      <c r="IJ120" s="1"/>
      <c r="IK120" s="1"/>
      <c r="IL120" s="1"/>
      <c r="IM120" s="1"/>
      <c r="IN120" s="1"/>
      <c r="IO120" s="1"/>
      <c r="IP120" s="1"/>
      <c r="IQ120" s="1"/>
      <c r="IR120" s="1"/>
      <c r="IS120" s="1"/>
      <c r="IT120" s="1"/>
      <c r="IU120" s="1"/>
      <c r="IV120" s="1"/>
      <c r="IW120" s="1"/>
      <c r="IX120" s="1"/>
      <c r="IY120" s="1"/>
      <c r="IZ120" s="1"/>
      <c r="JA120" s="1"/>
      <c r="JB120" s="1"/>
      <c r="JC120" s="1"/>
      <c r="JD120" s="1"/>
      <c r="JE120" s="1"/>
      <c r="JF120" s="1"/>
      <c r="JG120" s="1"/>
      <c r="JH120" s="1"/>
      <c r="JI120" s="1"/>
      <c r="JJ120" s="1"/>
      <c r="JK120" s="1"/>
      <c r="JL120" s="1"/>
      <c r="JM120" s="1"/>
      <c r="JN120" s="1"/>
      <c r="JO120" s="1"/>
      <c r="JP120" s="1"/>
      <c r="JQ120" s="1"/>
      <c r="JR120" s="1"/>
      <c r="JS120" s="1"/>
      <c r="JT120" s="1"/>
      <c r="JU120" s="1"/>
      <c r="JV120" s="1"/>
      <c r="JW120" s="1"/>
      <c r="JX120" s="1"/>
      <c r="JY120" s="1"/>
      <c r="JZ120" s="1"/>
      <c r="KA120" s="1"/>
      <c r="KB120" s="1"/>
      <c r="KC120" s="1"/>
      <c r="KD120" s="1"/>
      <c r="KE120" s="1"/>
      <c r="KF120" s="1"/>
      <c r="KG120" s="1"/>
      <c r="KH120" s="1"/>
      <c r="KI120" s="1"/>
      <c r="KJ120" s="1"/>
      <c r="KK120" s="1"/>
      <c r="KL120" s="1"/>
      <c r="KM120" s="1"/>
      <c r="KN120" s="1"/>
      <c r="KO120" s="1"/>
      <c r="KP120" s="1"/>
      <c r="KQ120" s="1"/>
      <c r="KR120" s="1"/>
      <c r="KS120" s="1"/>
      <c r="KT120" s="1"/>
      <c r="KU120" s="1"/>
      <c r="KV120" s="1"/>
      <c r="KW120" s="1"/>
      <c r="KX120" s="1"/>
      <c r="KY120" s="1"/>
      <c r="KZ120" s="1"/>
      <c r="LA120" s="1"/>
      <c r="LB120" s="1"/>
      <c r="LC120" s="1"/>
      <c r="LD120" s="1"/>
      <c r="LE120" s="1"/>
      <c r="LF120" s="1"/>
      <c r="LG120" s="1"/>
      <c r="LH120" s="1"/>
      <c r="LI120" s="1"/>
      <c r="LJ120" s="1"/>
      <c r="LK120" s="1"/>
      <c r="LL120" s="1"/>
      <c r="LM120" s="1"/>
      <c r="LN120" s="1"/>
      <c r="LO120" s="1"/>
      <c r="LP120" s="1"/>
      <c r="LQ120" s="1"/>
      <c r="LR120" s="1"/>
      <c r="LS120" s="1"/>
    </row>
    <row r="121" spans="1:331" s="17" customFormat="1" x14ac:dyDescent="0.25">
      <c r="A121" s="17" t="s">
        <v>487</v>
      </c>
      <c r="B121" s="21" t="s">
        <v>488</v>
      </c>
      <c r="C121" s="94" t="s">
        <v>1648</v>
      </c>
      <c r="D121" s="17">
        <v>3</v>
      </c>
      <c r="E121" s="17" t="s">
        <v>411</v>
      </c>
      <c r="F121" s="17" t="s">
        <v>411</v>
      </c>
      <c r="G121" s="17" t="s">
        <v>411</v>
      </c>
      <c r="H121" s="17" t="s">
        <v>411</v>
      </c>
      <c r="I121" s="17" t="s">
        <v>411</v>
      </c>
      <c r="J121" s="17" t="s">
        <v>411</v>
      </c>
      <c r="K121" s="17" t="s">
        <v>411</v>
      </c>
      <c r="L121" s="17">
        <v>1</v>
      </c>
      <c r="M121" s="17" t="s">
        <v>489</v>
      </c>
      <c r="O121" s="17">
        <v>1</v>
      </c>
      <c r="Q121" s="96"/>
      <c r="R121" s="96" t="s">
        <v>489</v>
      </c>
      <c r="S121" s="17">
        <v>20.9</v>
      </c>
      <c r="T121" s="17">
        <v>33.799999999999997</v>
      </c>
      <c r="U121" s="17">
        <v>15</v>
      </c>
      <c r="V121" s="17">
        <v>18</v>
      </c>
      <c r="W121" s="96">
        <v>34</v>
      </c>
      <c r="X121" s="96"/>
      <c r="Y121" s="96"/>
      <c r="Z121" s="17">
        <v>3</v>
      </c>
      <c r="AA121" s="94" t="b">
        <v>1</v>
      </c>
      <c r="AB121" s="1" t="s">
        <v>1893</v>
      </c>
      <c r="AC121" s="57" t="s">
        <v>1946</v>
      </c>
      <c r="AD121" s="1"/>
      <c r="AE121" s="57"/>
      <c r="AF121" s="1"/>
      <c r="AG121" s="1"/>
      <c r="AH121" s="1"/>
      <c r="AI121" s="1"/>
      <c r="AJ121" s="1"/>
      <c r="AK121" s="1"/>
      <c r="AL121" s="1"/>
      <c r="AM121" s="1"/>
      <c r="AN121" s="1"/>
      <c r="AO121" s="1"/>
      <c r="AP121" s="1"/>
      <c r="AQ121" s="1"/>
      <c r="AR121" s="1"/>
      <c r="AS121" s="1"/>
      <c r="AT121" s="1"/>
      <c r="AU121" s="1"/>
      <c r="AV121" s="1"/>
      <c r="AW121" s="1"/>
      <c r="AX121" s="1"/>
      <c r="AY121" s="1"/>
      <c r="AZ121" s="1"/>
      <c r="BA121" s="1"/>
      <c r="BB121" s="1"/>
      <c r="BC121" s="1"/>
      <c r="BD121" s="1"/>
      <c r="BE121" s="1"/>
      <c r="BF121" s="1"/>
      <c r="BG121" s="1"/>
      <c r="BH121" s="1"/>
      <c r="BI121" s="1"/>
      <c r="BJ121" s="1"/>
      <c r="BK121" s="1"/>
      <c r="BL121" s="1"/>
      <c r="BM121" s="1"/>
      <c r="BN121" s="1"/>
      <c r="BO121" s="1"/>
      <c r="BP121" s="1"/>
      <c r="BQ121" s="1"/>
      <c r="BR121" s="1"/>
      <c r="BS121" s="1"/>
      <c r="BT121" s="1"/>
      <c r="BU121" s="1"/>
      <c r="BV121" s="1"/>
      <c r="BW121" s="1"/>
      <c r="BX121" s="1"/>
      <c r="BY121" s="1"/>
      <c r="BZ121" s="1"/>
      <c r="CA121" s="1"/>
      <c r="CB121" s="1"/>
      <c r="CC121" s="1"/>
      <c r="CD121" s="1"/>
      <c r="CE121" s="1"/>
      <c r="CF121" s="1"/>
      <c r="CG121" s="1"/>
      <c r="CH121" s="1"/>
      <c r="CI121" s="1"/>
      <c r="CJ121" s="1"/>
      <c r="CK121" s="1"/>
      <c r="CL121" s="1"/>
      <c r="CM121" s="1"/>
      <c r="CN121" s="1"/>
      <c r="CO121" s="1"/>
      <c r="CP121" s="1"/>
      <c r="CQ121" s="1"/>
      <c r="CR121" s="1"/>
      <c r="CS121" s="1"/>
      <c r="CT121" s="1"/>
      <c r="CU121" s="1"/>
      <c r="CV121" s="1"/>
      <c r="CW121" s="1"/>
      <c r="CX121" s="1"/>
      <c r="CY121" s="1"/>
      <c r="CZ121" s="1"/>
      <c r="DA121" s="1"/>
      <c r="DB121" s="1"/>
      <c r="DC121" s="1"/>
      <c r="DD121" s="1"/>
      <c r="DE121" s="1"/>
      <c r="DF121" s="1"/>
      <c r="DG121" s="1"/>
      <c r="DH121" s="1"/>
      <c r="DI121" s="1"/>
      <c r="DJ121" s="1"/>
      <c r="DK121" s="1"/>
      <c r="DL121" s="1"/>
      <c r="DM121" s="1"/>
      <c r="DN121" s="1"/>
      <c r="DO121" s="1"/>
      <c r="DP121" s="1"/>
      <c r="DQ121" s="1"/>
      <c r="DR121" s="1"/>
      <c r="DS121" s="1"/>
      <c r="DT121" s="1"/>
      <c r="DU121" s="1"/>
      <c r="DV121" s="1"/>
      <c r="DW121" s="1"/>
      <c r="DX121" s="1"/>
      <c r="DY121" s="1"/>
      <c r="DZ121" s="1"/>
      <c r="EA121" s="1"/>
      <c r="EB121" s="1"/>
      <c r="EC121" s="1"/>
      <c r="ED121" s="1"/>
      <c r="EE121" s="1"/>
      <c r="EF121" s="1"/>
      <c r="EG121" s="1"/>
      <c r="EH121" s="1"/>
      <c r="EI121" s="1"/>
      <c r="EJ121" s="1"/>
      <c r="EK121" s="1"/>
      <c r="EL121" s="1"/>
      <c r="EM121" s="1"/>
      <c r="EN121" s="1"/>
      <c r="EO121" s="1"/>
      <c r="EP121" s="1"/>
      <c r="EQ121" s="1"/>
      <c r="ER121" s="1"/>
      <c r="ES121" s="1"/>
      <c r="ET121" s="1"/>
      <c r="EU121" s="1"/>
      <c r="EV121" s="1"/>
      <c r="EW121" s="1"/>
      <c r="EX121" s="1"/>
      <c r="EY121" s="1"/>
      <c r="EZ121" s="1"/>
      <c r="FA121" s="1"/>
      <c r="FB121" s="1"/>
      <c r="FC121" s="1"/>
      <c r="FD121" s="1"/>
      <c r="FE121" s="1"/>
      <c r="FF121" s="1"/>
      <c r="FG121" s="1"/>
      <c r="FH121" s="1"/>
      <c r="FI121" s="1"/>
      <c r="FJ121" s="1"/>
      <c r="FK121" s="1"/>
      <c r="FL121" s="1"/>
      <c r="FM121" s="1"/>
      <c r="FN121" s="1"/>
      <c r="FO121" s="1"/>
      <c r="FP121" s="1"/>
      <c r="FQ121" s="1"/>
      <c r="FR121" s="1"/>
      <c r="FS121" s="1"/>
      <c r="FT121" s="1"/>
      <c r="FU121" s="1"/>
      <c r="FV121" s="1"/>
      <c r="FW121" s="1"/>
      <c r="FX121" s="1"/>
      <c r="FY121" s="1"/>
      <c r="FZ121" s="1"/>
      <c r="GA121" s="1"/>
      <c r="GB121" s="1"/>
      <c r="GC121" s="1"/>
      <c r="GD121" s="1"/>
      <c r="GE121" s="1"/>
      <c r="GF121" s="1"/>
      <c r="GG121" s="1"/>
      <c r="GH121" s="1"/>
      <c r="GI121" s="1"/>
      <c r="GJ121" s="1"/>
      <c r="GK121" s="1"/>
      <c r="GL121" s="1"/>
      <c r="GM121" s="1"/>
      <c r="GN121" s="1"/>
      <c r="GO121" s="1"/>
      <c r="GP121" s="1"/>
      <c r="GQ121" s="1"/>
      <c r="GR121" s="1"/>
      <c r="GS121" s="1"/>
      <c r="GT121" s="1"/>
      <c r="GU121" s="1"/>
      <c r="GV121" s="1"/>
      <c r="GW121" s="1"/>
      <c r="GX121" s="1"/>
      <c r="GY121" s="1"/>
      <c r="GZ121" s="1"/>
      <c r="HA121" s="1"/>
      <c r="HB121" s="1"/>
      <c r="HC121" s="1"/>
      <c r="HD121" s="1"/>
      <c r="HE121" s="1"/>
      <c r="HF121" s="1"/>
      <c r="HG121" s="1"/>
      <c r="HH121" s="1"/>
      <c r="HI121" s="1"/>
      <c r="HJ121" s="1"/>
      <c r="HK121" s="1"/>
      <c r="HL121" s="1"/>
      <c r="HM121" s="1"/>
      <c r="HN121" s="1"/>
      <c r="HO121" s="1"/>
      <c r="HP121" s="1"/>
      <c r="HQ121" s="1"/>
      <c r="HR121" s="1"/>
      <c r="HS121" s="1"/>
      <c r="HT121" s="1"/>
      <c r="HU121" s="1"/>
      <c r="HV121" s="1"/>
      <c r="HW121" s="1"/>
      <c r="HX121" s="1"/>
      <c r="HY121" s="1"/>
      <c r="HZ121" s="1"/>
      <c r="IA121" s="1"/>
      <c r="IB121" s="1"/>
      <c r="IC121" s="1"/>
      <c r="ID121" s="1"/>
      <c r="IE121" s="1"/>
      <c r="IF121" s="1"/>
      <c r="IG121" s="1"/>
      <c r="IH121" s="1"/>
      <c r="II121" s="1"/>
      <c r="IJ121" s="1"/>
      <c r="IK121" s="1"/>
      <c r="IL121" s="1"/>
      <c r="IM121" s="1"/>
      <c r="IN121" s="1"/>
      <c r="IO121" s="1"/>
      <c r="IP121" s="1"/>
      <c r="IQ121" s="1"/>
      <c r="IR121" s="1"/>
      <c r="IS121" s="1"/>
      <c r="IT121" s="1"/>
      <c r="IU121" s="1"/>
      <c r="IV121" s="1"/>
      <c r="IW121" s="1"/>
      <c r="IX121" s="1"/>
      <c r="IY121" s="1"/>
      <c r="IZ121" s="1"/>
      <c r="JA121" s="1"/>
      <c r="JB121" s="1"/>
      <c r="JC121" s="1"/>
      <c r="JD121" s="1"/>
      <c r="JE121" s="1"/>
      <c r="JF121" s="1"/>
      <c r="JG121" s="1"/>
      <c r="JH121" s="1"/>
      <c r="JI121" s="1"/>
      <c r="JJ121" s="1"/>
      <c r="JK121" s="1"/>
      <c r="JL121" s="1"/>
      <c r="JM121" s="1"/>
      <c r="JN121" s="1"/>
      <c r="JO121" s="1"/>
      <c r="JP121" s="1"/>
      <c r="JQ121" s="1"/>
      <c r="JR121" s="1"/>
      <c r="JS121" s="1"/>
      <c r="JT121" s="1"/>
      <c r="JU121" s="1"/>
      <c r="JV121" s="1"/>
      <c r="JW121" s="1"/>
      <c r="JX121" s="1"/>
      <c r="JY121" s="1"/>
      <c r="JZ121" s="1"/>
      <c r="KA121" s="1"/>
      <c r="KB121" s="1"/>
      <c r="KC121" s="1"/>
      <c r="KD121" s="1"/>
      <c r="KE121" s="1"/>
      <c r="KF121" s="1"/>
      <c r="KG121" s="1"/>
      <c r="KH121" s="1"/>
      <c r="KI121" s="1"/>
      <c r="KJ121" s="1"/>
      <c r="KK121" s="1"/>
      <c r="KL121" s="1"/>
      <c r="KM121" s="1"/>
      <c r="KN121" s="1"/>
      <c r="KO121" s="1"/>
      <c r="KP121" s="1"/>
      <c r="KQ121" s="1"/>
      <c r="KR121" s="1"/>
      <c r="KS121" s="1"/>
      <c r="KT121" s="1"/>
      <c r="KU121" s="1"/>
      <c r="KV121" s="1"/>
      <c r="KW121" s="1"/>
      <c r="KX121" s="1"/>
      <c r="KY121" s="1"/>
      <c r="KZ121" s="1"/>
      <c r="LA121" s="1"/>
      <c r="LB121" s="1"/>
      <c r="LC121" s="1"/>
      <c r="LD121" s="1"/>
      <c r="LE121" s="1"/>
      <c r="LF121" s="1"/>
      <c r="LG121" s="1"/>
      <c r="LH121" s="1"/>
      <c r="LI121" s="1"/>
      <c r="LJ121" s="1"/>
      <c r="LK121" s="1"/>
      <c r="LL121" s="1"/>
      <c r="LM121" s="1"/>
      <c r="LN121" s="1"/>
      <c r="LO121" s="1"/>
      <c r="LP121" s="1"/>
      <c r="LQ121" s="1"/>
      <c r="LR121" s="1"/>
      <c r="LS121" s="1"/>
    </row>
    <row r="122" spans="1:331" s="30" customFormat="1" x14ac:dyDescent="0.25">
      <c r="A122" s="30" t="s">
        <v>490</v>
      </c>
      <c r="B122" s="30" t="s">
        <v>491</v>
      </c>
      <c r="C122" s="96" t="s">
        <v>1648</v>
      </c>
      <c r="D122" s="30">
        <v>2</v>
      </c>
      <c r="E122" s="30" t="s">
        <v>492</v>
      </c>
      <c r="F122" s="30" t="s">
        <v>492</v>
      </c>
      <c r="H122" s="30" t="s">
        <v>493</v>
      </c>
      <c r="I122" s="30" t="s">
        <v>492</v>
      </c>
      <c r="J122" s="30" t="s">
        <v>493</v>
      </c>
      <c r="K122" s="30" t="s">
        <v>1676</v>
      </c>
      <c r="L122" s="30">
        <v>0</v>
      </c>
      <c r="O122" s="30">
        <v>0</v>
      </c>
      <c r="Q122" s="96" t="s">
        <v>409</v>
      </c>
      <c r="R122" s="96"/>
      <c r="S122" s="30">
        <v>7</v>
      </c>
      <c r="U122" s="30">
        <v>10</v>
      </c>
      <c r="W122" s="96">
        <v>7</v>
      </c>
      <c r="X122" s="96"/>
      <c r="Y122" s="96"/>
      <c r="Z122" s="30">
        <v>6</v>
      </c>
      <c r="AA122" s="94" t="b">
        <v>1</v>
      </c>
      <c r="AB122" s="1"/>
      <c r="AC122" s="57" t="s">
        <v>1411</v>
      </c>
      <c r="AD122" s="1"/>
      <c r="AE122" s="57"/>
      <c r="AF122" s="1"/>
      <c r="AG122" s="1"/>
      <c r="AH122" s="1"/>
      <c r="AI122" s="1"/>
      <c r="AJ122" s="1"/>
      <c r="AK122" s="1"/>
      <c r="AL122" s="1"/>
      <c r="AM122" s="1"/>
      <c r="AN122" s="1"/>
      <c r="AO122" s="1"/>
      <c r="AP122" s="1"/>
      <c r="AQ122" s="1"/>
      <c r="AR122" s="1"/>
      <c r="AS122" s="1"/>
      <c r="AT122" s="1"/>
      <c r="AU122" s="1"/>
      <c r="AV122" s="1"/>
      <c r="AW122" s="1"/>
      <c r="AX122" s="1"/>
      <c r="AY122" s="1"/>
      <c r="AZ122" s="1"/>
      <c r="BA122" s="1"/>
      <c r="BB122" s="1"/>
      <c r="BC122" s="1"/>
      <c r="BD122" s="1"/>
      <c r="BE122" s="1"/>
      <c r="BF122" s="1"/>
      <c r="BG122" s="1"/>
      <c r="BH122" s="1"/>
      <c r="BI122" s="1"/>
      <c r="BJ122" s="1"/>
      <c r="BK122" s="1"/>
      <c r="BL122" s="1"/>
      <c r="BM122" s="1"/>
      <c r="BN122" s="1"/>
      <c r="BO122" s="1"/>
      <c r="BP122" s="1"/>
      <c r="BQ122" s="1"/>
      <c r="BR122" s="1"/>
      <c r="BS122" s="1"/>
      <c r="BT122" s="1"/>
      <c r="BU122" s="1"/>
      <c r="BV122" s="1"/>
      <c r="BW122" s="1"/>
      <c r="BX122" s="1"/>
      <c r="BY122" s="1"/>
      <c r="BZ122" s="1"/>
      <c r="CA122" s="1"/>
      <c r="CB122" s="1"/>
      <c r="CC122" s="1"/>
      <c r="CD122" s="1"/>
      <c r="CE122" s="1"/>
      <c r="CF122" s="1"/>
      <c r="CG122" s="1"/>
      <c r="CH122" s="1"/>
      <c r="CI122" s="1"/>
      <c r="CJ122" s="1"/>
      <c r="CK122" s="1"/>
      <c r="CL122" s="1"/>
      <c r="CM122" s="1"/>
      <c r="CN122" s="1"/>
      <c r="CO122" s="1"/>
      <c r="CP122" s="1"/>
      <c r="CQ122" s="1"/>
      <c r="CR122" s="1"/>
      <c r="CS122" s="1"/>
      <c r="CT122" s="1"/>
      <c r="CU122" s="1"/>
      <c r="CV122" s="1"/>
      <c r="CW122" s="1"/>
      <c r="CX122" s="1"/>
      <c r="CY122" s="1"/>
      <c r="CZ122" s="1"/>
      <c r="DA122" s="1"/>
      <c r="DB122" s="1"/>
      <c r="DC122" s="1"/>
      <c r="DD122" s="1"/>
      <c r="DE122" s="1"/>
      <c r="DF122" s="1"/>
      <c r="DG122" s="1"/>
      <c r="DH122" s="1"/>
      <c r="DI122" s="1"/>
      <c r="DJ122" s="1"/>
      <c r="DK122" s="1"/>
      <c r="DL122" s="1"/>
      <c r="DM122" s="1"/>
      <c r="DN122" s="1"/>
      <c r="DO122" s="1"/>
      <c r="DP122" s="1"/>
      <c r="DQ122" s="1"/>
      <c r="DR122" s="1"/>
      <c r="DS122" s="1"/>
      <c r="DT122" s="1"/>
      <c r="DU122" s="1"/>
      <c r="DV122" s="1"/>
      <c r="DW122" s="1"/>
      <c r="DX122" s="1"/>
      <c r="DY122" s="1"/>
      <c r="DZ122" s="1"/>
      <c r="EA122" s="1"/>
      <c r="EB122" s="1"/>
      <c r="EC122" s="1"/>
      <c r="ED122" s="1"/>
      <c r="EE122" s="1"/>
      <c r="EF122" s="1"/>
      <c r="EG122" s="1"/>
      <c r="EH122" s="1"/>
      <c r="EI122" s="1"/>
      <c r="EJ122" s="1"/>
      <c r="EK122" s="1"/>
      <c r="EL122" s="1"/>
      <c r="EM122" s="1"/>
      <c r="EN122" s="1"/>
      <c r="EO122" s="1"/>
      <c r="EP122" s="1"/>
      <c r="EQ122" s="1"/>
      <c r="ER122" s="1"/>
      <c r="ES122" s="1"/>
      <c r="ET122" s="1"/>
      <c r="EU122" s="1"/>
      <c r="EV122" s="1"/>
      <c r="EW122" s="1"/>
      <c r="EX122" s="1"/>
      <c r="EY122" s="1"/>
      <c r="EZ122" s="1"/>
      <c r="FA122" s="1"/>
      <c r="FB122" s="1"/>
      <c r="FC122" s="1"/>
      <c r="FD122" s="1"/>
      <c r="FE122" s="1"/>
      <c r="FF122" s="1"/>
      <c r="FG122" s="1"/>
      <c r="FH122" s="1"/>
      <c r="FI122" s="1"/>
      <c r="FJ122" s="1"/>
      <c r="FK122" s="1"/>
      <c r="FL122" s="1"/>
      <c r="FM122" s="1"/>
      <c r="FN122" s="1"/>
      <c r="FO122" s="1"/>
      <c r="FP122" s="1"/>
      <c r="FQ122" s="1"/>
      <c r="FR122" s="1"/>
      <c r="FS122" s="1"/>
      <c r="FT122" s="1"/>
      <c r="FU122" s="1"/>
      <c r="FV122" s="1"/>
      <c r="FW122" s="1"/>
      <c r="FX122" s="1"/>
      <c r="FY122" s="1"/>
      <c r="FZ122" s="1"/>
      <c r="GA122" s="1"/>
      <c r="GB122" s="1"/>
      <c r="GC122" s="1"/>
      <c r="GD122" s="1"/>
      <c r="GE122" s="1"/>
      <c r="GF122" s="1"/>
      <c r="GG122" s="1"/>
      <c r="GH122" s="1"/>
      <c r="GI122" s="1"/>
      <c r="GJ122" s="1"/>
      <c r="GK122" s="1"/>
      <c r="GL122" s="1"/>
      <c r="GM122" s="1"/>
      <c r="GN122" s="1"/>
      <c r="GO122" s="1"/>
      <c r="GP122" s="1"/>
      <c r="GQ122" s="1"/>
      <c r="GR122" s="1"/>
      <c r="GS122" s="1"/>
      <c r="GT122" s="1"/>
      <c r="GU122" s="1"/>
      <c r="GV122" s="1"/>
      <c r="GW122" s="1"/>
      <c r="GX122" s="1"/>
      <c r="GY122" s="1"/>
      <c r="GZ122" s="1"/>
      <c r="HA122" s="1"/>
      <c r="HB122" s="1"/>
      <c r="HC122" s="1"/>
      <c r="HD122" s="1"/>
      <c r="HE122" s="1"/>
      <c r="HF122" s="1"/>
      <c r="HG122" s="1"/>
      <c r="HH122" s="1"/>
      <c r="HI122" s="1"/>
      <c r="HJ122" s="1"/>
      <c r="HK122" s="1"/>
      <c r="HL122" s="1"/>
      <c r="HM122" s="1"/>
      <c r="HN122" s="1"/>
      <c r="HO122" s="1"/>
      <c r="HP122" s="1"/>
      <c r="HQ122" s="1"/>
      <c r="HR122" s="1"/>
      <c r="HS122" s="1"/>
      <c r="HT122" s="1"/>
      <c r="HU122" s="1"/>
      <c r="HV122" s="1"/>
      <c r="HW122" s="1"/>
      <c r="HX122" s="1"/>
      <c r="HY122" s="1"/>
      <c r="HZ122" s="1"/>
      <c r="IA122" s="1"/>
      <c r="IB122" s="1"/>
      <c r="IC122" s="1"/>
      <c r="ID122" s="1"/>
      <c r="IE122" s="1"/>
      <c r="IF122" s="1"/>
      <c r="IG122" s="1"/>
      <c r="IH122" s="1"/>
      <c r="II122" s="1"/>
      <c r="IJ122" s="1"/>
      <c r="IK122" s="1"/>
      <c r="IL122" s="1"/>
      <c r="IM122" s="1"/>
      <c r="IN122" s="1"/>
      <c r="IO122" s="1"/>
      <c r="IP122" s="1"/>
      <c r="IQ122" s="1"/>
      <c r="IR122" s="1"/>
      <c r="IS122" s="1"/>
      <c r="IT122" s="1"/>
      <c r="IU122" s="1"/>
      <c r="IV122" s="1"/>
      <c r="IW122" s="1"/>
      <c r="IX122" s="1"/>
      <c r="IY122" s="1"/>
      <c r="IZ122" s="1"/>
      <c r="JA122" s="1"/>
      <c r="JB122" s="1"/>
      <c r="JC122" s="1"/>
      <c r="JD122" s="1"/>
      <c r="JE122" s="1"/>
      <c r="JF122" s="1"/>
      <c r="JG122" s="1"/>
      <c r="JH122" s="1"/>
      <c r="JI122" s="1"/>
      <c r="JJ122" s="1"/>
      <c r="JK122" s="1"/>
      <c r="JL122" s="1"/>
      <c r="JM122" s="1"/>
      <c r="JN122" s="1"/>
      <c r="JO122" s="1"/>
      <c r="JP122" s="1"/>
      <c r="JQ122" s="1"/>
      <c r="JR122" s="1"/>
      <c r="JS122" s="1"/>
      <c r="JT122" s="1"/>
      <c r="JU122" s="1"/>
      <c r="JV122" s="1"/>
      <c r="JW122" s="1"/>
      <c r="JX122" s="1"/>
      <c r="JY122" s="1"/>
      <c r="JZ122" s="1"/>
      <c r="KA122" s="1"/>
      <c r="KB122" s="1"/>
      <c r="KC122" s="1"/>
      <c r="KD122" s="1"/>
      <c r="KE122" s="1"/>
      <c r="KF122" s="1"/>
      <c r="KG122" s="1"/>
      <c r="KH122" s="1"/>
      <c r="KI122" s="1"/>
      <c r="KJ122" s="1"/>
      <c r="KK122" s="1"/>
      <c r="KL122" s="1"/>
      <c r="KM122" s="1"/>
      <c r="KN122" s="1"/>
      <c r="KO122" s="1"/>
      <c r="KP122" s="1"/>
      <c r="KQ122" s="1"/>
      <c r="KR122" s="1"/>
      <c r="KS122" s="1"/>
      <c r="KT122" s="1"/>
      <c r="KU122" s="1"/>
      <c r="KV122" s="1"/>
      <c r="KW122" s="1"/>
      <c r="KX122" s="1"/>
      <c r="KY122" s="1"/>
      <c r="KZ122" s="1"/>
      <c r="LA122" s="1"/>
      <c r="LB122" s="1"/>
      <c r="LC122" s="1"/>
      <c r="LD122" s="1"/>
      <c r="LE122" s="1"/>
      <c r="LF122" s="1"/>
      <c r="LG122" s="1"/>
      <c r="LH122" s="1"/>
      <c r="LI122" s="1"/>
      <c r="LJ122" s="1"/>
      <c r="LK122" s="1"/>
      <c r="LL122" s="1"/>
      <c r="LM122" s="1"/>
      <c r="LN122" s="1"/>
      <c r="LO122" s="1"/>
      <c r="LP122" s="1"/>
      <c r="LQ122" s="1"/>
      <c r="LR122" s="1"/>
      <c r="LS122" s="1"/>
    </row>
    <row r="123" spans="1:331" s="59" customFormat="1" x14ac:dyDescent="0.25">
      <c r="A123" s="59" t="s">
        <v>494</v>
      </c>
      <c r="B123" s="61" t="s">
        <v>495</v>
      </c>
      <c r="C123" s="94" t="s">
        <v>1648</v>
      </c>
      <c r="D123" s="59">
        <v>0</v>
      </c>
      <c r="H123" s="59" t="s">
        <v>496</v>
      </c>
      <c r="I123" s="59" t="s">
        <v>497</v>
      </c>
      <c r="J123" s="59" t="s">
        <v>498</v>
      </c>
      <c r="K123" s="59" t="s">
        <v>497</v>
      </c>
      <c r="L123" s="59">
        <v>1</v>
      </c>
      <c r="M123" s="59" t="s">
        <v>321</v>
      </c>
      <c r="O123" s="59">
        <v>1</v>
      </c>
      <c r="Q123" s="96"/>
      <c r="R123" s="96" t="s">
        <v>499</v>
      </c>
      <c r="T123" s="59">
        <v>6</v>
      </c>
      <c r="V123" s="59">
        <v>8</v>
      </c>
      <c r="W123" s="96">
        <v>6</v>
      </c>
      <c r="X123" s="96"/>
      <c r="Y123" s="96"/>
      <c r="Z123" s="59">
        <v>11</v>
      </c>
      <c r="AA123" s="94" t="b">
        <v>1</v>
      </c>
      <c r="AB123" s="1"/>
      <c r="AC123" s="57" t="s">
        <v>1908</v>
      </c>
      <c r="AD123" s="1"/>
      <c r="AE123" s="57"/>
      <c r="AF123" s="1"/>
      <c r="AG123" s="1"/>
      <c r="AH123" s="1"/>
      <c r="AI123" s="1"/>
      <c r="AJ123" s="1"/>
      <c r="AK123" s="1"/>
      <c r="AL123" s="1"/>
      <c r="AM123" s="1"/>
      <c r="AN123" s="1"/>
      <c r="AO123" s="1"/>
      <c r="AP123" s="1"/>
      <c r="AQ123" s="1"/>
      <c r="AR123" s="1"/>
      <c r="AS123" s="1"/>
      <c r="AT123" s="1"/>
      <c r="AU123" s="1"/>
      <c r="AV123" s="1"/>
      <c r="AW123" s="1"/>
      <c r="AX123" s="1"/>
      <c r="AY123" s="1"/>
      <c r="AZ123" s="1"/>
      <c r="BA123" s="1"/>
      <c r="BB123" s="1"/>
      <c r="BC123" s="1"/>
      <c r="BD123" s="1"/>
      <c r="BE123" s="1"/>
      <c r="BF123" s="1"/>
      <c r="BG123" s="1"/>
      <c r="BH123" s="1"/>
      <c r="BI123" s="1"/>
      <c r="BJ123" s="1"/>
      <c r="BK123" s="1"/>
      <c r="BL123" s="1"/>
      <c r="BM123" s="1"/>
      <c r="BN123" s="1"/>
      <c r="BO123" s="1"/>
      <c r="BP123" s="1"/>
      <c r="BQ123" s="1"/>
      <c r="BR123" s="1"/>
      <c r="BS123" s="1"/>
      <c r="BT123" s="1"/>
      <c r="BU123" s="1"/>
      <c r="BV123" s="1"/>
      <c r="BW123" s="1"/>
      <c r="BX123" s="1"/>
      <c r="BY123" s="1"/>
      <c r="BZ123" s="1"/>
      <c r="CA123" s="1"/>
      <c r="CB123" s="1"/>
      <c r="CC123" s="1"/>
      <c r="CD123" s="1"/>
      <c r="CE123" s="1"/>
      <c r="CF123" s="1"/>
      <c r="CG123" s="1"/>
      <c r="CH123" s="1"/>
      <c r="CI123" s="1"/>
      <c r="CJ123" s="1"/>
      <c r="CK123" s="1"/>
      <c r="CL123" s="1"/>
      <c r="CM123" s="1"/>
      <c r="CN123" s="1"/>
      <c r="CO123" s="1"/>
      <c r="CP123" s="1"/>
      <c r="CQ123" s="1"/>
      <c r="CR123" s="1"/>
      <c r="CS123" s="1"/>
      <c r="CT123" s="1"/>
      <c r="CU123" s="1"/>
      <c r="CV123" s="1"/>
      <c r="CW123" s="1"/>
      <c r="CX123" s="1"/>
      <c r="CY123" s="1"/>
      <c r="CZ123" s="1"/>
      <c r="DA123" s="1"/>
      <c r="DB123" s="1"/>
      <c r="DC123" s="1"/>
      <c r="DD123" s="1"/>
      <c r="DE123" s="1"/>
      <c r="DF123" s="1"/>
      <c r="DG123" s="1"/>
      <c r="DH123" s="1"/>
      <c r="DI123" s="1"/>
      <c r="DJ123" s="1"/>
      <c r="DK123" s="1"/>
      <c r="DL123" s="1"/>
      <c r="DM123" s="1"/>
      <c r="DN123" s="1"/>
      <c r="DO123" s="1"/>
      <c r="DP123" s="1"/>
      <c r="DQ123" s="1"/>
      <c r="DR123" s="1"/>
      <c r="DS123" s="1"/>
      <c r="DT123" s="1"/>
      <c r="DU123" s="1"/>
      <c r="DV123" s="1"/>
      <c r="DW123" s="1"/>
      <c r="DX123" s="1"/>
      <c r="DY123" s="1"/>
      <c r="DZ123" s="1"/>
      <c r="EA123" s="1"/>
      <c r="EB123" s="1"/>
      <c r="EC123" s="1"/>
      <c r="ED123" s="1"/>
      <c r="EE123" s="1"/>
      <c r="EF123" s="1"/>
      <c r="EG123" s="1"/>
      <c r="EH123" s="1"/>
      <c r="EI123" s="1"/>
      <c r="EJ123" s="1"/>
      <c r="EK123" s="1"/>
      <c r="EL123" s="1"/>
      <c r="EM123" s="1"/>
      <c r="EN123" s="1"/>
      <c r="EO123" s="1"/>
      <c r="EP123" s="1"/>
      <c r="EQ123" s="1"/>
      <c r="ER123" s="1"/>
      <c r="ES123" s="1"/>
      <c r="ET123" s="1"/>
      <c r="EU123" s="1"/>
      <c r="EV123" s="1"/>
      <c r="EW123" s="1"/>
      <c r="EX123" s="1"/>
      <c r="EY123" s="1"/>
      <c r="EZ123" s="1"/>
      <c r="FA123" s="1"/>
      <c r="FB123" s="1"/>
      <c r="FC123" s="1"/>
      <c r="FD123" s="1"/>
      <c r="FE123" s="1"/>
      <c r="FF123" s="1"/>
      <c r="FG123" s="1"/>
      <c r="FH123" s="1"/>
      <c r="FI123" s="1"/>
      <c r="FJ123" s="1"/>
      <c r="FK123" s="1"/>
      <c r="FL123" s="1"/>
      <c r="FM123" s="1"/>
      <c r="FN123" s="1"/>
      <c r="FO123" s="1"/>
      <c r="FP123" s="1"/>
      <c r="FQ123" s="1"/>
      <c r="FR123" s="1"/>
      <c r="FS123" s="1"/>
      <c r="FT123" s="1"/>
      <c r="FU123" s="1"/>
      <c r="FV123" s="1"/>
      <c r="FW123" s="1"/>
      <c r="FX123" s="1"/>
      <c r="FY123" s="1"/>
      <c r="FZ123" s="1"/>
      <c r="GA123" s="1"/>
      <c r="GB123" s="1"/>
      <c r="GC123" s="1"/>
      <c r="GD123" s="1"/>
      <c r="GE123" s="1"/>
      <c r="GF123" s="1"/>
      <c r="GG123" s="1"/>
      <c r="GH123" s="1"/>
      <c r="GI123" s="1"/>
      <c r="GJ123" s="1"/>
      <c r="GK123" s="1"/>
      <c r="GL123" s="1"/>
      <c r="GM123" s="1"/>
      <c r="GN123" s="1"/>
      <c r="GO123" s="1"/>
      <c r="GP123" s="1"/>
      <c r="GQ123" s="1"/>
      <c r="GR123" s="1"/>
      <c r="GS123" s="1"/>
      <c r="GT123" s="1"/>
      <c r="GU123" s="1"/>
      <c r="GV123" s="1"/>
      <c r="GW123" s="1"/>
      <c r="GX123" s="1"/>
      <c r="GY123" s="1"/>
      <c r="GZ123" s="1"/>
      <c r="HA123" s="1"/>
      <c r="HB123" s="1"/>
      <c r="HC123" s="1"/>
      <c r="HD123" s="1"/>
      <c r="HE123" s="1"/>
      <c r="HF123" s="1"/>
      <c r="HG123" s="1"/>
      <c r="HH123" s="1"/>
      <c r="HI123" s="1"/>
      <c r="HJ123" s="1"/>
      <c r="HK123" s="1"/>
      <c r="HL123" s="1"/>
      <c r="HM123" s="1"/>
      <c r="HN123" s="1"/>
      <c r="HO123" s="1"/>
      <c r="HP123" s="1"/>
      <c r="HQ123" s="1"/>
      <c r="HR123" s="1"/>
      <c r="HS123" s="1"/>
      <c r="HT123" s="1"/>
      <c r="HU123" s="1"/>
      <c r="HV123" s="1"/>
      <c r="HW123" s="1"/>
      <c r="HX123" s="1"/>
      <c r="HY123" s="1"/>
      <c r="HZ123" s="1"/>
      <c r="IA123" s="1"/>
      <c r="IB123" s="1"/>
      <c r="IC123" s="1"/>
      <c r="ID123" s="1"/>
      <c r="IE123" s="1"/>
      <c r="IF123" s="1"/>
      <c r="IG123" s="1"/>
      <c r="IH123" s="1"/>
      <c r="II123" s="1"/>
      <c r="IJ123" s="1"/>
      <c r="IK123" s="1"/>
      <c r="IL123" s="1"/>
      <c r="IM123" s="1"/>
      <c r="IN123" s="1"/>
      <c r="IO123" s="1"/>
      <c r="IP123" s="1"/>
      <c r="IQ123" s="1"/>
      <c r="IR123" s="1"/>
      <c r="IS123" s="1"/>
      <c r="IT123" s="1"/>
      <c r="IU123" s="1"/>
      <c r="IV123" s="1"/>
      <c r="IW123" s="1"/>
      <c r="IX123" s="1"/>
      <c r="IY123" s="1"/>
      <c r="IZ123" s="1"/>
      <c r="JA123" s="1"/>
      <c r="JB123" s="1"/>
      <c r="JC123" s="1"/>
      <c r="JD123" s="1"/>
      <c r="JE123" s="1"/>
      <c r="JF123" s="1"/>
      <c r="JG123" s="1"/>
      <c r="JH123" s="1"/>
      <c r="JI123" s="1"/>
      <c r="JJ123" s="1"/>
      <c r="JK123" s="1"/>
      <c r="JL123" s="1"/>
      <c r="JM123" s="1"/>
      <c r="JN123" s="1"/>
      <c r="JO123" s="1"/>
      <c r="JP123" s="1"/>
      <c r="JQ123" s="1"/>
      <c r="JR123" s="1"/>
      <c r="JS123" s="1"/>
      <c r="JT123" s="1"/>
      <c r="JU123" s="1"/>
      <c r="JV123" s="1"/>
      <c r="JW123" s="1"/>
      <c r="JX123" s="1"/>
      <c r="JY123" s="1"/>
      <c r="JZ123" s="1"/>
      <c r="KA123" s="1"/>
      <c r="KB123" s="1"/>
      <c r="KC123" s="1"/>
      <c r="KD123" s="1"/>
      <c r="KE123" s="1"/>
      <c r="KF123" s="1"/>
      <c r="KG123" s="1"/>
      <c r="KH123" s="1"/>
      <c r="KI123" s="1"/>
      <c r="KJ123" s="1"/>
      <c r="KK123" s="1"/>
      <c r="KL123" s="1"/>
      <c r="KM123" s="1"/>
      <c r="KN123" s="1"/>
      <c r="KO123" s="1"/>
      <c r="KP123" s="1"/>
      <c r="KQ123" s="1"/>
      <c r="KR123" s="1"/>
      <c r="KS123" s="1"/>
      <c r="KT123" s="1"/>
      <c r="KU123" s="1"/>
      <c r="KV123" s="1"/>
      <c r="KW123" s="1"/>
      <c r="KX123" s="1"/>
      <c r="KY123" s="1"/>
      <c r="KZ123" s="1"/>
      <c r="LA123" s="1"/>
      <c r="LB123" s="1"/>
      <c r="LC123" s="1"/>
      <c r="LD123" s="1"/>
      <c r="LE123" s="1"/>
      <c r="LF123" s="1"/>
      <c r="LG123" s="1"/>
      <c r="LH123" s="1"/>
      <c r="LI123" s="1"/>
      <c r="LJ123" s="1"/>
      <c r="LK123" s="1"/>
      <c r="LL123" s="1"/>
      <c r="LM123" s="1"/>
      <c r="LN123" s="1"/>
      <c r="LO123" s="1"/>
      <c r="LP123" s="1"/>
      <c r="LQ123" s="1"/>
      <c r="LR123" s="1"/>
      <c r="LS123" s="1"/>
    </row>
    <row r="124" spans="1:331" s="40" customFormat="1" x14ac:dyDescent="0.25">
      <c r="A124" s="40" t="s">
        <v>500</v>
      </c>
      <c r="B124" s="40" t="s">
        <v>501</v>
      </c>
      <c r="C124" s="96" t="s">
        <v>1648</v>
      </c>
      <c r="D124" s="40">
        <v>0</v>
      </c>
      <c r="H124" s="40" t="s">
        <v>502</v>
      </c>
      <c r="I124" s="40" t="s">
        <v>503</v>
      </c>
      <c r="J124" s="40" t="s">
        <v>502</v>
      </c>
      <c r="K124" s="40" t="s">
        <v>503</v>
      </c>
      <c r="L124" s="40">
        <v>0</v>
      </c>
      <c r="O124" s="40">
        <v>1</v>
      </c>
      <c r="P124" s="40" t="s">
        <v>504</v>
      </c>
      <c r="Q124" s="96" t="s">
        <v>130</v>
      </c>
      <c r="R124" s="96"/>
      <c r="T124" s="40">
        <v>10</v>
      </c>
      <c r="V124" s="40">
        <v>10</v>
      </c>
      <c r="W124" s="96">
        <v>10</v>
      </c>
      <c r="X124" s="96"/>
      <c r="Y124" s="96"/>
      <c r="Z124" s="40">
        <v>8</v>
      </c>
      <c r="AA124" s="94" t="b">
        <v>1</v>
      </c>
      <c r="AB124" s="1"/>
      <c r="AC124" s="57" t="s">
        <v>1410</v>
      </c>
      <c r="AD124" s="1"/>
      <c r="AE124" s="57"/>
      <c r="AF124" s="1"/>
      <c r="AG124" s="1"/>
      <c r="AH124" s="1"/>
      <c r="AI124" s="1"/>
      <c r="AJ124" s="1"/>
      <c r="AK124" s="1"/>
      <c r="AL124" s="1"/>
      <c r="AM124" s="1"/>
      <c r="AN124" s="1"/>
      <c r="AO124" s="1"/>
      <c r="AP124" s="1"/>
      <c r="AQ124" s="1"/>
      <c r="AR124" s="1"/>
      <c r="AS124" s="1"/>
      <c r="AT124" s="1"/>
      <c r="AU124" s="1"/>
      <c r="AV124" s="1"/>
      <c r="AW124" s="1"/>
      <c r="AX124" s="1"/>
      <c r="AY124" s="1"/>
      <c r="AZ124" s="1"/>
      <c r="BA124" s="1"/>
      <c r="BB124" s="1"/>
      <c r="BC124" s="1"/>
      <c r="BD124" s="1"/>
      <c r="BE124" s="1"/>
      <c r="BF124" s="1"/>
      <c r="BG124" s="1"/>
      <c r="BH124" s="1"/>
      <c r="BI124" s="1"/>
      <c r="BJ124" s="1"/>
      <c r="BK124" s="1"/>
      <c r="BL124" s="1"/>
      <c r="BM124" s="1"/>
      <c r="BN124" s="1"/>
      <c r="BO124" s="1"/>
      <c r="BP124" s="1"/>
      <c r="BQ124" s="1"/>
      <c r="BR124" s="1"/>
      <c r="BS124" s="1"/>
      <c r="BT124" s="1"/>
      <c r="BU124" s="1"/>
      <c r="BV124" s="1"/>
      <c r="BW124" s="1"/>
      <c r="BX124" s="1"/>
      <c r="BY124" s="1"/>
      <c r="BZ124" s="1"/>
      <c r="CA124" s="1"/>
      <c r="CB124" s="1"/>
      <c r="CC124" s="1"/>
      <c r="CD124" s="1"/>
      <c r="CE124" s="1"/>
      <c r="CF124" s="1"/>
      <c r="CG124" s="1"/>
      <c r="CH124" s="1"/>
      <c r="CI124" s="1"/>
      <c r="CJ124" s="1"/>
      <c r="CK124" s="1"/>
      <c r="CL124" s="1"/>
      <c r="CM124" s="1"/>
      <c r="CN124" s="1"/>
      <c r="CO124" s="1"/>
      <c r="CP124" s="1"/>
      <c r="CQ124" s="1"/>
      <c r="CR124" s="1"/>
      <c r="CS124" s="1"/>
      <c r="CT124" s="1"/>
      <c r="CU124" s="1"/>
      <c r="CV124" s="1"/>
      <c r="CW124" s="1"/>
      <c r="CX124" s="1"/>
      <c r="CY124" s="1"/>
      <c r="CZ124" s="1"/>
      <c r="DA124" s="1"/>
      <c r="DB124" s="1"/>
      <c r="DC124" s="1"/>
      <c r="DD124" s="1"/>
      <c r="DE124" s="1"/>
      <c r="DF124" s="1"/>
      <c r="DG124" s="1"/>
      <c r="DH124" s="1"/>
      <c r="DI124" s="1"/>
      <c r="DJ124" s="1"/>
      <c r="DK124" s="1"/>
      <c r="DL124" s="1"/>
      <c r="DM124" s="1"/>
      <c r="DN124" s="1"/>
      <c r="DO124" s="1"/>
      <c r="DP124" s="1"/>
      <c r="DQ124" s="1"/>
      <c r="DR124" s="1"/>
      <c r="DS124" s="1"/>
      <c r="DT124" s="1"/>
      <c r="DU124" s="1"/>
      <c r="DV124" s="1"/>
      <c r="DW124" s="1"/>
      <c r="DX124" s="1"/>
      <c r="DY124" s="1"/>
      <c r="DZ124" s="1"/>
      <c r="EA124" s="1"/>
      <c r="EB124" s="1"/>
      <c r="EC124" s="1"/>
      <c r="ED124" s="1"/>
      <c r="EE124" s="1"/>
      <c r="EF124" s="1"/>
      <c r="EG124" s="1"/>
      <c r="EH124" s="1"/>
      <c r="EI124" s="1"/>
      <c r="EJ124" s="1"/>
      <c r="EK124" s="1"/>
      <c r="EL124" s="1"/>
      <c r="EM124" s="1"/>
      <c r="EN124" s="1"/>
      <c r="EO124" s="1"/>
      <c r="EP124" s="1"/>
      <c r="EQ124" s="1"/>
      <c r="ER124" s="1"/>
      <c r="ES124" s="1"/>
      <c r="ET124" s="1"/>
      <c r="EU124" s="1"/>
      <c r="EV124" s="1"/>
      <c r="EW124" s="1"/>
      <c r="EX124" s="1"/>
      <c r="EY124" s="1"/>
      <c r="EZ124" s="1"/>
      <c r="FA124" s="1"/>
      <c r="FB124" s="1"/>
      <c r="FC124" s="1"/>
      <c r="FD124" s="1"/>
      <c r="FE124" s="1"/>
      <c r="FF124" s="1"/>
      <c r="FG124" s="1"/>
      <c r="FH124" s="1"/>
      <c r="FI124" s="1"/>
      <c r="FJ124" s="1"/>
      <c r="FK124" s="1"/>
      <c r="FL124" s="1"/>
      <c r="FM124" s="1"/>
      <c r="FN124" s="1"/>
      <c r="FO124" s="1"/>
      <c r="FP124" s="1"/>
      <c r="FQ124" s="1"/>
      <c r="FR124" s="1"/>
      <c r="FS124" s="1"/>
      <c r="FT124" s="1"/>
      <c r="FU124" s="1"/>
      <c r="FV124" s="1"/>
      <c r="FW124" s="1"/>
      <c r="FX124" s="1"/>
      <c r="FY124" s="1"/>
      <c r="FZ124" s="1"/>
      <c r="GA124" s="1"/>
      <c r="GB124" s="1"/>
      <c r="GC124" s="1"/>
      <c r="GD124" s="1"/>
      <c r="GE124" s="1"/>
      <c r="GF124" s="1"/>
      <c r="GG124" s="1"/>
      <c r="GH124" s="1"/>
      <c r="GI124" s="1"/>
      <c r="GJ124" s="1"/>
      <c r="GK124" s="1"/>
      <c r="GL124" s="1"/>
      <c r="GM124" s="1"/>
      <c r="GN124" s="1"/>
      <c r="GO124" s="1"/>
      <c r="GP124" s="1"/>
      <c r="GQ124" s="1"/>
      <c r="GR124" s="1"/>
      <c r="GS124" s="1"/>
      <c r="GT124" s="1"/>
      <c r="GU124" s="1"/>
      <c r="GV124" s="1"/>
      <c r="GW124" s="1"/>
      <c r="GX124" s="1"/>
      <c r="GY124" s="1"/>
      <c r="GZ124" s="1"/>
      <c r="HA124" s="1"/>
      <c r="HB124" s="1"/>
      <c r="HC124" s="1"/>
      <c r="HD124" s="1"/>
      <c r="HE124" s="1"/>
      <c r="HF124" s="1"/>
      <c r="HG124" s="1"/>
      <c r="HH124" s="1"/>
      <c r="HI124" s="1"/>
      <c r="HJ124" s="1"/>
      <c r="HK124" s="1"/>
      <c r="HL124" s="1"/>
      <c r="HM124" s="1"/>
      <c r="HN124" s="1"/>
      <c r="HO124" s="1"/>
      <c r="HP124" s="1"/>
      <c r="HQ124" s="1"/>
      <c r="HR124" s="1"/>
      <c r="HS124" s="1"/>
      <c r="HT124" s="1"/>
      <c r="HU124" s="1"/>
      <c r="HV124" s="1"/>
      <c r="HW124" s="1"/>
      <c r="HX124" s="1"/>
      <c r="HY124" s="1"/>
      <c r="HZ124" s="1"/>
      <c r="IA124" s="1"/>
      <c r="IB124" s="1"/>
      <c r="IC124" s="1"/>
      <c r="ID124" s="1"/>
      <c r="IE124" s="1"/>
      <c r="IF124" s="1"/>
      <c r="IG124" s="1"/>
      <c r="IH124" s="1"/>
      <c r="II124" s="1"/>
      <c r="IJ124" s="1"/>
      <c r="IK124" s="1"/>
      <c r="IL124" s="1"/>
      <c r="IM124" s="1"/>
      <c r="IN124" s="1"/>
      <c r="IO124" s="1"/>
      <c r="IP124" s="1"/>
      <c r="IQ124" s="1"/>
      <c r="IR124" s="1"/>
      <c r="IS124" s="1"/>
      <c r="IT124" s="1"/>
      <c r="IU124" s="1"/>
      <c r="IV124" s="1"/>
      <c r="IW124" s="1"/>
      <c r="IX124" s="1"/>
      <c r="IY124" s="1"/>
      <c r="IZ124" s="1"/>
      <c r="JA124" s="1"/>
      <c r="JB124" s="1"/>
      <c r="JC124" s="1"/>
      <c r="JD124" s="1"/>
      <c r="JE124" s="1"/>
      <c r="JF124" s="1"/>
      <c r="JG124" s="1"/>
      <c r="JH124" s="1"/>
      <c r="JI124" s="1"/>
      <c r="JJ124" s="1"/>
      <c r="JK124" s="1"/>
      <c r="JL124" s="1"/>
      <c r="JM124" s="1"/>
      <c r="JN124" s="1"/>
      <c r="JO124" s="1"/>
      <c r="JP124" s="1"/>
      <c r="JQ124" s="1"/>
      <c r="JR124" s="1"/>
      <c r="JS124" s="1"/>
      <c r="JT124" s="1"/>
      <c r="JU124" s="1"/>
      <c r="JV124" s="1"/>
      <c r="JW124" s="1"/>
      <c r="JX124" s="1"/>
      <c r="JY124" s="1"/>
      <c r="JZ124" s="1"/>
      <c r="KA124" s="1"/>
      <c r="KB124" s="1"/>
      <c r="KC124" s="1"/>
      <c r="KD124" s="1"/>
      <c r="KE124" s="1"/>
      <c r="KF124" s="1"/>
      <c r="KG124" s="1"/>
      <c r="KH124" s="1"/>
      <c r="KI124" s="1"/>
      <c r="KJ124" s="1"/>
      <c r="KK124" s="1"/>
      <c r="KL124" s="1"/>
      <c r="KM124" s="1"/>
      <c r="KN124" s="1"/>
      <c r="KO124" s="1"/>
      <c r="KP124" s="1"/>
      <c r="KQ124" s="1"/>
      <c r="KR124" s="1"/>
      <c r="KS124" s="1"/>
      <c r="KT124" s="1"/>
      <c r="KU124" s="1"/>
      <c r="KV124" s="1"/>
      <c r="KW124" s="1"/>
      <c r="KX124" s="1"/>
      <c r="KY124" s="1"/>
      <c r="KZ124" s="1"/>
      <c r="LA124" s="1"/>
      <c r="LB124" s="1"/>
      <c r="LC124" s="1"/>
      <c r="LD124" s="1"/>
      <c r="LE124" s="1"/>
      <c r="LF124" s="1"/>
      <c r="LG124" s="1"/>
      <c r="LH124" s="1"/>
      <c r="LI124" s="1"/>
      <c r="LJ124" s="1"/>
      <c r="LK124" s="1"/>
      <c r="LL124" s="1"/>
      <c r="LM124" s="1"/>
      <c r="LN124" s="1"/>
      <c r="LO124" s="1"/>
      <c r="LP124" s="1"/>
      <c r="LQ124" s="1"/>
      <c r="LR124" s="1"/>
      <c r="LS124" s="1"/>
    </row>
    <row r="125" spans="1:331" s="30" customFormat="1" x14ac:dyDescent="0.25">
      <c r="A125" s="30" t="s">
        <v>505</v>
      </c>
      <c r="B125" s="30" t="s">
        <v>506</v>
      </c>
      <c r="C125" s="96" t="s">
        <v>1648</v>
      </c>
      <c r="D125" s="30">
        <v>4</v>
      </c>
      <c r="E125" s="30" t="s">
        <v>427</v>
      </c>
      <c r="F125" s="30" t="s">
        <v>427</v>
      </c>
      <c r="G125" s="30" t="s">
        <v>427</v>
      </c>
      <c r="H125" s="30" t="s">
        <v>507</v>
      </c>
      <c r="I125" s="30" t="s">
        <v>508</v>
      </c>
      <c r="J125" s="30" t="s">
        <v>509</v>
      </c>
      <c r="K125" s="30" t="s">
        <v>507</v>
      </c>
      <c r="L125" s="30">
        <v>0</v>
      </c>
      <c r="O125" s="30">
        <v>1</v>
      </c>
      <c r="Q125" s="96" t="s">
        <v>1537</v>
      </c>
      <c r="R125" s="96"/>
      <c r="T125" s="30">
        <v>15</v>
      </c>
      <c r="V125" s="30">
        <v>15</v>
      </c>
      <c r="W125" s="96">
        <v>15</v>
      </c>
      <c r="X125" s="96"/>
      <c r="Y125" s="96"/>
      <c r="Z125" s="30">
        <v>6</v>
      </c>
      <c r="AA125" s="94" t="b">
        <v>1</v>
      </c>
      <c r="AB125" s="1" t="s">
        <v>1894</v>
      </c>
      <c r="AC125" s="57" t="s">
        <v>1642</v>
      </c>
      <c r="AD125" s="1"/>
      <c r="AE125" s="57"/>
      <c r="AF125" s="1"/>
      <c r="AG125" s="1"/>
      <c r="AH125" s="1"/>
      <c r="AI125" s="1"/>
      <c r="AJ125" s="1"/>
      <c r="AK125" s="1"/>
      <c r="AL125" s="1"/>
      <c r="AM125" s="1"/>
      <c r="AN125" s="1"/>
      <c r="AO125" s="1"/>
      <c r="AP125" s="1"/>
      <c r="AQ125" s="1"/>
      <c r="AR125" s="1"/>
      <c r="AS125" s="1"/>
      <c r="AT125" s="1"/>
      <c r="AU125" s="1"/>
      <c r="AV125" s="1"/>
      <c r="AW125" s="1"/>
      <c r="AX125" s="1"/>
      <c r="AY125" s="1"/>
      <c r="AZ125" s="1"/>
      <c r="BA125" s="1"/>
      <c r="BB125" s="1"/>
      <c r="BC125" s="1"/>
      <c r="BD125" s="1"/>
      <c r="BE125" s="1"/>
      <c r="BF125" s="1"/>
      <c r="BG125" s="1"/>
      <c r="BH125" s="1"/>
      <c r="BI125" s="1"/>
      <c r="BJ125" s="1"/>
      <c r="BK125" s="1"/>
      <c r="BL125" s="1"/>
      <c r="BM125" s="1"/>
      <c r="BN125" s="1"/>
      <c r="BO125" s="1"/>
      <c r="BP125" s="1"/>
      <c r="BQ125" s="1"/>
      <c r="BR125" s="1"/>
      <c r="BS125" s="1"/>
      <c r="BT125" s="1"/>
      <c r="BU125" s="1"/>
      <c r="BV125" s="1"/>
      <c r="BW125" s="1"/>
      <c r="BX125" s="1"/>
      <c r="BY125" s="1"/>
      <c r="BZ125" s="1"/>
      <c r="CA125" s="1"/>
      <c r="CB125" s="1"/>
      <c r="CC125" s="1"/>
      <c r="CD125" s="1"/>
      <c r="CE125" s="1"/>
      <c r="CF125" s="1"/>
      <c r="CG125" s="1"/>
      <c r="CH125" s="1"/>
      <c r="CI125" s="1"/>
      <c r="CJ125" s="1"/>
      <c r="CK125" s="1"/>
      <c r="CL125" s="1"/>
      <c r="CM125" s="1"/>
      <c r="CN125" s="1"/>
      <c r="CO125" s="1"/>
      <c r="CP125" s="1"/>
      <c r="CQ125" s="1"/>
      <c r="CR125" s="1"/>
      <c r="CS125" s="1"/>
      <c r="CT125" s="1"/>
      <c r="CU125" s="1"/>
      <c r="CV125" s="1"/>
      <c r="CW125" s="1"/>
      <c r="CX125" s="1"/>
      <c r="CY125" s="1"/>
      <c r="CZ125" s="1"/>
      <c r="DA125" s="1"/>
      <c r="DB125" s="1"/>
      <c r="DC125" s="1"/>
      <c r="DD125" s="1"/>
      <c r="DE125" s="1"/>
      <c r="DF125" s="1"/>
      <c r="DG125" s="1"/>
      <c r="DH125" s="1"/>
      <c r="DI125" s="1"/>
      <c r="DJ125" s="1"/>
      <c r="DK125" s="1"/>
      <c r="DL125" s="1"/>
      <c r="DM125" s="1"/>
      <c r="DN125" s="1"/>
      <c r="DO125" s="1"/>
      <c r="DP125" s="1"/>
      <c r="DQ125" s="1"/>
      <c r="DR125" s="1"/>
      <c r="DS125" s="1"/>
      <c r="DT125" s="1"/>
      <c r="DU125" s="1"/>
      <c r="DV125" s="1"/>
      <c r="DW125" s="1"/>
      <c r="DX125" s="1"/>
      <c r="DY125" s="1"/>
      <c r="DZ125" s="1"/>
      <c r="EA125" s="1"/>
      <c r="EB125" s="1"/>
      <c r="EC125" s="1"/>
      <c r="ED125" s="1"/>
      <c r="EE125" s="1"/>
      <c r="EF125" s="1"/>
      <c r="EG125" s="1"/>
      <c r="EH125" s="1"/>
      <c r="EI125" s="1"/>
      <c r="EJ125" s="1"/>
      <c r="EK125" s="1"/>
      <c r="EL125" s="1"/>
      <c r="EM125" s="1"/>
      <c r="EN125" s="1"/>
      <c r="EO125" s="1"/>
      <c r="EP125" s="1"/>
      <c r="EQ125" s="1"/>
      <c r="ER125" s="1"/>
      <c r="ES125" s="1"/>
      <c r="ET125" s="1"/>
      <c r="EU125" s="1"/>
      <c r="EV125" s="1"/>
      <c r="EW125" s="1"/>
      <c r="EX125" s="1"/>
      <c r="EY125" s="1"/>
      <c r="EZ125" s="1"/>
      <c r="FA125" s="1"/>
      <c r="FB125" s="1"/>
      <c r="FC125" s="1"/>
      <c r="FD125" s="1"/>
      <c r="FE125" s="1"/>
      <c r="FF125" s="1"/>
      <c r="FG125" s="1"/>
      <c r="FH125" s="1"/>
      <c r="FI125" s="1"/>
      <c r="FJ125" s="1"/>
      <c r="FK125" s="1"/>
      <c r="FL125" s="1"/>
      <c r="FM125" s="1"/>
      <c r="FN125" s="1"/>
      <c r="FO125" s="1"/>
      <c r="FP125" s="1"/>
      <c r="FQ125" s="1"/>
      <c r="FR125" s="1"/>
      <c r="FS125" s="1"/>
      <c r="FT125" s="1"/>
      <c r="FU125" s="1"/>
      <c r="FV125" s="1"/>
      <c r="FW125" s="1"/>
      <c r="FX125" s="1"/>
      <c r="FY125" s="1"/>
      <c r="FZ125" s="1"/>
      <c r="GA125" s="1"/>
      <c r="GB125" s="1"/>
      <c r="GC125" s="1"/>
      <c r="GD125" s="1"/>
      <c r="GE125" s="1"/>
      <c r="GF125" s="1"/>
      <c r="GG125" s="1"/>
      <c r="GH125" s="1"/>
      <c r="GI125" s="1"/>
      <c r="GJ125" s="1"/>
      <c r="GK125" s="1"/>
      <c r="GL125" s="1"/>
      <c r="GM125" s="1"/>
      <c r="GN125" s="1"/>
      <c r="GO125" s="1"/>
      <c r="GP125" s="1"/>
      <c r="GQ125" s="1"/>
      <c r="GR125" s="1"/>
      <c r="GS125" s="1"/>
      <c r="GT125" s="1"/>
      <c r="GU125" s="1"/>
      <c r="GV125" s="1"/>
      <c r="GW125" s="1"/>
      <c r="GX125" s="1"/>
      <c r="GY125" s="1"/>
      <c r="GZ125" s="1"/>
      <c r="HA125" s="1"/>
      <c r="HB125" s="1"/>
      <c r="HC125" s="1"/>
      <c r="HD125" s="1"/>
      <c r="HE125" s="1"/>
      <c r="HF125" s="1"/>
      <c r="HG125" s="1"/>
      <c r="HH125" s="1"/>
      <c r="HI125" s="1"/>
      <c r="HJ125" s="1"/>
      <c r="HK125" s="1"/>
      <c r="HL125" s="1"/>
      <c r="HM125" s="1"/>
      <c r="HN125" s="1"/>
      <c r="HO125" s="1"/>
      <c r="HP125" s="1"/>
      <c r="HQ125" s="1"/>
      <c r="HR125" s="1"/>
      <c r="HS125" s="1"/>
      <c r="HT125" s="1"/>
      <c r="HU125" s="1"/>
      <c r="HV125" s="1"/>
      <c r="HW125" s="1"/>
      <c r="HX125" s="1"/>
      <c r="HY125" s="1"/>
      <c r="HZ125" s="1"/>
      <c r="IA125" s="1"/>
      <c r="IB125" s="1"/>
      <c r="IC125" s="1"/>
      <c r="ID125" s="1"/>
      <c r="IE125" s="1"/>
      <c r="IF125" s="1"/>
      <c r="IG125" s="1"/>
      <c r="IH125" s="1"/>
      <c r="II125" s="1"/>
      <c r="IJ125" s="1"/>
      <c r="IK125" s="1"/>
      <c r="IL125" s="1"/>
      <c r="IM125" s="1"/>
      <c r="IN125" s="1"/>
      <c r="IO125" s="1"/>
      <c r="IP125" s="1"/>
      <c r="IQ125" s="1"/>
      <c r="IR125" s="1"/>
      <c r="IS125" s="1"/>
      <c r="IT125" s="1"/>
      <c r="IU125" s="1"/>
      <c r="IV125" s="1"/>
      <c r="IW125" s="1"/>
      <c r="IX125" s="1"/>
      <c r="IY125" s="1"/>
      <c r="IZ125" s="1"/>
      <c r="JA125" s="1"/>
      <c r="JB125" s="1"/>
      <c r="JC125" s="1"/>
      <c r="JD125" s="1"/>
      <c r="JE125" s="1"/>
      <c r="JF125" s="1"/>
      <c r="JG125" s="1"/>
      <c r="JH125" s="1"/>
      <c r="JI125" s="1"/>
      <c r="JJ125" s="1"/>
      <c r="JK125" s="1"/>
      <c r="JL125" s="1"/>
      <c r="JM125" s="1"/>
      <c r="JN125" s="1"/>
      <c r="JO125" s="1"/>
      <c r="JP125" s="1"/>
      <c r="JQ125" s="1"/>
      <c r="JR125" s="1"/>
      <c r="JS125" s="1"/>
      <c r="JT125" s="1"/>
      <c r="JU125" s="1"/>
      <c r="JV125" s="1"/>
      <c r="JW125" s="1"/>
      <c r="JX125" s="1"/>
      <c r="JY125" s="1"/>
      <c r="JZ125" s="1"/>
      <c r="KA125" s="1"/>
      <c r="KB125" s="1"/>
      <c r="KC125" s="1"/>
      <c r="KD125" s="1"/>
      <c r="KE125" s="1"/>
      <c r="KF125" s="1"/>
      <c r="KG125" s="1"/>
      <c r="KH125" s="1"/>
      <c r="KI125" s="1"/>
      <c r="KJ125" s="1"/>
      <c r="KK125" s="1"/>
      <c r="KL125" s="1"/>
      <c r="KM125" s="1"/>
      <c r="KN125" s="1"/>
      <c r="KO125" s="1"/>
      <c r="KP125" s="1"/>
      <c r="KQ125" s="1"/>
      <c r="KR125" s="1"/>
      <c r="KS125" s="1"/>
      <c r="KT125" s="1"/>
      <c r="KU125" s="1"/>
      <c r="KV125" s="1"/>
      <c r="KW125" s="1"/>
      <c r="KX125" s="1"/>
      <c r="KY125" s="1"/>
      <c r="KZ125" s="1"/>
      <c r="LA125" s="1"/>
      <c r="LB125" s="1"/>
      <c r="LC125" s="1"/>
      <c r="LD125" s="1"/>
      <c r="LE125" s="1"/>
      <c r="LF125" s="1"/>
      <c r="LG125" s="1"/>
      <c r="LH125" s="1"/>
      <c r="LI125" s="1"/>
      <c r="LJ125" s="1"/>
      <c r="LK125" s="1"/>
      <c r="LL125" s="1"/>
      <c r="LM125" s="1"/>
      <c r="LN125" s="1"/>
      <c r="LO125" s="1"/>
      <c r="LP125" s="1"/>
      <c r="LQ125" s="1"/>
      <c r="LR125" s="1"/>
      <c r="LS125" s="1"/>
    </row>
    <row r="126" spans="1:331" s="25" customFormat="1" x14ac:dyDescent="0.25">
      <c r="A126" s="25" t="s">
        <v>510</v>
      </c>
      <c r="B126" s="29" t="s">
        <v>511</v>
      </c>
      <c r="C126" s="94" t="s">
        <v>1648</v>
      </c>
      <c r="D126" s="25">
        <v>0</v>
      </c>
      <c r="H126" s="25" t="s">
        <v>512</v>
      </c>
      <c r="I126" s="25" t="s">
        <v>513</v>
      </c>
      <c r="J126" s="25" t="s">
        <v>512</v>
      </c>
      <c r="K126" s="25" t="s">
        <v>604</v>
      </c>
      <c r="L126" s="25">
        <v>0</v>
      </c>
      <c r="O126" s="25">
        <v>0</v>
      </c>
      <c r="Q126" s="96" t="s">
        <v>507</v>
      </c>
      <c r="R126" s="96"/>
      <c r="T126" s="25">
        <v>11</v>
      </c>
      <c r="V126" s="25">
        <v>10</v>
      </c>
      <c r="W126" s="96">
        <v>11</v>
      </c>
      <c r="X126" s="96"/>
      <c r="Y126" s="96"/>
      <c r="Z126" s="25">
        <v>5</v>
      </c>
      <c r="AA126" s="94" t="b">
        <v>1</v>
      </c>
      <c r="AB126" s="1"/>
      <c r="AC126" s="57" t="s">
        <v>1337</v>
      </c>
      <c r="AD126" s="1"/>
      <c r="AE126" s="57"/>
      <c r="AF126" s="1"/>
      <c r="AG126" s="1"/>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c r="BG126" s="1"/>
      <c r="BH126" s="1"/>
      <c r="BI126" s="1"/>
      <c r="BJ126" s="1"/>
      <c r="BK126" s="1"/>
      <c r="BL126" s="1"/>
      <c r="BM126" s="1"/>
      <c r="BN126" s="1"/>
      <c r="BO126" s="1"/>
      <c r="BP126" s="1"/>
      <c r="BQ126" s="1"/>
      <c r="BR126" s="1"/>
      <c r="BS126" s="1"/>
      <c r="BT126" s="1"/>
      <c r="BU126" s="1"/>
      <c r="BV126" s="1"/>
      <c r="BW126" s="1"/>
      <c r="BX126" s="1"/>
      <c r="BY126" s="1"/>
      <c r="BZ126" s="1"/>
      <c r="CA126" s="1"/>
      <c r="CB126" s="1"/>
      <c r="CC126" s="1"/>
      <c r="CD126" s="1"/>
      <c r="CE126" s="1"/>
      <c r="CF126" s="1"/>
      <c r="CG126" s="1"/>
      <c r="CH126" s="1"/>
      <c r="CI126" s="1"/>
      <c r="CJ126" s="1"/>
      <c r="CK126" s="1"/>
      <c r="CL126" s="1"/>
      <c r="CM126" s="1"/>
      <c r="CN126" s="1"/>
      <c r="CO126" s="1"/>
      <c r="CP126" s="1"/>
      <c r="CQ126" s="1"/>
      <c r="CR126" s="1"/>
      <c r="CS126" s="1"/>
      <c r="CT126" s="1"/>
      <c r="CU126" s="1"/>
      <c r="CV126" s="1"/>
      <c r="CW126" s="1"/>
      <c r="CX126" s="1"/>
      <c r="CY126" s="1"/>
      <c r="CZ126" s="1"/>
      <c r="DA126" s="1"/>
      <c r="DB126" s="1"/>
      <c r="DC126" s="1"/>
      <c r="DD126" s="1"/>
      <c r="DE126" s="1"/>
      <c r="DF126" s="1"/>
      <c r="DG126" s="1"/>
      <c r="DH126" s="1"/>
      <c r="DI126" s="1"/>
      <c r="DJ126" s="1"/>
      <c r="DK126" s="1"/>
      <c r="DL126" s="1"/>
      <c r="DM126" s="1"/>
      <c r="DN126" s="1"/>
      <c r="DO126" s="1"/>
      <c r="DP126" s="1"/>
      <c r="DQ126" s="1"/>
      <c r="DR126" s="1"/>
      <c r="DS126" s="1"/>
      <c r="DT126" s="1"/>
      <c r="DU126" s="1"/>
      <c r="DV126" s="1"/>
      <c r="DW126" s="1"/>
      <c r="DX126" s="1"/>
      <c r="DY126" s="1"/>
      <c r="DZ126" s="1"/>
      <c r="EA126" s="1"/>
      <c r="EB126" s="1"/>
      <c r="EC126" s="1"/>
      <c r="ED126" s="1"/>
      <c r="EE126" s="1"/>
      <c r="EF126" s="1"/>
      <c r="EG126" s="1"/>
      <c r="EH126" s="1"/>
      <c r="EI126" s="1"/>
      <c r="EJ126" s="1"/>
      <c r="EK126" s="1"/>
      <c r="EL126" s="1"/>
      <c r="EM126" s="1"/>
      <c r="EN126" s="1"/>
      <c r="EO126" s="1"/>
      <c r="EP126" s="1"/>
      <c r="EQ126" s="1"/>
      <c r="ER126" s="1"/>
      <c r="ES126" s="1"/>
      <c r="ET126" s="1"/>
      <c r="EU126" s="1"/>
      <c r="EV126" s="1"/>
      <c r="EW126" s="1"/>
      <c r="EX126" s="1"/>
      <c r="EY126" s="1"/>
      <c r="EZ126" s="1"/>
      <c r="FA126" s="1"/>
      <c r="FB126" s="1"/>
      <c r="FC126" s="1"/>
      <c r="FD126" s="1"/>
      <c r="FE126" s="1"/>
      <c r="FF126" s="1"/>
      <c r="FG126" s="1"/>
      <c r="FH126" s="1"/>
      <c r="FI126" s="1"/>
      <c r="FJ126" s="1"/>
      <c r="FK126" s="1"/>
      <c r="FL126" s="1"/>
      <c r="FM126" s="1"/>
      <c r="FN126" s="1"/>
      <c r="FO126" s="1"/>
      <c r="FP126" s="1"/>
      <c r="FQ126" s="1"/>
      <c r="FR126" s="1"/>
      <c r="FS126" s="1"/>
      <c r="FT126" s="1"/>
      <c r="FU126" s="1"/>
      <c r="FV126" s="1"/>
      <c r="FW126" s="1"/>
      <c r="FX126" s="1"/>
      <c r="FY126" s="1"/>
      <c r="FZ126" s="1"/>
      <c r="GA126" s="1"/>
      <c r="GB126" s="1"/>
      <c r="GC126" s="1"/>
      <c r="GD126" s="1"/>
      <c r="GE126" s="1"/>
      <c r="GF126" s="1"/>
      <c r="GG126" s="1"/>
      <c r="GH126" s="1"/>
      <c r="GI126" s="1"/>
      <c r="GJ126" s="1"/>
      <c r="GK126" s="1"/>
      <c r="GL126" s="1"/>
      <c r="GM126" s="1"/>
      <c r="GN126" s="1"/>
      <c r="GO126" s="1"/>
      <c r="GP126" s="1"/>
      <c r="GQ126" s="1"/>
      <c r="GR126" s="1"/>
      <c r="GS126" s="1"/>
      <c r="GT126" s="1"/>
      <c r="GU126" s="1"/>
      <c r="GV126" s="1"/>
      <c r="GW126" s="1"/>
      <c r="GX126" s="1"/>
      <c r="GY126" s="1"/>
      <c r="GZ126" s="1"/>
      <c r="HA126" s="1"/>
      <c r="HB126" s="1"/>
      <c r="HC126" s="1"/>
      <c r="HD126" s="1"/>
      <c r="HE126" s="1"/>
      <c r="HF126" s="1"/>
      <c r="HG126" s="1"/>
      <c r="HH126" s="1"/>
      <c r="HI126" s="1"/>
      <c r="HJ126" s="1"/>
      <c r="HK126" s="1"/>
      <c r="HL126" s="1"/>
      <c r="HM126" s="1"/>
      <c r="HN126" s="1"/>
      <c r="HO126" s="1"/>
      <c r="HP126" s="1"/>
      <c r="HQ126" s="1"/>
      <c r="HR126" s="1"/>
      <c r="HS126" s="1"/>
      <c r="HT126" s="1"/>
      <c r="HU126" s="1"/>
      <c r="HV126" s="1"/>
      <c r="HW126" s="1"/>
      <c r="HX126" s="1"/>
      <c r="HY126" s="1"/>
      <c r="HZ126" s="1"/>
      <c r="IA126" s="1"/>
      <c r="IB126" s="1"/>
      <c r="IC126" s="1"/>
      <c r="ID126" s="1"/>
      <c r="IE126" s="1"/>
      <c r="IF126" s="1"/>
      <c r="IG126" s="1"/>
      <c r="IH126" s="1"/>
      <c r="II126" s="1"/>
      <c r="IJ126" s="1"/>
      <c r="IK126" s="1"/>
      <c r="IL126" s="1"/>
      <c r="IM126" s="1"/>
      <c r="IN126" s="1"/>
      <c r="IO126" s="1"/>
      <c r="IP126" s="1"/>
      <c r="IQ126" s="1"/>
      <c r="IR126" s="1"/>
      <c r="IS126" s="1"/>
      <c r="IT126" s="1"/>
      <c r="IU126" s="1"/>
      <c r="IV126" s="1"/>
      <c r="IW126" s="1"/>
      <c r="IX126" s="1"/>
      <c r="IY126" s="1"/>
      <c r="IZ126" s="1"/>
      <c r="JA126" s="1"/>
      <c r="JB126" s="1"/>
      <c r="JC126" s="1"/>
      <c r="JD126" s="1"/>
      <c r="JE126" s="1"/>
      <c r="JF126" s="1"/>
      <c r="JG126" s="1"/>
      <c r="JH126" s="1"/>
      <c r="JI126" s="1"/>
      <c r="JJ126" s="1"/>
      <c r="JK126" s="1"/>
      <c r="JL126" s="1"/>
      <c r="JM126" s="1"/>
      <c r="JN126" s="1"/>
      <c r="JO126" s="1"/>
      <c r="JP126" s="1"/>
      <c r="JQ126" s="1"/>
      <c r="JR126" s="1"/>
      <c r="JS126" s="1"/>
      <c r="JT126" s="1"/>
      <c r="JU126" s="1"/>
      <c r="JV126" s="1"/>
      <c r="JW126" s="1"/>
      <c r="JX126" s="1"/>
      <c r="JY126" s="1"/>
      <c r="JZ126" s="1"/>
      <c r="KA126" s="1"/>
      <c r="KB126" s="1"/>
      <c r="KC126" s="1"/>
      <c r="KD126" s="1"/>
      <c r="KE126" s="1"/>
      <c r="KF126" s="1"/>
      <c r="KG126" s="1"/>
      <c r="KH126" s="1"/>
      <c r="KI126" s="1"/>
      <c r="KJ126" s="1"/>
      <c r="KK126" s="1"/>
      <c r="KL126" s="1"/>
      <c r="KM126" s="1"/>
      <c r="KN126" s="1"/>
      <c r="KO126" s="1"/>
      <c r="KP126" s="1"/>
      <c r="KQ126" s="1"/>
      <c r="KR126" s="1"/>
      <c r="KS126" s="1"/>
      <c r="KT126" s="1"/>
      <c r="KU126" s="1"/>
      <c r="KV126" s="1"/>
      <c r="KW126" s="1"/>
      <c r="KX126" s="1"/>
      <c r="KY126" s="1"/>
      <c r="KZ126" s="1"/>
      <c r="LA126" s="1"/>
      <c r="LB126" s="1"/>
      <c r="LC126" s="1"/>
      <c r="LD126" s="1"/>
      <c r="LE126" s="1"/>
      <c r="LF126" s="1"/>
      <c r="LG126" s="1"/>
      <c r="LH126" s="1"/>
      <c r="LI126" s="1"/>
      <c r="LJ126" s="1"/>
      <c r="LK126" s="1"/>
      <c r="LL126" s="1"/>
      <c r="LM126" s="1"/>
      <c r="LN126" s="1"/>
      <c r="LO126" s="1"/>
      <c r="LP126" s="1"/>
      <c r="LQ126" s="1"/>
      <c r="LR126" s="1"/>
      <c r="LS126" s="1"/>
    </row>
    <row r="127" spans="1:331" s="64" customFormat="1" x14ac:dyDescent="0.25">
      <c r="A127" s="64" t="s">
        <v>514</v>
      </c>
      <c r="B127" s="64" t="s">
        <v>515</v>
      </c>
      <c r="C127" s="96" t="s">
        <v>1648</v>
      </c>
      <c r="D127" s="64">
        <v>0</v>
      </c>
      <c r="H127" s="64" t="s">
        <v>516</v>
      </c>
      <c r="I127" s="64" t="s">
        <v>517</v>
      </c>
      <c r="J127" s="64" t="s">
        <v>518</v>
      </c>
      <c r="K127" s="64" t="s">
        <v>517</v>
      </c>
      <c r="L127" s="64">
        <v>1</v>
      </c>
      <c r="M127" s="64" t="s">
        <v>517</v>
      </c>
      <c r="O127" s="64">
        <v>1</v>
      </c>
      <c r="Q127" s="96"/>
      <c r="R127" s="96" t="s">
        <v>110</v>
      </c>
      <c r="T127" s="64">
        <v>21</v>
      </c>
      <c r="W127" s="96">
        <v>21</v>
      </c>
      <c r="X127" s="96"/>
      <c r="Y127" s="96"/>
      <c r="Z127" s="64">
        <v>12</v>
      </c>
      <c r="AA127" s="94" t="b">
        <v>1</v>
      </c>
      <c r="AB127" s="1"/>
      <c r="AC127" s="57" t="s">
        <v>1367</v>
      </c>
      <c r="AD127" s="1"/>
      <c r="AE127" s="57"/>
      <c r="AF127" s="1"/>
      <c r="AG127" s="1"/>
      <c r="AH127" s="1"/>
      <c r="AI127" s="1"/>
      <c r="AJ127" s="1"/>
      <c r="AK127" s="1"/>
      <c r="AL127" s="1"/>
      <c r="AM127" s="1"/>
      <c r="AN127" s="1"/>
      <c r="AO127" s="1"/>
      <c r="AP127" s="1"/>
      <c r="AQ127" s="1"/>
      <c r="AR127" s="1"/>
      <c r="AS127" s="1"/>
      <c r="AT127" s="1"/>
      <c r="AU127" s="1"/>
      <c r="AV127" s="1"/>
      <c r="AW127" s="1"/>
      <c r="AX127" s="1"/>
      <c r="AY127" s="1"/>
      <c r="AZ127" s="1"/>
      <c r="BA127" s="1"/>
      <c r="BB127" s="1"/>
      <c r="BC127" s="1"/>
      <c r="BD127" s="1"/>
      <c r="BE127" s="1"/>
      <c r="BF127" s="1"/>
      <c r="BG127" s="1"/>
      <c r="BH127" s="1"/>
      <c r="BI127" s="1"/>
      <c r="BJ127" s="1"/>
      <c r="BK127" s="1"/>
      <c r="BL127" s="1"/>
      <c r="BM127" s="1"/>
      <c r="BN127" s="1"/>
      <c r="BO127" s="1"/>
      <c r="BP127" s="1"/>
      <c r="BQ127" s="1"/>
      <c r="BR127" s="1"/>
      <c r="BS127" s="1"/>
      <c r="BT127" s="1"/>
      <c r="BU127" s="1"/>
      <c r="BV127" s="1"/>
    </row>
    <row r="128" spans="1:331" s="35" customFormat="1" x14ac:dyDescent="0.25">
      <c r="A128" s="35" t="s">
        <v>519</v>
      </c>
      <c r="B128" s="35" t="s">
        <v>520</v>
      </c>
      <c r="C128" s="96" t="s">
        <v>1648</v>
      </c>
      <c r="D128" s="35">
        <v>1</v>
      </c>
      <c r="E128" s="35" t="s">
        <v>521</v>
      </c>
      <c r="H128" s="35" t="s">
        <v>522</v>
      </c>
      <c r="I128" s="35" t="s">
        <v>521</v>
      </c>
      <c r="J128" s="35" t="s">
        <v>522</v>
      </c>
      <c r="K128" s="35" t="s">
        <v>521</v>
      </c>
      <c r="L128" s="35">
        <v>0</v>
      </c>
      <c r="O128" s="35">
        <v>1</v>
      </c>
      <c r="Q128" s="96"/>
      <c r="R128" s="96" t="s">
        <v>523</v>
      </c>
      <c r="S128" s="35">
        <v>14</v>
      </c>
      <c r="T128" s="35">
        <v>12</v>
      </c>
      <c r="U128" s="35">
        <v>10</v>
      </c>
      <c r="V128" s="35">
        <v>15</v>
      </c>
      <c r="W128" s="96">
        <v>12</v>
      </c>
      <c r="X128" s="96"/>
      <c r="Y128" s="96"/>
      <c r="Z128" s="35">
        <v>7</v>
      </c>
      <c r="AA128" s="94" t="b">
        <v>1</v>
      </c>
      <c r="AB128" s="1"/>
      <c r="AC128" s="57" t="s">
        <v>1412</v>
      </c>
      <c r="AD128" s="1"/>
      <c r="AE128" s="57"/>
      <c r="AF128" s="1"/>
      <c r="AG128" s="1"/>
      <c r="AH128" s="1"/>
      <c r="AI128" s="1"/>
      <c r="AJ128" s="1"/>
      <c r="AK128" s="1"/>
      <c r="AL128" s="1"/>
      <c r="AM128" s="1"/>
      <c r="AN128" s="1"/>
      <c r="AO128" s="1"/>
      <c r="AP128" s="1"/>
      <c r="AQ128" s="1"/>
      <c r="AR128" s="1"/>
      <c r="AS128" s="1"/>
      <c r="AT128" s="1"/>
      <c r="AU128" s="1"/>
      <c r="AV128" s="1"/>
      <c r="AW128" s="1"/>
      <c r="AX128" s="1"/>
      <c r="AY128" s="1"/>
      <c r="AZ128" s="1"/>
      <c r="BA128" s="1"/>
      <c r="BB128" s="1"/>
      <c r="BC128" s="1"/>
      <c r="BD128" s="1"/>
      <c r="BE128" s="1"/>
      <c r="BF128" s="1"/>
      <c r="BG128" s="1"/>
      <c r="BH128" s="1"/>
      <c r="BI128" s="1"/>
      <c r="BJ128" s="1"/>
      <c r="BK128" s="1"/>
      <c r="BL128" s="1"/>
      <c r="BM128" s="1"/>
      <c r="BN128" s="1"/>
      <c r="BO128" s="1"/>
      <c r="BP128" s="1"/>
      <c r="BQ128" s="1"/>
      <c r="BR128" s="1"/>
      <c r="BS128" s="1"/>
      <c r="BT128" s="1"/>
      <c r="BU128" s="1"/>
      <c r="BV128" s="1"/>
      <c r="BW128" s="1"/>
      <c r="BX128" s="1"/>
      <c r="BY128" s="1"/>
      <c r="BZ128" s="1"/>
      <c r="CA128" s="1"/>
      <c r="CB128" s="1"/>
      <c r="CC128" s="1"/>
      <c r="CD128" s="1"/>
      <c r="CE128" s="1"/>
      <c r="CF128" s="1"/>
      <c r="CG128" s="1"/>
      <c r="CH128" s="1"/>
      <c r="CI128" s="1"/>
      <c r="CJ128" s="1"/>
      <c r="CK128" s="1"/>
      <c r="CL128" s="1"/>
      <c r="CM128" s="1"/>
      <c r="CN128" s="1"/>
      <c r="CO128" s="1"/>
      <c r="CP128" s="1"/>
      <c r="CQ128" s="1"/>
      <c r="CR128" s="1"/>
      <c r="CS128" s="1"/>
      <c r="CT128" s="1"/>
      <c r="CU128" s="1"/>
      <c r="CV128" s="1"/>
      <c r="CW128" s="1"/>
      <c r="CX128" s="1"/>
      <c r="CY128" s="1"/>
      <c r="CZ128" s="1"/>
      <c r="DA128" s="1"/>
      <c r="DB128" s="1"/>
      <c r="DC128" s="1"/>
      <c r="DD128" s="1"/>
      <c r="DE128" s="1"/>
      <c r="DF128" s="1"/>
      <c r="DG128" s="1"/>
      <c r="DH128" s="1"/>
      <c r="DI128" s="1"/>
      <c r="DJ128" s="1"/>
      <c r="DK128" s="1"/>
      <c r="DL128" s="1"/>
      <c r="DM128" s="1"/>
      <c r="DN128" s="1"/>
      <c r="DO128" s="1"/>
      <c r="DP128" s="1"/>
      <c r="DQ128" s="1"/>
      <c r="DR128" s="1"/>
      <c r="DS128" s="1"/>
      <c r="DT128" s="1"/>
      <c r="DU128" s="1"/>
      <c r="DV128" s="1"/>
      <c r="DW128" s="1"/>
      <c r="DX128" s="1"/>
      <c r="DY128" s="1"/>
      <c r="DZ128" s="1"/>
      <c r="EA128" s="1"/>
      <c r="EB128" s="1"/>
      <c r="EC128" s="1"/>
      <c r="ED128" s="1"/>
      <c r="EE128" s="1"/>
      <c r="EF128" s="1"/>
      <c r="EG128" s="1"/>
      <c r="EH128" s="1"/>
      <c r="EI128" s="1"/>
      <c r="EJ128" s="1"/>
      <c r="EK128" s="1"/>
      <c r="EL128" s="1"/>
      <c r="EM128" s="1"/>
      <c r="EN128" s="1"/>
      <c r="EO128" s="1"/>
      <c r="EP128" s="1"/>
      <c r="EQ128" s="1"/>
      <c r="ER128" s="1"/>
      <c r="ES128" s="1"/>
      <c r="ET128" s="1"/>
      <c r="EU128" s="1"/>
      <c r="EV128" s="1"/>
      <c r="EW128" s="1"/>
      <c r="EX128" s="1"/>
      <c r="EY128" s="1"/>
      <c r="EZ128" s="1"/>
      <c r="FA128" s="1"/>
      <c r="FB128" s="1"/>
      <c r="FC128" s="1"/>
      <c r="FD128" s="1"/>
      <c r="FE128" s="1"/>
      <c r="FF128" s="1"/>
      <c r="FG128" s="1"/>
      <c r="FH128" s="1"/>
      <c r="FI128" s="1"/>
      <c r="FJ128" s="1"/>
      <c r="FK128" s="1"/>
      <c r="FL128" s="1"/>
      <c r="FM128" s="1"/>
      <c r="FN128" s="1"/>
      <c r="FO128" s="1"/>
      <c r="FP128" s="1"/>
      <c r="FQ128" s="1"/>
      <c r="FR128" s="1"/>
      <c r="FS128" s="1"/>
      <c r="FT128" s="1"/>
      <c r="FU128" s="1"/>
      <c r="FV128" s="1"/>
      <c r="FW128" s="1"/>
      <c r="FX128" s="1"/>
      <c r="FY128" s="1"/>
      <c r="FZ128" s="1"/>
      <c r="GA128" s="1"/>
      <c r="GB128" s="1"/>
      <c r="GC128" s="1"/>
      <c r="GD128" s="1"/>
      <c r="GE128" s="1"/>
      <c r="GF128" s="1"/>
      <c r="GG128" s="1"/>
      <c r="GH128" s="1"/>
      <c r="GI128" s="1"/>
      <c r="GJ128" s="1"/>
      <c r="GK128" s="1"/>
      <c r="GL128" s="1"/>
      <c r="GM128" s="1"/>
      <c r="GN128" s="1"/>
      <c r="GO128" s="1"/>
      <c r="GP128" s="1"/>
      <c r="GQ128" s="1"/>
      <c r="GR128" s="1"/>
      <c r="GS128" s="1"/>
      <c r="GT128" s="1"/>
      <c r="GU128" s="1"/>
      <c r="GV128" s="1"/>
      <c r="GW128" s="1"/>
      <c r="GX128" s="1"/>
      <c r="GY128" s="1"/>
      <c r="GZ128" s="1"/>
      <c r="HA128" s="1"/>
      <c r="HB128" s="1"/>
      <c r="HC128" s="1"/>
      <c r="HD128" s="1"/>
      <c r="HE128" s="1"/>
      <c r="HF128" s="1"/>
      <c r="HG128" s="1"/>
      <c r="HH128" s="1"/>
      <c r="HI128" s="1"/>
      <c r="HJ128" s="1"/>
      <c r="HK128" s="1"/>
      <c r="HL128" s="1"/>
      <c r="HM128" s="1"/>
      <c r="HN128" s="1"/>
      <c r="HO128" s="1"/>
      <c r="HP128" s="1"/>
      <c r="HQ128" s="1"/>
      <c r="HR128" s="1"/>
      <c r="HS128" s="1"/>
      <c r="HT128" s="1"/>
      <c r="HU128" s="1"/>
      <c r="HV128" s="1"/>
      <c r="HW128" s="1"/>
      <c r="HX128" s="1"/>
      <c r="HY128" s="1"/>
      <c r="HZ128" s="1"/>
      <c r="IA128" s="1"/>
      <c r="IB128" s="1"/>
      <c r="IC128" s="1"/>
      <c r="ID128" s="1"/>
      <c r="IE128" s="1"/>
      <c r="IF128" s="1"/>
      <c r="IG128" s="1"/>
      <c r="IH128" s="1"/>
      <c r="II128" s="1"/>
      <c r="IJ128" s="1"/>
      <c r="IK128" s="1"/>
      <c r="IL128" s="1"/>
      <c r="IM128" s="1"/>
      <c r="IN128" s="1"/>
      <c r="IO128" s="1"/>
      <c r="IP128" s="1"/>
      <c r="IQ128" s="1"/>
      <c r="IR128" s="1"/>
      <c r="IS128" s="1"/>
      <c r="IT128" s="1"/>
      <c r="IU128" s="1"/>
      <c r="IV128" s="1"/>
      <c r="IW128" s="1"/>
      <c r="IX128" s="1"/>
      <c r="IY128" s="1"/>
      <c r="IZ128" s="1"/>
      <c r="JA128" s="1"/>
      <c r="JB128" s="1"/>
      <c r="JC128" s="1"/>
      <c r="JD128" s="1"/>
      <c r="JE128" s="1"/>
      <c r="JF128" s="1"/>
      <c r="JG128" s="1"/>
      <c r="JH128" s="1"/>
      <c r="JI128" s="1"/>
      <c r="JJ128" s="1"/>
      <c r="JK128" s="1"/>
      <c r="JL128" s="1"/>
      <c r="JM128" s="1"/>
      <c r="JN128" s="1"/>
      <c r="JO128" s="1"/>
      <c r="JP128" s="1"/>
      <c r="JQ128" s="1"/>
      <c r="JR128" s="1"/>
      <c r="JS128" s="1"/>
      <c r="JT128" s="1"/>
      <c r="JU128" s="1"/>
      <c r="JV128" s="1"/>
      <c r="JW128" s="1"/>
      <c r="JX128" s="1"/>
      <c r="JY128" s="1"/>
      <c r="JZ128" s="1"/>
      <c r="KA128" s="1"/>
      <c r="KB128" s="1"/>
      <c r="KC128" s="1"/>
      <c r="KD128" s="1"/>
      <c r="KE128" s="1"/>
      <c r="KF128" s="1"/>
      <c r="KG128" s="1"/>
      <c r="KH128" s="1"/>
      <c r="KI128" s="1"/>
      <c r="KJ128" s="1"/>
      <c r="KK128" s="1"/>
      <c r="KL128" s="1"/>
      <c r="KM128" s="1"/>
      <c r="KN128" s="1"/>
      <c r="KO128" s="1"/>
      <c r="KP128" s="1"/>
      <c r="KQ128" s="1"/>
      <c r="KR128" s="1"/>
      <c r="KS128" s="1"/>
      <c r="KT128" s="1"/>
      <c r="KU128" s="1"/>
      <c r="KV128" s="1"/>
      <c r="KW128" s="1"/>
      <c r="KX128" s="1"/>
      <c r="KY128" s="1"/>
      <c r="KZ128" s="1"/>
      <c r="LA128" s="1"/>
      <c r="LB128" s="1"/>
      <c r="LC128" s="1"/>
      <c r="LD128" s="1"/>
      <c r="LE128" s="1"/>
      <c r="LF128" s="1"/>
      <c r="LG128" s="1"/>
      <c r="LH128" s="1"/>
      <c r="LI128" s="1"/>
      <c r="LJ128" s="1"/>
      <c r="LK128" s="1"/>
      <c r="LL128" s="1"/>
      <c r="LM128" s="1"/>
      <c r="LN128" s="1"/>
      <c r="LO128" s="1"/>
      <c r="LP128" s="1"/>
      <c r="LQ128" s="1"/>
      <c r="LR128" s="1"/>
      <c r="LS128" s="1"/>
    </row>
    <row r="129" spans="1:331" s="52" customFormat="1" x14ac:dyDescent="0.25">
      <c r="A129" s="52" t="s">
        <v>524</v>
      </c>
      <c r="B129" s="56" t="s">
        <v>525</v>
      </c>
      <c r="C129" s="94" t="s">
        <v>1648</v>
      </c>
      <c r="D129" s="52">
        <v>1</v>
      </c>
      <c r="E129" s="52" t="s">
        <v>526</v>
      </c>
      <c r="H129" s="52" t="s">
        <v>527</v>
      </c>
      <c r="I129" s="52" t="s">
        <v>526</v>
      </c>
      <c r="J129" s="52" t="s">
        <v>527</v>
      </c>
      <c r="K129" s="52" t="s">
        <v>526</v>
      </c>
      <c r="L129" s="52">
        <v>1</v>
      </c>
      <c r="M129" s="52" t="s">
        <v>344</v>
      </c>
      <c r="O129" s="52">
        <v>1</v>
      </c>
      <c r="P129" s="52" t="s">
        <v>347</v>
      </c>
      <c r="Q129" s="96" t="s">
        <v>918</v>
      </c>
      <c r="R129" s="96"/>
      <c r="S129" s="52">
        <v>14</v>
      </c>
      <c r="U129" s="52">
        <v>8</v>
      </c>
      <c r="W129" s="96">
        <v>14</v>
      </c>
      <c r="X129" s="96"/>
      <c r="Y129" s="96"/>
      <c r="Z129" s="52">
        <v>10</v>
      </c>
      <c r="AA129" s="94" t="b">
        <v>1</v>
      </c>
      <c r="AB129" s="1"/>
      <c r="AC129" s="57" t="s">
        <v>1909</v>
      </c>
      <c r="AD129" s="1"/>
      <c r="AE129" s="57"/>
      <c r="AF129" s="1"/>
      <c r="AG129" s="1"/>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c r="BG129" s="1"/>
      <c r="BH129" s="1"/>
      <c r="BI129" s="1"/>
      <c r="BJ129" s="1"/>
      <c r="BK129" s="1"/>
      <c r="BL129" s="1"/>
      <c r="BM129" s="1"/>
      <c r="BN129" s="1"/>
      <c r="BO129" s="1"/>
      <c r="BP129" s="1"/>
      <c r="BQ129" s="1"/>
      <c r="BR129" s="1"/>
      <c r="BS129" s="1"/>
      <c r="BT129" s="1"/>
      <c r="BU129" s="1"/>
      <c r="BV129" s="1"/>
      <c r="BW129" s="1"/>
      <c r="BX129" s="1"/>
      <c r="BY129" s="1"/>
      <c r="BZ129" s="1"/>
      <c r="CA129" s="1"/>
      <c r="CB129" s="1"/>
      <c r="CC129" s="1"/>
      <c r="CD129" s="1"/>
      <c r="CE129" s="1"/>
      <c r="CF129" s="1"/>
      <c r="CG129" s="1"/>
      <c r="CH129" s="1"/>
      <c r="CI129" s="1"/>
      <c r="CJ129" s="1"/>
      <c r="CK129" s="1"/>
      <c r="CL129" s="1"/>
      <c r="CM129" s="1"/>
      <c r="CN129" s="1"/>
      <c r="CO129" s="1"/>
      <c r="CP129" s="1"/>
      <c r="CQ129" s="1"/>
      <c r="CR129" s="1"/>
      <c r="CS129" s="1"/>
      <c r="CT129" s="1"/>
      <c r="CU129" s="1"/>
      <c r="CV129" s="1"/>
      <c r="CW129" s="1"/>
      <c r="CX129" s="1"/>
      <c r="CY129" s="1"/>
      <c r="CZ129" s="1"/>
      <c r="DA129" s="1"/>
      <c r="DB129" s="1"/>
      <c r="DC129" s="1"/>
      <c r="DD129" s="1"/>
      <c r="DE129" s="1"/>
      <c r="DF129" s="1"/>
      <c r="DG129" s="1"/>
      <c r="DH129" s="1"/>
      <c r="DI129" s="1"/>
      <c r="DJ129" s="1"/>
      <c r="DK129" s="1"/>
      <c r="DL129" s="1"/>
      <c r="DM129" s="1"/>
      <c r="DN129" s="1"/>
      <c r="DO129" s="1"/>
      <c r="DP129" s="1"/>
      <c r="DQ129" s="1"/>
      <c r="DR129" s="1"/>
      <c r="DS129" s="1"/>
      <c r="DT129" s="1"/>
      <c r="DU129" s="1"/>
      <c r="DV129" s="1"/>
      <c r="DW129" s="1"/>
      <c r="DX129" s="1"/>
      <c r="DY129" s="1"/>
      <c r="DZ129" s="1"/>
      <c r="EA129" s="1"/>
      <c r="EB129" s="1"/>
      <c r="EC129" s="1"/>
      <c r="ED129" s="1"/>
      <c r="EE129" s="1"/>
      <c r="EF129" s="1"/>
      <c r="EG129" s="1"/>
      <c r="EH129" s="1"/>
      <c r="EI129" s="1"/>
      <c r="EJ129" s="1"/>
      <c r="EK129" s="1"/>
      <c r="EL129" s="1"/>
      <c r="EM129" s="1"/>
      <c r="EN129" s="1"/>
      <c r="EO129" s="1"/>
      <c r="EP129" s="1"/>
      <c r="EQ129" s="1"/>
      <c r="ER129" s="1"/>
      <c r="ES129" s="1"/>
      <c r="ET129" s="1"/>
      <c r="EU129" s="1"/>
      <c r="EV129" s="1"/>
      <c r="EW129" s="1"/>
      <c r="EX129" s="1"/>
      <c r="EY129" s="1"/>
      <c r="EZ129" s="1"/>
      <c r="FA129" s="1"/>
      <c r="FB129" s="1"/>
      <c r="FC129" s="1"/>
      <c r="FD129" s="1"/>
      <c r="FE129" s="1"/>
      <c r="FF129" s="1"/>
      <c r="FG129" s="1"/>
      <c r="FH129" s="1"/>
      <c r="FI129" s="1"/>
      <c r="FJ129" s="1"/>
      <c r="FK129" s="1"/>
      <c r="FL129" s="1"/>
      <c r="FM129" s="1"/>
      <c r="FN129" s="1"/>
      <c r="FO129" s="1"/>
      <c r="FP129" s="1"/>
      <c r="FQ129" s="1"/>
      <c r="FR129" s="1"/>
      <c r="FS129" s="1"/>
      <c r="FT129" s="1"/>
      <c r="FU129" s="1"/>
      <c r="FV129" s="1"/>
      <c r="FW129" s="1"/>
      <c r="FX129" s="1"/>
      <c r="FY129" s="1"/>
      <c r="FZ129" s="1"/>
      <c r="GA129" s="1"/>
      <c r="GB129" s="1"/>
      <c r="GC129" s="1"/>
      <c r="GD129" s="1"/>
      <c r="GE129" s="1"/>
      <c r="GF129" s="1"/>
      <c r="GG129" s="1"/>
      <c r="GH129" s="1"/>
      <c r="GI129" s="1"/>
      <c r="GJ129" s="1"/>
      <c r="GK129" s="1"/>
      <c r="GL129" s="1"/>
      <c r="GM129" s="1"/>
      <c r="GN129" s="1"/>
      <c r="GO129" s="1"/>
      <c r="GP129" s="1"/>
      <c r="GQ129" s="1"/>
      <c r="GR129" s="1"/>
      <c r="GS129" s="1"/>
      <c r="GT129" s="1"/>
      <c r="GU129" s="1"/>
      <c r="GV129" s="1"/>
      <c r="GW129" s="1"/>
      <c r="GX129" s="1"/>
      <c r="GY129" s="1"/>
      <c r="GZ129" s="1"/>
      <c r="HA129" s="1"/>
      <c r="HB129" s="1"/>
      <c r="HC129" s="1"/>
      <c r="HD129" s="1"/>
      <c r="HE129" s="1"/>
      <c r="HF129" s="1"/>
      <c r="HG129" s="1"/>
      <c r="HH129" s="1"/>
      <c r="HI129" s="1"/>
      <c r="HJ129" s="1"/>
      <c r="HK129" s="1"/>
      <c r="HL129" s="1"/>
      <c r="HM129" s="1"/>
      <c r="HN129" s="1"/>
      <c r="HO129" s="1"/>
      <c r="HP129" s="1"/>
      <c r="HQ129" s="1"/>
      <c r="HR129" s="1"/>
      <c r="HS129" s="1"/>
      <c r="HT129" s="1"/>
      <c r="HU129" s="1"/>
      <c r="HV129" s="1"/>
      <c r="HW129" s="1"/>
      <c r="HX129" s="1"/>
      <c r="HY129" s="1"/>
      <c r="HZ129" s="1"/>
      <c r="IA129" s="1"/>
      <c r="IB129" s="1"/>
      <c r="IC129" s="1"/>
      <c r="ID129" s="1"/>
      <c r="IE129" s="1"/>
      <c r="IF129" s="1"/>
      <c r="IG129" s="1"/>
      <c r="IH129" s="1"/>
      <c r="II129" s="1"/>
      <c r="IJ129" s="1"/>
      <c r="IK129" s="1"/>
      <c r="IL129" s="1"/>
      <c r="IM129" s="1"/>
      <c r="IN129" s="1"/>
      <c r="IO129" s="1"/>
      <c r="IP129" s="1"/>
      <c r="IQ129" s="1"/>
      <c r="IR129" s="1"/>
      <c r="IS129" s="1"/>
      <c r="IT129" s="1"/>
      <c r="IU129" s="1"/>
      <c r="IV129" s="1"/>
      <c r="IW129" s="1"/>
      <c r="IX129" s="1"/>
      <c r="IY129" s="1"/>
      <c r="IZ129" s="1"/>
      <c r="JA129" s="1"/>
      <c r="JB129" s="1"/>
      <c r="JC129" s="1"/>
      <c r="JD129" s="1"/>
      <c r="JE129" s="1"/>
      <c r="JF129" s="1"/>
      <c r="JG129" s="1"/>
      <c r="JH129" s="1"/>
      <c r="JI129" s="1"/>
      <c r="JJ129" s="1"/>
      <c r="JK129" s="1"/>
      <c r="JL129" s="1"/>
      <c r="JM129" s="1"/>
      <c r="JN129" s="1"/>
      <c r="JO129" s="1"/>
      <c r="JP129" s="1"/>
      <c r="JQ129" s="1"/>
      <c r="JR129" s="1"/>
      <c r="JS129" s="1"/>
      <c r="JT129" s="1"/>
      <c r="JU129" s="1"/>
      <c r="JV129" s="1"/>
      <c r="JW129" s="1"/>
      <c r="JX129" s="1"/>
      <c r="JY129" s="1"/>
      <c r="JZ129" s="1"/>
      <c r="KA129" s="1"/>
      <c r="KB129" s="1"/>
      <c r="KC129" s="1"/>
      <c r="KD129" s="1"/>
      <c r="KE129" s="1"/>
      <c r="KF129" s="1"/>
      <c r="KG129" s="1"/>
      <c r="KH129" s="1"/>
      <c r="KI129" s="1"/>
      <c r="KJ129" s="1"/>
      <c r="KK129" s="1"/>
      <c r="KL129" s="1"/>
      <c r="KM129" s="1"/>
      <c r="KN129" s="1"/>
      <c r="KO129" s="1"/>
      <c r="KP129" s="1"/>
      <c r="KQ129" s="1"/>
      <c r="KR129" s="1"/>
      <c r="KS129" s="1"/>
      <c r="KT129" s="1"/>
      <c r="KU129" s="1"/>
      <c r="KV129" s="1"/>
      <c r="KW129" s="1"/>
      <c r="KX129" s="1"/>
      <c r="KY129" s="1"/>
      <c r="KZ129" s="1"/>
      <c r="LA129" s="1"/>
      <c r="LB129" s="1"/>
      <c r="LC129" s="1"/>
      <c r="LD129" s="1"/>
      <c r="LE129" s="1"/>
      <c r="LF129" s="1"/>
      <c r="LG129" s="1"/>
      <c r="LH129" s="1"/>
      <c r="LI129" s="1"/>
      <c r="LJ129" s="1"/>
      <c r="LK129" s="1"/>
      <c r="LL129" s="1"/>
      <c r="LM129" s="1"/>
      <c r="LN129" s="1"/>
      <c r="LO129" s="1"/>
      <c r="LP129" s="1"/>
      <c r="LQ129" s="1"/>
      <c r="LR129" s="1"/>
      <c r="LS129" s="1"/>
    </row>
    <row r="130" spans="1:331" s="25" customFormat="1" x14ac:dyDescent="0.25">
      <c r="A130" s="25" t="s">
        <v>528</v>
      </c>
      <c r="B130" s="29" t="s">
        <v>529</v>
      </c>
      <c r="C130" s="94" t="s">
        <v>1648</v>
      </c>
      <c r="D130" s="25">
        <v>0</v>
      </c>
      <c r="H130" s="25" t="s">
        <v>344</v>
      </c>
      <c r="I130" s="25" t="s">
        <v>530</v>
      </c>
      <c r="J130" s="25" t="s">
        <v>344</v>
      </c>
      <c r="K130" s="25" t="s">
        <v>530</v>
      </c>
      <c r="L130" s="25">
        <v>0</v>
      </c>
      <c r="O130" s="25">
        <v>0</v>
      </c>
      <c r="Q130" s="96" t="s">
        <v>924</v>
      </c>
      <c r="R130" s="96"/>
      <c r="S130" s="25">
        <v>4</v>
      </c>
      <c r="V130" s="25">
        <v>6</v>
      </c>
      <c r="W130" s="96">
        <v>4</v>
      </c>
      <c r="X130" s="96"/>
      <c r="Y130" s="96"/>
      <c r="Z130" s="25">
        <v>5</v>
      </c>
      <c r="AA130" s="94" t="b">
        <v>1</v>
      </c>
      <c r="AB130" s="1"/>
      <c r="AC130" s="57" t="s">
        <v>1298</v>
      </c>
      <c r="AD130" s="1"/>
      <c r="AE130" s="57"/>
      <c r="AF130" s="1"/>
      <c r="AG130" s="1"/>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c r="BG130" s="1"/>
      <c r="BH130" s="1"/>
      <c r="BI130" s="1"/>
      <c r="BJ130" s="1"/>
      <c r="BK130" s="1"/>
      <c r="BL130" s="1"/>
      <c r="BM130" s="1"/>
      <c r="BN130" s="1"/>
      <c r="BO130" s="1"/>
      <c r="BP130" s="1"/>
      <c r="BQ130" s="1"/>
      <c r="BR130" s="1"/>
      <c r="BS130" s="1"/>
      <c r="BT130" s="1"/>
      <c r="BU130" s="1"/>
      <c r="BV130" s="1"/>
      <c r="BW130" s="1"/>
      <c r="BX130" s="1"/>
      <c r="BY130" s="1"/>
      <c r="BZ130" s="1"/>
      <c r="CA130" s="1"/>
      <c r="CB130" s="1"/>
      <c r="CC130" s="1"/>
      <c r="CD130" s="1"/>
      <c r="CE130" s="1"/>
      <c r="CF130" s="1"/>
      <c r="CG130" s="1"/>
      <c r="CH130" s="1"/>
      <c r="CI130" s="1"/>
      <c r="CJ130" s="1"/>
      <c r="CK130" s="1"/>
      <c r="CL130" s="1"/>
      <c r="CM130" s="1"/>
      <c r="CN130" s="1"/>
      <c r="CO130" s="1"/>
      <c r="CP130" s="1"/>
      <c r="CQ130" s="1"/>
      <c r="CR130" s="1"/>
      <c r="CS130" s="1"/>
      <c r="CT130" s="1"/>
      <c r="CU130" s="1"/>
      <c r="CV130" s="1"/>
      <c r="CW130" s="1"/>
      <c r="CX130" s="1"/>
      <c r="CY130" s="1"/>
      <c r="CZ130" s="1"/>
      <c r="DA130" s="1"/>
      <c r="DB130" s="1"/>
      <c r="DC130" s="1"/>
      <c r="DD130" s="1"/>
      <c r="DE130" s="1"/>
      <c r="DF130" s="1"/>
      <c r="DG130" s="1"/>
      <c r="DH130" s="1"/>
      <c r="DI130" s="1"/>
      <c r="DJ130" s="1"/>
      <c r="DK130" s="1"/>
      <c r="DL130" s="1"/>
      <c r="DM130" s="1"/>
      <c r="DN130" s="1"/>
      <c r="DO130" s="1"/>
      <c r="DP130" s="1"/>
      <c r="DQ130" s="1"/>
      <c r="DR130" s="1"/>
      <c r="DS130" s="1"/>
      <c r="DT130" s="1"/>
      <c r="DU130" s="1"/>
      <c r="DV130" s="1"/>
      <c r="DW130" s="1"/>
      <c r="DX130" s="1"/>
      <c r="DY130" s="1"/>
      <c r="DZ130" s="1"/>
      <c r="EA130" s="1"/>
      <c r="EB130" s="1"/>
      <c r="EC130" s="1"/>
      <c r="ED130" s="1"/>
      <c r="EE130" s="1"/>
      <c r="EF130" s="1"/>
      <c r="EG130" s="1"/>
      <c r="EH130" s="1"/>
      <c r="EI130" s="1"/>
      <c r="EJ130" s="1"/>
      <c r="EK130" s="1"/>
      <c r="EL130" s="1"/>
      <c r="EM130" s="1"/>
      <c r="EN130" s="1"/>
      <c r="EO130" s="1"/>
      <c r="EP130" s="1"/>
      <c r="EQ130" s="1"/>
      <c r="ER130" s="1"/>
      <c r="ES130" s="1"/>
      <c r="ET130" s="1"/>
      <c r="EU130" s="1"/>
      <c r="EV130" s="1"/>
      <c r="EW130" s="1"/>
      <c r="EX130" s="1"/>
      <c r="EY130" s="1"/>
      <c r="EZ130" s="1"/>
      <c r="FA130" s="1"/>
      <c r="FB130" s="1"/>
      <c r="FC130" s="1"/>
      <c r="FD130" s="1"/>
      <c r="FE130" s="1"/>
      <c r="FF130" s="1"/>
      <c r="FG130" s="1"/>
      <c r="FH130" s="1"/>
      <c r="FI130" s="1"/>
      <c r="FJ130" s="1"/>
      <c r="FK130" s="1"/>
      <c r="FL130" s="1"/>
      <c r="FM130" s="1"/>
      <c r="FN130" s="1"/>
      <c r="FO130" s="1"/>
      <c r="FP130" s="1"/>
      <c r="FQ130" s="1"/>
      <c r="FR130" s="1"/>
      <c r="FS130" s="1"/>
      <c r="FT130" s="1"/>
      <c r="FU130" s="1"/>
      <c r="FV130" s="1"/>
      <c r="FW130" s="1"/>
      <c r="FX130" s="1"/>
      <c r="FY130" s="1"/>
      <c r="FZ130" s="1"/>
      <c r="GA130" s="1"/>
      <c r="GB130" s="1"/>
      <c r="GC130" s="1"/>
      <c r="GD130" s="1"/>
      <c r="GE130" s="1"/>
      <c r="GF130" s="1"/>
      <c r="GG130" s="1"/>
      <c r="GH130" s="1"/>
      <c r="GI130" s="1"/>
      <c r="GJ130" s="1"/>
      <c r="GK130" s="1"/>
      <c r="GL130" s="1"/>
      <c r="GM130" s="1"/>
      <c r="GN130" s="1"/>
      <c r="GO130" s="1"/>
      <c r="GP130" s="1"/>
      <c r="GQ130" s="1"/>
      <c r="GR130" s="1"/>
      <c r="GS130" s="1"/>
      <c r="GT130" s="1"/>
      <c r="GU130" s="1"/>
      <c r="GV130" s="1"/>
      <c r="GW130" s="1"/>
      <c r="GX130" s="1"/>
      <c r="GY130" s="1"/>
      <c r="GZ130" s="1"/>
      <c r="HA130" s="1"/>
      <c r="HB130" s="1"/>
      <c r="HC130" s="1"/>
      <c r="HD130" s="1"/>
      <c r="HE130" s="1"/>
      <c r="HF130" s="1"/>
      <c r="HG130" s="1"/>
      <c r="HH130" s="1"/>
      <c r="HI130" s="1"/>
      <c r="HJ130" s="1"/>
      <c r="HK130" s="1"/>
      <c r="HL130" s="1"/>
      <c r="HM130" s="1"/>
      <c r="HN130" s="1"/>
      <c r="HO130" s="1"/>
      <c r="HP130" s="1"/>
      <c r="HQ130" s="1"/>
      <c r="HR130" s="1"/>
      <c r="HS130" s="1"/>
      <c r="HT130" s="1"/>
      <c r="HU130" s="1"/>
      <c r="HV130" s="1"/>
      <c r="HW130" s="1"/>
      <c r="HX130" s="1"/>
      <c r="HY130" s="1"/>
      <c r="HZ130" s="1"/>
      <c r="IA130" s="1"/>
      <c r="IB130" s="1"/>
      <c r="IC130" s="1"/>
      <c r="ID130" s="1"/>
      <c r="IE130" s="1"/>
      <c r="IF130" s="1"/>
      <c r="IG130" s="1"/>
      <c r="IH130" s="1"/>
      <c r="II130" s="1"/>
      <c r="IJ130" s="1"/>
      <c r="IK130" s="1"/>
      <c r="IL130" s="1"/>
      <c r="IM130" s="1"/>
      <c r="IN130" s="1"/>
      <c r="IO130" s="1"/>
      <c r="IP130" s="1"/>
      <c r="IQ130" s="1"/>
      <c r="IR130" s="1"/>
      <c r="IS130" s="1"/>
      <c r="IT130" s="1"/>
      <c r="IU130" s="1"/>
      <c r="IV130" s="1"/>
      <c r="IW130" s="1"/>
      <c r="IX130" s="1"/>
      <c r="IY130" s="1"/>
      <c r="IZ130" s="1"/>
      <c r="JA130" s="1"/>
      <c r="JB130" s="1"/>
      <c r="JC130" s="1"/>
      <c r="JD130" s="1"/>
      <c r="JE130" s="1"/>
      <c r="JF130" s="1"/>
      <c r="JG130" s="1"/>
      <c r="JH130" s="1"/>
      <c r="JI130" s="1"/>
      <c r="JJ130" s="1"/>
      <c r="JK130" s="1"/>
      <c r="JL130" s="1"/>
      <c r="JM130" s="1"/>
      <c r="JN130" s="1"/>
      <c r="JO130" s="1"/>
      <c r="JP130" s="1"/>
      <c r="JQ130" s="1"/>
      <c r="JR130" s="1"/>
      <c r="JS130" s="1"/>
      <c r="JT130" s="1"/>
      <c r="JU130" s="1"/>
      <c r="JV130" s="1"/>
      <c r="JW130" s="1"/>
      <c r="JX130" s="1"/>
      <c r="JY130" s="1"/>
      <c r="JZ130" s="1"/>
      <c r="KA130" s="1"/>
      <c r="KB130" s="1"/>
      <c r="KC130" s="1"/>
      <c r="KD130" s="1"/>
      <c r="KE130" s="1"/>
      <c r="KF130" s="1"/>
      <c r="KG130" s="1"/>
      <c r="KH130" s="1"/>
      <c r="KI130" s="1"/>
      <c r="KJ130" s="1"/>
      <c r="KK130" s="1"/>
      <c r="KL130" s="1"/>
      <c r="KM130" s="1"/>
      <c r="KN130" s="1"/>
      <c r="KO130" s="1"/>
      <c r="KP130" s="1"/>
      <c r="KQ130" s="1"/>
      <c r="KR130" s="1"/>
      <c r="KS130" s="1"/>
      <c r="KT130" s="1"/>
      <c r="KU130" s="1"/>
      <c r="KV130" s="1"/>
      <c r="KW130" s="1"/>
      <c r="KX130" s="1"/>
      <c r="KY130" s="1"/>
      <c r="KZ130" s="1"/>
      <c r="LA130" s="1"/>
      <c r="LB130" s="1"/>
      <c r="LC130" s="1"/>
      <c r="LD130" s="1"/>
      <c r="LE130" s="1"/>
      <c r="LF130" s="1"/>
      <c r="LG130" s="1"/>
      <c r="LH130" s="1"/>
      <c r="LI130" s="1"/>
      <c r="LJ130" s="1"/>
      <c r="LK130" s="1"/>
      <c r="LL130" s="1"/>
      <c r="LM130" s="1"/>
      <c r="LN130" s="1"/>
      <c r="LO130" s="1"/>
      <c r="LP130" s="1"/>
      <c r="LQ130" s="1"/>
      <c r="LR130" s="1"/>
      <c r="LS130" s="1"/>
    </row>
    <row r="131" spans="1:331" s="30" customFormat="1" x14ac:dyDescent="0.25">
      <c r="A131" s="30" t="s">
        <v>531</v>
      </c>
      <c r="B131" s="30" t="s">
        <v>532</v>
      </c>
      <c r="C131" s="96" t="s">
        <v>1648</v>
      </c>
      <c r="D131" s="30">
        <v>1</v>
      </c>
      <c r="E131" s="80">
        <v>44523</v>
      </c>
      <c r="H131" s="30" t="s">
        <v>344</v>
      </c>
      <c r="I131" s="30" t="s">
        <v>533</v>
      </c>
      <c r="J131" s="30" t="s">
        <v>344</v>
      </c>
      <c r="K131" s="30" t="s">
        <v>260</v>
      </c>
      <c r="L131" s="30">
        <v>0</v>
      </c>
      <c r="O131" s="30">
        <v>0</v>
      </c>
      <c r="Q131" s="96" t="s">
        <v>325</v>
      </c>
      <c r="R131" s="96"/>
      <c r="S131" s="30">
        <v>5</v>
      </c>
      <c r="U131" s="30">
        <v>6</v>
      </c>
      <c r="W131" s="96">
        <v>5</v>
      </c>
      <c r="X131" s="96"/>
      <c r="Y131" s="96"/>
      <c r="Z131" s="30">
        <v>6</v>
      </c>
      <c r="AA131" s="94" t="b">
        <v>1</v>
      </c>
      <c r="AB131" s="1"/>
      <c r="AC131" s="57" t="s">
        <v>1640</v>
      </c>
      <c r="AD131" s="1"/>
      <c r="AE131" s="57"/>
      <c r="AF131" s="1"/>
      <c r="AG131" s="1"/>
      <c r="AH131" s="1"/>
      <c r="AI131" s="1"/>
      <c r="AJ131" s="1"/>
      <c r="AK131" s="1"/>
      <c r="AL131" s="1"/>
      <c r="AM131" s="1"/>
      <c r="AN131" s="1"/>
      <c r="AO131" s="1"/>
      <c r="AP131" s="1"/>
      <c r="AQ131" s="1"/>
      <c r="AR131" s="1"/>
      <c r="AS131" s="1"/>
      <c r="AT131" s="1"/>
      <c r="AU131" s="1"/>
      <c r="AV131" s="1"/>
      <c r="AW131" s="1"/>
      <c r="AX131" s="1"/>
      <c r="AY131" s="1"/>
      <c r="AZ131" s="1"/>
      <c r="BA131" s="1"/>
      <c r="BB131" s="1"/>
      <c r="BC131" s="1"/>
      <c r="BD131" s="1"/>
      <c r="BE131" s="1"/>
      <c r="BF131" s="1"/>
      <c r="BG131" s="1"/>
      <c r="BH131" s="1"/>
      <c r="BI131" s="1"/>
      <c r="BJ131" s="1"/>
      <c r="BK131" s="1"/>
      <c r="BL131" s="1"/>
      <c r="BM131" s="1"/>
      <c r="BN131" s="1"/>
      <c r="BO131" s="1"/>
      <c r="BP131" s="1"/>
      <c r="BQ131" s="1"/>
      <c r="BR131" s="1"/>
      <c r="BS131" s="1"/>
      <c r="BT131" s="1"/>
      <c r="BU131" s="1"/>
      <c r="BV131" s="1"/>
      <c r="BW131" s="1"/>
      <c r="BX131" s="1"/>
      <c r="BY131" s="1"/>
      <c r="BZ131" s="1"/>
      <c r="CA131" s="1"/>
      <c r="CB131" s="1"/>
      <c r="CC131" s="1"/>
      <c r="CD131" s="1"/>
      <c r="CE131" s="1"/>
      <c r="CF131" s="1"/>
      <c r="CG131" s="1"/>
      <c r="CH131" s="1"/>
      <c r="CI131" s="1"/>
      <c r="CJ131" s="1"/>
      <c r="CK131" s="1"/>
      <c r="CL131" s="1"/>
      <c r="CM131" s="1"/>
      <c r="CN131" s="1"/>
      <c r="CO131" s="1"/>
      <c r="CP131" s="1"/>
      <c r="CQ131" s="1"/>
      <c r="CR131" s="1"/>
      <c r="CS131" s="1"/>
      <c r="CT131" s="1"/>
      <c r="CU131" s="1"/>
      <c r="CV131" s="1"/>
      <c r="CW131" s="1"/>
      <c r="CX131" s="1"/>
      <c r="CY131" s="1"/>
      <c r="CZ131" s="1"/>
      <c r="DA131" s="1"/>
      <c r="DB131" s="1"/>
      <c r="DC131" s="1"/>
      <c r="DD131" s="1"/>
      <c r="DE131" s="1"/>
      <c r="DF131" s="1"/>
      <c r="DG131" s="1"/>
      <c r="DH131" s="1"/>
      <c r="DI131" s="1"/>
      <c r="DJ131" s="1"/>
      <c r="DK131" s="1"/>
      <c r="DL131" s="1"/>
      <c r="DM131" s="1"/>
      <c r="DN131" s="1"/>
      <c r="DO131" s="1"/>
      <c r="DP131" s="1"/>
      <c r="DQ131" s="1"/>
      <c r="DR131" s="1"/>
      <c r="DS131" s="1"/>
      <c r="DT131" s="1"/>
      <c r="DU131" s="1"/>
      <c r="DV131" s="1"/>
      <c r="DW131" s="1"/>
      <c r="DX131" s="1"/>
      <c r="DY131" s="1"/>
      <c r="DZ131" s="1"/>
      <c r="EA131" s="1"/>
      <c r="EB131" s="1"/>
      <c r="EC131" s="1"/>
      <c r="ED131" s="1"/>
      <c r="EE131" s="1"/>
      <c r="EF131" s="1"/>
      <c r="EG131" s="1"/>
      <c r="EH131" s="1"/>
      <c r="EI131" s="1"/>
      <c r="EJ131" s="1"/>
      <c r="EK131" s="1"/>
      <c r="EL131" s="1"/>
      <c r="EM131" s="1"/>
      <c r="EN131" s="1"/>
      <c r="EO131" s="1"/>
      <c r="EP131" s="1"/>
      <c r="EQ131" s="1"/>
      <c r="ER131" s="1"/>
      <c r="ES131" s="1"/>
      <c r="ET131" s="1"/>
      <c r="EU131" s="1"/>
      <c r="EV131" s="1"/>
      <c r="EW131" s="1"/>
      <c r="EX131" s="1"/>
      <c r="EY131" s="1"/>
      <c r="EZ131" s="1"/>
      <c r="FA131" s="1"/>
      <c r="FB131" s="1"/>
      <c r="FC131" s="1"/>
      <c r="FD131" s="1"/>
      <c r="FE131" s="1"/>
      <c r="FF131" s="1"/>
      <c r="FG131" s="1"/>
      <c r="FH131" s="1"/>
      <c r="FI131" s="1"/>
      <c r="FJ131" s="1"/>
      <c r="FK131" s="1"/>
      <c r="FL131" s="1"/>
      <c r="FM131" s="1"/>
      <c r="FN131" s="1"/>
      <c r="FO131" s="1"/>
      <c r="FP131" s="1"/>
      <c r="FQ131" s="1"/>
      <c r="FR131" s="1"/>
      <c r="FS131" s="1"/>
      <c r="FT131" s="1"/>
      <c r="FU131" s="1"/>
      <c r="FV131" s="1"/>
      <c r="FW131" s="1"/>
      <c r="FX131" s="1"/>
      <c r="FY131" s="1"/>
      <c r="FZ131" s="1"/>
      <c r="GA131" s="1"/>
      <c r="GB131" s="1"/>
      <c r="GC131" s="1"/>
      <c r="GD131" s="1"/>
      <c r="GE131" s="1"/>
      <c r="GF131" s="1"/>
      <c r="GG131" s="1"/>
      <c r="GH131" s="1"/>
      <c r="GI131" s="1"/>
      <c r="GJ131" s="1"/>
      <c r="GK131" s="1"/>
      <c r="GL131" s="1"/>
      <c r="GM131" s="1"/>
      <c r="GN131" s="1"/>
      <c r="GO131" s="1"/>
      <c r="GP131" s="1"/>
      <c r="GQ131" s="1"/>
      <c r="GR131" s="1"/>
      <c r="GS131" s="1"/>
      <c r="GT131" s="1"/>
      <c r="GU131" s="1"/>
      <c r="GV131" s="1"/>
      <c r="GW131" s="1"/>
      <c r="GX131" s="1"/>
      <c r="GY131" s="1"/>
      <c r="GZ131" s="1"/>
      <c r="HA131" s="1"/>
      <c r="HB131" s="1"/>
      <c r="HC131" s="1"/>
      <c r="HD131" s="1"/>
      <c r="HE131" s="1"/>
      <c r="HF131" s="1"/>
      <c r="HG131" s="1"/>
      <c r="HH131" s="1"/>
      <c r="HI131" s="1"/>
      <c r="HJ131" s="1"/>
      <c r="HK131" s="1"/>
      <c r="HL131" s="1"/>
      <c r="HM131" s="1"/>
      <c r="HN131" s="1"/>
      <c r="HO131" s="1"/>
      <c r="HP131" s="1"/>
      <c r="HQ131" s="1"/>
      <c r="HR131" s="1"/>
      <c r="HS131" s="1"/>
      <c r="HT131" s="1"/>
      <c r="HU131" s="1"/>
      <c r="HV131" s="1"/>
      <c r="HW131" s="1"/>
      <c r="HX131" s="1"/>
      <c r="HY131" s="1"/>
      <c r="HZ131" s="1"/>
      <c r="IA131" s="1"/>
      <c r="IB131" s="1"/>
      <c r="IC131" s="1"/>
      <c r="ID131" s="1"/>
      <c r="IE131" s="1"/>
      <c r="IF131" s="1"/>
      <c r="IG131" s="1"/>
      <c r="IH131" s="1"/>
      <c r="II131" s="1"/>
      <c r="IJ131" s="1"/>
      <c r="IK131" s="1"/>
      <c r="IL131" s="1"/>
      <c r="IM131" s="1"/>
      <c r="IN131" s="1"/>
      <c r="IO131" s="1"/>
      <c r="IP131" s="1"/>
      <c r="IQ131" s="1"/>
      <c r="IR131" s="1"/>
      <c r="IS131" s="1"/>
      <c r="IT131" s="1"/>
      <c r="IU131" s="1"/>
      <c r="IV131" s="1"/>
      <c r="IW131" s="1"/>
      <c r="IX131" s="1"/>
      <c r="IY131" s="1"/>
      <c r="IZ131" s="1"/>
      <c r="JA131" s="1"/>
      <c r="JB131" s="1"/>
      <c r="JC131" s="1"/>
      <c r="JD131" s="1"/>
      <c r="JE131" s="1"/>
      <c r="JF131" s="1"/>
      <c r="JG131" s="1"/>
      <c r="JH131" s="1"/>
      <c r="JI131" s="1"/>
      <c r="JJ131" s="1"/>
      <c r="JK131" s="1"/>
      <c r="JL131" s="1"/>
      <c r="JM131" s="1"/>
      <c r="JN131" s="1"/>
      <c r="JO131" s="1"/>
      <c r="JP131" s="1"/>
      <c r="JQ131" s="1"/>
      <c r="JR131" s="1"/>
      <c r="JS131" s="1"/>
      <c r="JT131" s="1"/>
      <c r="JU131" s="1"/>
      <c r="JV131" s="1"/>
      <c r="JW131" s="1"/>
      <c r="JX131" s="1"/>
      <c r="JY131" s="1"/>
      <c r="JZ131" s="1"/>
      <c r="KA131" s="1"/>
      <c r="KB131" s="1"/>
      <c r="KC131" s="1"/>
      <c r="KD131" s="1"/>
      <c r="KE131" s="1"/>
      <c r="KF131" s="1"/>
      <c r="KG131" s="1"/>
      <c r="KH131" s="1"/>
      <c r="KI131" s="1"/>
      <c r="KJ131" s="1"/>
      <c r="KK131" s="1"/>
      <c r="KL131" s="1"/>
      <c r="KM131" s="1"/>
      <c r="KN131" s="1"/>
      <c r="KO131" s="1"/>
      <c r="KP131" s="1"/>
      <c r="KQ131" s="1"/>
      <c r="KR131" s="1"/>
      <c r="KS131" s="1"/>
      <c r="KT131" s="1"/>
      <c r="KU131" s="1"/>
      <c r="KV131" s="1"/>
      <c r="KW131" s="1"/>
      <c r="KX131" s="1"/>
      <c r="KY131" s="1"/>
      <c r="KZ131" s="1"/>
      <c r="LA131" s="1"/>
      <c r="LB131" s="1"/>
      <c r="LC131" s="1"/>
      <c r="LD131" s="1"/>
      <c r="LE131" s="1"/>
      <c r="LF131" s="1"/>
      <c r="LG131" s="1"/>
      <c r="LH131" s="1"/>
      <c r="LI131" s="1"/>
      <c r="LJ131" s="1"/>
      <c r="LK131" s="1"/>
      <c r="LL131" s="1"/>
      <c r="LM131" s="1"/>
      <c r="LN131" s="1"/>
      <c r="LO131" s="1"/>
      <c r="LP131" s="1"/>
      <c r="LQ131" s="1"/>
      <c r="LR131" s="1"/>
      <c r="LS131" s="1"/>
    </row>
    <row r="132" spans="1:331" s="25" customFormat="1" x14ac:dyDescent="0.25">
      <c r="A132" s="25" t="s">
        <v>534</v>
      </c>
      <c r="B132" s="29" t="s">
        <v>535</v>
      </c>
      <c r="C132" s="94" t="s">
        <v>1648</v>
      </c>
      <c r="D132" s="25">
        <v>0</v>
      </c>
      <c r="H132" s="25" t="s">
        <v>536</v>
      </c>
      <c r="I132" s="25" t="s">
        <v>537</v>
      </c>
      <c r="J132" s="25" t="s">
        <v>536</v>
      </c>
      <c r="K132" s="25" t="s">
        <v>1677</v>
      </c>
      <c r="L132" s="25">
        <v>0</v>
      </c>
      <c r="O132" s="25">
        <v>1</v>
      </c>
      <c r="Q132" s="96" t="s">
        <v>1501</v>
      </c>
      <c r="R132" s="96"/>
      <c r="S132" s="25">
        <v>17</v>
      </c>
      <c r="U132" s="25">
        <v>17</v>
      </c>
      <c r="W132" s="96">
        <v>17</v>
      </c>
      <c r="X132" s="96"/>
      <c r="Y132" s="96"/>
      <c r="Z132" s="25">
        <v>5</v>
      </c>
      <c r="AA132" s="94" t="b">
        <v>1</v>
      </c>
      <c r="AB132" s="1"/>
      <c r="AC132" s="57" t="s">
        <v>1288</v>
      </c>
      <c r="AD132" s="1"/>
      <c r="AE132" s="57"/>
      <c r="AF132" s="1"/>
      <c r="AG132" s="1"/>
      <c r="AH132" s="1"/>
      <c r="AI132" s="1"/>
      <c r="AJ132" s="1"/>
      <c r="AK132" s="1"/>
      <c r="AL132" s="1"/>
      <c r="AM132" s="1"/>
      <c r="AN132" s="1"/>
      <c r="AO132" s="1"/>
      <c r="AP132" s="1"/>
      <c r="AQ132" s="1"/>
      <c r="AR132" s="1"/>
      <c r="AS132" s="1"/>
      <c r="AT132" s="1"/>
      <c r="AU132" s="1"/>
      <c r="AV132" s="1"/>
      <c r="AW132" s="1"/>
      <c r="AX132" s="1"/>
      <c r="AY132" s="1"/>
      <c r="AZ132" s="1"/>
      <c r="BA132" s="1"/>
      <c r="BB132" s="1"/>
      <c r="BC132" s="1"/>
      <c r="BD132" s="1"/>
      <c r="BE132" s="1"/>
      <c r="BF132" s="1"/>
      <c r="BG132" s="1"/>
      <c r="BH132" s="1"/>
      <c r="BI132" s="1"/>
      <c r="BJ132" s="1"/>
      <c r="BK132" s="1"/>
      <c r="BL132" s="1"/>
      <c r="BM132" s="1"/>
      <c r="BN132" s="1"/>
      <c r="BO132" s="1"/>
      <c r="BP132" s="1"/>
      <c r="BQ132" s="1"/>
      <c r="BR132" s="1"/>
      <c r="BS132" s="1"/>
      <c r="BT132" s="1"/>
      <c r="BU132" s="1"/>
      <c r="BV132" s="1"/>
      <c r="BW132" s="1"/>
      <c r="BX132" s="1"/>
      <c r="BY132" s="1"/>
      <c r="BZ132" s="1"/>
      <c r="CA132" s="1"/>
      <c r="CB132" s="1"/>
      <c r="CC132" s="1"/>
      <c r="CD132" s="1"/>
      <c r="CE132" s="1"/>
      <c r="CF132" s="1"/>
      <c r="CG132" s="1"/>
      <c r="CH132" s="1"/>
      <c r="CI132" s="1"/>
      <c r="CJ132" s="1"/>
      <c r="CK132" s="1"/>
      <c r="CL132" s="1"/>
      <c r="CM132" s="1"/>
      <c r="CN132" s="1"/>
      <c r="CO132" s="1"/>
      <c r="CP132" s="1"/>
      <c r="CQ132" s="1"/>
      <c r="CR132" s="1"/>
      <c r="CS132" s="1"/>
      <c r="CT132" s="1"/>
      <c r="CU132" s="1"/>
      <c r="CV132" s="1"/>
      <c r="CW132" s="1"/>
      <c r="CX132" s="1"/>
      <c r="CY132" s="1"/>
      <c r="CZ132" s="1"/>
      <c r="DA132" s="1"/>
      <c r="DB132" s="1"/>
      <c r="DC132" s="1"/>
      <c r="DD132" s="1"/>
      <c r="DE132" s="1"/>
      <c r="DF132" s="1"/>
      <c r="DG132" s="1"/>
      <c r="DH132" s="1"/>
      <c r="DI132" s="1"/>
      <c r="DJ132" s="1"/>
      <c r="DK132" s="1"/>
      <c r="DL132" s="1"/>
      <c r="DM132" s="1"/>
      <c r="DN132" s="1"/>
      <c r="DO132" s="1"/>
      <c r="DP132" s="1"/>
      <c r="DQ132" s="1"/>
      <c r="DR132" s="1"/>
      <c r="DS132" s="1"/>
      <c r="DT132" s="1"/>
      <c r="DU132" s="1"/>
      <c r="DV132" s="1"/>
      <c r="DW132" s="1"/>
      <c r="DX132" s="1"/>
      <c r="DY132" s="1"/>
      <c r="DZ132" s="1"/>
      <c r="EA132" s="1"/>
      <c r="EB132" s="1"/>
      <c r="EC132" s="1"/>
      <c r="ED132" s="1"/>
      <c r="EE132" s="1"/>
      <c r="EF132" s="1"/>
      <c r="EG132" s="1"/>
      <c r="EH132" s="1"/>
      <c r="EI132" s="1"/>
      <c r="EJ132" s="1"/>
      <c r="EK132" s="1"/>
      <c r="EL132" s="1"/>
      <c r="EM132" s="1"/>
      <c r="EN132" s="1"/>
      <c r="EO132" s="1"/>
      <c r="EP132" s="1"/>
      <c r="EQ132" s="1"/>
      <c r="ER132" s="1"/>
      <c r="ES132" s="1"/>
      <c r="ET132" s="1"/>
      <c r="EU132" s="1"/>
      <c r="EV132" s="1"/>
      <c r="EW132" s="1"/>
      <c r="EX132" s="1"/>
      <c r="EY132" s="1"/>
      <c r="EZ132" s="1"/>
      <c r="FA132" s="1"/>
      <c r="FB132" s="1"/>
      <c r="FC132" s="1"/>
      <c r="FD132" s="1"/>
      <c r="FE132" s="1"/>
      <c r="FF132" s="1"/>
      <c r="FG132" s="1"/>
      <c r="FH132" s="1"/>
      <c r="FI132" s="1"/>
      <c r="FJ132" s="1"/>
      <c r="FK132" s="1"/>
      <c r="FL132" s="1"/>
      <c r="FM132" s="1"/>
      <c r="FN132" s="1"/>
      <c r="FO132" s="1"/>
      <c r="FP132" s="1"/>
      <c r="FQ132" s="1"/>
      <c r="FR132" s="1"/>
      <c r="FS132" s="1"/>
      <c r="FT132" s="1"/>
      <c r="FU132" s="1"/>
      <c r="FV132" s="1"/>
      <c r="FW132" s="1"/>
      <c r="FX132" s="1"/>
      <c r="FY132" s="1"/>
      <c r="FZ132" s="1"/>
      <c r="GA132" s="1"/>
      <c r="GB132" s="1"/>
      <c r="GC132" s="1"/>
      <c r="GD132" s="1"/>
      <c r="GE132" s="1"/>
      <c r="GF132" s="1"/>
      <c r="GG132" s="1"/>
      <c r="GH132" s="1"/>
      <c r="GI132" s="1"/>
      <c r="GJ132" s="1"/>
      <c r="GK132" s="1"/>
      <c r="GL132" s="1"/>
      <c r="GM132" s="1"/>
      <c r="GN132" s="1"/>
      <c r="GO132" s="1"/>
      <c r="GP132" s="1"/>
      <c r="GQ132" s="1"/>
      <c r="GR132" s="1"/>
      <c r="GS132" s="1"/>
      <c r="GT132" s="1"/>
      <c r="GU132" s="1"/>
      <c r="GV132" s="1"/>
      <c r="GW132" s="1"/>
      <c r="GX132" s="1"/>
      <c r="GY132" s="1"/>
      <c r="GZ132" s="1"/>
      <c r="HA132" s="1"/>
      <c r="HB132" s="1"/>
      <c r="HC132" s="1"/>
      <c r="HD132" s="1"/>
      <c r="HE132" s="1"/>
      <c r="HF132" s="1"/>
      <c r="HG132" s="1"/>
      <c r="HH132" s="1"/>
      <c r="HI132" s="1"/>
      <c r="HJ132" s="1"/>
      <c r="HK132" s="1"/>
      <c r="HL132" s="1"/>
      <c r="HM132" s="1"/>
      <c r="HN132" s="1"/>
      <c r="HO132" s="1"/>
      <c r="HP132" s="1"/>
      <c r="HQ132" s="1"/>
      <c r="HR132" s="1"/>
      <c r="HS132" s="1"/>
      <c r="HT132" s="1"/>
      <c r="HU132" s="1"/>
      <c r="HV132" s="1"/>
      <c r="HW132" s="1"/>
      <c r="HX132" s="1"/>
      <c r="HY132" s="1"/>
      <c r="HZ132" s="1"/>
      <c r="IA132" s="1"/>
      <c r="IB132" s="1"/>
      <c r="IC132" s="1"/>
      <c r="ID132" s="1"/>
      <c r="IE132" s="1"/>
      <c r="IF132" s="1"/>
      <c r="IG132" s="1"/>
      <c r="IH132" s="1"/>
      <c r="II132" s="1"/>
      <c r="IJ132" s="1"/>
      <c r="IK132" s="1"/>
      <c r="IL132" s="1"/>
      <c r="IM132" s="1"/>
      <c r="IN132" s="1"/>
      <c r="IO132" s="1"/>
      <c r="IP132" s="1"/>
      <c r="IQ132" s="1"/>
      <c r="IR132" s="1"/>
      <c r="IS132" s="1"/>
      <c r="IT132" s="1"/>
      <c r="IU132" s="1"/>
      <c r="IV132" s="1"/>
      <c r="IW132" s="1"/>
      <c r="IX132" s="1"/>
      <c r="IY132" s="1"/>
      <c r="IZ132" s="1"/>
      <c r="JA132" s="1"/>
      <c r="JB132" s="1"/>
      <c r="JC132" s="1"/>
      <c r="JD132" s="1"/>
      <c r="JE132" s="1"/>
      <c r="JF132" s="1"/>
      <c r="JG132" s="1"/>
      <c r="JH132" s="1"/>
      <c r="JI132" s="1"/>
      <c r="JJ132" s="1"/>
      <c r="JK132" s="1"/>
      <c r="JL132" s="1"/>
      <c r="JM132" s="1"/>
      <c r="JN132" s="1"/>
      <c r="JO132" s="1"/>
      <c r="JP132" s="1"/>
      <c r="JQ132" s="1"/>
      <c r="JR132" s="1"/>
      <c r="JS132" s="1"/>
      <c r="JT132" s="1"/>
      <c r="JU132" s="1"/>
      <c r="JV132" s="1"/>
      <c r="JW132" s="1"/>
      <c r="JX132" s="1"/>
      <c r="JY132" s="1"/>
      <c r="JZ132" s="1"/>
      <c r="KA132" s="1"/>
      <c r="KB132" s="1"/>
      <c r="KC132" s="1"/>
      <c r="KD132" s="1"/>
      <c r="KE132" s="1"/>
      <c r="KF132" s="1"/>
      <c r="KG132" s="1"/>
      <c r="KH132" s="1"/>
      <c r="KI132" s="1"/>
      <c r="KJ132" s="1"/>
      <c r="KK132" s="1"/>
      <c r="KL132" s="1"/>
      <c r="KM132" s="1"/>
      <c r="KN132" s="1"/>
      <c r="KO132" s="1"/>
      <c r="KP132" s="1"/>
      <c r="KQ132" s="1"/>
      <c r="KR132" s="1"/>
      <c r="KS132" s="1"/>
      <c r="KT132" s="1"/>
      <c r="KU132" s="1"/>
      <c r="KV132" s="1"/>
      <c r="KW132" s="1"/>
      <c r="KX132" s="1"/>
      <c r="KY132" s="1"/>
      <c r="KZ132" s="1"/>
      <c r="LA132" s="1"/>
      <c r="LB132" s="1"/>
      <c r="LC132" s="1"/>
      <c r="LD132" s="1"/>
      <c r="LE132" s="1"/>
      <c r="LF132" s="1"/>
      <c r="LG132" s="1"/>
      <c r="LH132" s="1"/>
      <c r="LI132" s="1"/>
      <c r="LJ132" s="1"/>
      <c r="LK132" s="1"/>
      <c r="LL132" s="1"/>
      <c r="LM132" s="1"/>
      <c r="LN132" s="1"/>
      <c r="LO132" s="1"/>
      <c r="LP132" s="1"/>
      <c r="LQ132" s="1"/>
      <c r="LR132" s="1"/>
      <c r="LS132" s="1"/>
    </row>
    <row r="133" spans="1:331" s="35" customFormat="1" x14ac:dyDescent="0.25">
      <c r="A133" s="35" t="s">
        <v>538</v>
      </c>
      <c r="B133" s="39" t="s">
        <v>539</v>
      </c>
      <c r="C133" s="94" t="s">
        <v>1648</v>
      </c>
      <c r="D133" s="35">
        <v>1</v>
      </c>
      <c r="E133" s="35" t="s">
        <v>540</v>
      </c>
      <c r="H133" s="35" t="s">
        <v>541</v>
      </c>
      <c r="I133" s="35" t="s">
        <v>542</v>
      </c>
      <c r="J133" s="35" t="s">
        <v>543</v>
      </c>
      <c r="K133" s="35" t="s">
        <v>542</v>
      </c>
      <c r="L133" s="35">
        <v>0</v>
      </c>
      <c r="O133" s="35">
        <v>1</v>
      </c>
      <c r="Q133" s="96"/>
      <c r="R133" s="96" t="s">
        <v>350</v>
      </c>
      <c r="S133" s="35">
        <v>9</v>
      </c>
      <c r="U133" s="35">
        <v>9</v>
      </c>
      <c r="W133" s="96">
        <v>9</v>
      </c>
      <c r="X133" s="96"/>
      <c r="Y133" s="96"/>
      <c r="Z133" s="35">
        <v>7</v>
      </c>
      <c r="AA133" s="94" t="b">
        <v>1</v>
      </c>
      <c r="AB133" s="1"/>
      <c r="AC133" s="57" t="s">
        <v>1920</v>
      </c>
      <c r="AD133" s="1"/>
      <c r="AE133" s="57"/>
      <c r="AF133" s="1"/>
      <c r="AG133" s="1"/>
      <c r="AH133" s="1"/>
      <c r="AI133" s="1"/>
      <c r="AJ133" s="1"/>
      <c r="AK133" s="1"/>
      <c r="AL133" s="1"/>
      <c r="AM133" s="1"/>
      <c r="AN133" s="1"/>
      <c r="AO133" s="1"/>
      <c r="AP133" s="1"/>
      <c r="AQ133" s="1"/>
      <c r="AR133" s="1"/>
      <c r="AS133" s="1"/>
      <c r="AT133" s="1"/>
      <c r="AU133" s="1"/>
      <c r="AV133" s="1"/>
      <c r="AW133" s="1"/>
      <c r="AX133" s="1"/>
      <c r="AY133" s="1"/>
      <c r="AZ133" s="1"/>
      <c r="BA133" s="1"/>
      <c r="BB133" s="1"/>
      <c r="BC133" s="1"/>
      <c r="BD133" s="1"/>
      <c r="BE133" s="1"/>
      <c r="BF133" s="1"/>
      <c r="BG133" s="1"/>
      <c r="BH133" s="1"/>
      <c r="BI133" s="1"/>
      <c r="BJ133" s="1"/>
      <c r="BK133" s="1"/>
      <c r="BL133" s="1"/>
      <c r="BM133" s="1"/>
      <c r="BN133" s="1"/>
      <c r="BO133" s="1"/>
      <c r="BP133" s="1"/>
      <c r="BQ133" s="1"/>
      <c r="BR133" s="1"/>
      <c r="BS133" s="1"/>
      <c r="BT133" s="1"/>
      <c r="BU133" s="1"/>
      <c r="BV133" s="1"/>
      <c r="BW133" s="1"/>
      <c r="BX133" s="1"/>
      <c r="BY133" s="1"/>
      <c r="BZ133" s="1"/>
      <c r="CA133" s="1"/>
      <c r="CB133" s="1"/>
      <c r="CC133" s="1"/>
      <c r="CD133" s="1"/>
      <c r="CE133" s="1"/>
      <c r="CF133" s="1"/>
      <c r="CG133" s="1"/>
      <c r="CH133" s="1"/>
      <c r="CI133" s="1"/>
      <c r="CJ133" s="1"/>
      <c r="CK133" s="1"/>
      <c r="CL133" s="1"/>
      <c r="CM133" s="1"/>
      <c r="CN133" s="1"/>
      <c r="CO133" s="1"/>
      <c r="CP133" s="1"/>
      <c r="CQ133" s="1"/>
      <c r="CR133" s="1"/>
      <c r="CS133" s="1"/>
      <c r="CT133" s="1"/>
      <c r="CU133" s="1"/>
      <c r="CV133" s="1"/>
      <c r="CW133" s="1"/>
      <c r="CX133" s="1"/>
      <c r="CY133" s="1"/>
      <c r="CZ133" s="1"/>
      <c r="DA133" s="1"/>
      <c r="DB133" s="1"/>
      <c r="DC133" s="1"/>
      <c r="DD133" s="1"/>
      <c r="DE133" s="1"/>
      <c r="DF133" s="1"/>
      <c r="DG133" s="1"/>
      <c r="DH133" s="1"/>
      <c r="DI133" s="1"/>
      <c r="DJ133" s="1"/>
      <c r="DK133" s="1"/>
      <c r="DL133" s="1"/>
      <c r="DM133" s="1"/>
      <c r="DN133" s="1"/>
      <c r="DO133" s="1"/>
      <c r="DP133" s="1"/>
      <c r="DQ133" s="1"/>
      <c r="DR133" s="1"/>
      <c r="DS133" s="1"/>
      <c r="DT133" s="1"/>
      <c r="DU133" s="1"/>
      <c r="DV133" s="1"/>
      <c r="DW133" s="1"/>
      <c r="DX133" s="1"/>
      <c r="DY133" s="1"/>
      <c r="DZ133" s="1"/>
      <c r="EA133" s="1"/>
      <c r="EB133" s="1"/>
      <c r="EC133" s="1"/>
      <c r="ED133" s="1"/>
      <c r="EE133" s="1"/>
      <c r="EF133" s="1"/>
      <c r="EG133" s="1"/>
      <c r="EH133" s="1"/>
      <c r="EI133" s="1"/>
      <c r="EJ133" s="1"/>
      <c r="EK133" s="1"/>
      <c r="EL133" s="1"/>
      <c r="EM133" s="1"/>
      <c r="EN133" s="1"/>
      <c r="EO133" s="1"/>
      <c r="EP133" s="1"/>
      <c r="EQ133" s="1"/>
      <c r="ER133" s="1"/>
      <c r="ES133" s="1"/>
      <c r="ET133" s="1"/>
      <c r="EU133" s="1"/>
      <c r="EV133" s="1"/>
      <c r="EW133" s="1"/>
      <c r="EX133" s="1"/>
      <c r="EY133" s="1"/>
      <c r="EZ133" s="1"/>
      <c r="FA133" s="1"/>
      <c r="FB133" s="1"/>
      <c r="FC133" s="1"/>
      <c r="FD133" s="1"/>
      <c r="FE133" s="1"/>
      <c r="FF133" s="1"/>
      <c r="FG133" s="1"/>
      <c r="FH133" s="1"/>
      <c r="FI133" s="1"/>
      <c r="FJ133" s="1"/>
      <c r="FK133" s="1"/>
      <c r="FL133" s="1"/>
      <c r="FM133" s="1"/>
      <c r="FN133" s="1"/>
      <c r="FO133" s="1"/>
      <c r="FP133" s="1"/>
      <c r="FQ133" s="1"/>
      <c r="FR133" s="1"/>
      <c r="FS133" s="1"/>
      <c r="FT133" s="1"/>
      <c r="FU133" s="1"/>
      <c r="FV133" s="1"/>
      <c r="FW133" s="1"/>
      <c r="FX133" s="1"/>
      <c r="FY133" s="1"/>
      <c r="FZ133" s="1"/>
      <c r="GA133" s="1"/>
      <c r="GB133" s="1"/>
      <c r="GC133" s="1"/>
      <c r="GD133" s="1"/>
      <c r="GE133" s="1"/>
      <c r="GF133" s="1"/>
      <c r="GG133" s="1"/>
      <c r="GH133" s="1"/>
      <c r="GI133" s="1"/>
      <c r="GJ133" s="1"/>
      <c r="GK133" s="1"/>
      <c r="GL133" s="1"/>
      <c r="GM133" s="1"/>
      <c r="GN133" s="1"/>
      <c r="GO133" s="1"/>
      <c r="GP133" s="1"/>
      <c r="GQ133" s="1"/>
      <c r="GR133" s="1"/>
      <c r="GS133" s="1"/>
      <c r="GT133" s="1"/>
      <c r="GU133" s="1"/>
      <c r="GV133" s="1"/>
      <c r="GW133" s="1"/>
      <c r="GX133" s="1"/>
      <c r="GY133" s="1"/>
      <c r="GZ133" s="1"/>
      <c r="HA133" s="1"/>
      <c r="HB133" s="1"/>
      <c r="HC133" s="1"/>
      <c r="HD133" s="1"/>
      <c r="HE133" s="1"/>
      <c r="HF133" s="1"/>
      <c r="HG133" s="1"/>
      <c r="HH133" s="1"/>
      <c r="HI133" s="1"/>
      <c r="HJ133" s="1"/>
      <c r="HK133" s="1"/>
      <c r="HL133" s="1"/>
      <c r="HM133" s="1"/>
      <c r="HN133" s="1"/>
      <c r="HO133" s="1"/>
      <c r="HP133" s="1"/>
      <c r="HQ133" s="1"/>
      <c r="HR133" s="1"/>
      <c r="HS133" s="1"/>
      <c r="HT133" s="1"/>
      <c r="HU133" s="1"/>
      <c r="HV133" s="1"/>
      <c r="HW133" s="1"/>
      <c r="HX133" s="1"/>
      <c r="HY133" s="1"/>
      <c r="HZ133" s="1"/>
      <c r="IA133" s="1"/>
      <c r="IB133" s="1"/>
      <c r="IC133" s="1"/>
      <c r="ID133" s="1"/>
      <c r="IE133" s="1"/>
      <c r="IF133" s="1"/>
      <c r="IG133" s="1"/>
      <c r="IH133" s="1"/>
      <c r="II133" s="1"/>
      <c r="IJ133" s="1"/>
      <c r="IK133" s="1"/>
      <c r="IL133" s="1"/>
      <c r="IM133" s="1"/>
      <c r="IN133" s="1"/>
      <c r="IO133" s="1"/>
      <c r="IP133" s="1"/>
      <c r="IQ133" s="1"/>
      <c r="IR133" s="1"/>
      <c r="IS133" s="1"/>
      <c r="IT133" s="1"/>
      <c r="IU133" s="1"/>
      <c r="IV133" s="1"/>
      <c r="IW133" s="1"/>
      <c r="IX133" s="1"/>
      <c r="IY133" s="1"/>
      <c r="IZ133" s="1"/>
      <c r="JA133" s="1"/>
      <c r="JB133" s="1"/>
      <c r="JC133" s="1"/>
      <c r="JD133" s="1"/>
      <c r="JE133" s="1"/>
      <c r="JF133" s="1"/>
      <c r="JG133" s="1"/>
      <c r="JH133" s="1"/>
      <c r="JI133" s="1"/>
      <c r="JJ133" s="1"/>
      <c r="JK133" s="1"/>
      <c r="JL133" s="1"/>
      <c r="JM133" s="1"/>
      <c r="JN133" s="1"/>
      <c r="JO133" s="1"/>
      <c r="JP133" s="1"/>
      <c r="JQ133" s="1"/>
      <c r="JR133" s="1"/>
      <c r="JS133" s="1"/>
      <c r="JT133" s="1"/>
      <c r="JU133" s="1"/>
      <c r="JV133" s="1"/>
      <c r="JW133" s="1"/>
      <c r="JX133" s="1"/>
      <c r="JY133" s="1"/>
      <c r="JZ133" s="1"/>
      <c r="KA133" s="1"/>
      <c r="KB133" s="1"/>
      <c r="KC133" s="1"/>
      <c r="KD133" s="1"/>
      <c r="KE133" s="1"/>
      <c r="KF133" s="1"/>
      <c r="KG133" s="1"/>
      <c r="KH133" s="1"/>
      <c r="KI133" s="1"/>
      <c r="KJ133" s="1"/>
      <c r="KK133" s="1"/>
      <c r="KL133" s="1"/>
      <c r="KM133" s="1"/>
      <c r="KN133" s="1"/>
      <c r="KO133" s="1"/>
      <c r="KP133" s="1"/>
      <c r="KQ133" s="1"/>
      <c r="KR133" s="1"/>
      <c r="KS133" s="1"/>
      <c r="KT133" s="1"/>
      <c r="KU133" s="1"/>
      <c r="KV133" s="1"/>
      <c r="KW133" s="1"/>
      <c r="KX133" s="1"/>
      <c r="KY133" s="1"/>
      <c r="KZ133" s="1"/>
      <c r="LA133" s="1"/>
      <c r="LB133" s="1"/>
      <c r="LC133" s="1"/>
      <c r="LD133" s="1"/>
      <c r="LE133" s="1"/>
      <c r="LF133" s="1"/>
      <c r="LG133" s="1"/>
      <c r="LH133" s="1"/>
      <c r="LI133" s="1"/>
      <c r="LJ133" s="1"/>
      <c r="LK133" s="1"/>
      <c r="LL133" s="1"/>
      <c r="LM133" s="1"/>
      <c r="LN133" s="1"/>
      <c r="LO133" s="1"/>
      <c r="LP133" s="1"/>
      <c r="LQ133" s="1"/>
      <c r="LR133" s="1"/>
      <c r="LS133" s="1"/>
    </row>
    <row r="134" spans="1:331" s="35" customFormat="1" x14ac:dyDescent="0.25">
      <c r="A134" s="35" t="s">
        <v>544</v>
      </c>
      <c r="B134" s="39" t="s">
        <v>545</v>
      </c>
      <c r="C134" s="94" t="s">
        <v>1648</v>
      </c>
      <c r="D134" s="35">
        <v>1</v>
      </c>
      <c r="E134" s="35" t="s">
        <v>148</v>
      </c>
      <c r="H134" s="35" t="s">
        <v>546</v>
      </c>
      <c r="I134" s="35" t="s">
        <v>547</v>
      </c>
      <c r="J134" s="35" t="s">
        <v>546</v>
      </c>
      <c r="K134" s="35" t="s">
        <v>547</v>
      </c>
      <c r="L134" s="35">
        <v>0</v>
      </c>
      <c r="O134" s="35">
        <v>1</v>
      </c>
      <c r="P134" s="35" t="s">
        <v>548</v>
      </c>
      <c r="Q134" s="96" t="s">
        <v>1538</v>
      </c>
      <c r="R134" s="96"/>
      <c r="T134" s="35">
        <v>25</v>
      </c>
      <c r="V134" s="35">
        <v>22</v>
      </c>
      <c r="W134" s="96">
        <v>25</v>
      </c>
      <c r="X134" s="96"/>
      <c r="Y134" s="96"/>
      <c r="Z134" s="35">
        <v>7</v>
      </c>
      <c r="AA134" s="94" t="b">
        <v>1</v>
      </c>
      <c r="AB134" s="1" t="s">
        <v>1894</v>
      </c>
      <c r="AC134" s="57" t="s">
        <v>1289</v>
      </c>
      <c r="AD134" s="1"/>
      <c r="AE134" s="57"/>
      <c r="AF134" s="1"/>
      <c r="AG134" s="1"/>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c r="BG134" s="1"/>
      <c r="BH134" s="1"/>
      <c r="BI134" s="1"/>
      <c r="BJ134" s="1"/>
      <c r="BK134" s="1"/>
      <c r="BL134" s="1"/>
      <c r="BM134" s="1"/>
      <c r="BN134" s="1"/>
      <c r="BO134" s="1"/>
      <c r="BP134" s="1"/>
      <c r="BQ134" s="1"/>
      <c r="BR134" s="1"/>
      <c r="BS134" s="1"/>
      <c r="BT134" s="1"/>
      <c r="BU134" s="1"/>
      <c r="BV134" s="1"/>
      <c r="BW134" s="1"/>
      <c r="BX134" s="1"/>
      <c r="BY134" s="1"/>
      <c r="BZ134" s="1"/>
      <c r="CA134" s="1"/>
      <c r="CB134" s="1"/>
      <c r="CC134" s="1"/>
      <c r="CD134" s="1"/>
      <c r="CE134" s="1"/>
      <c r="CF134" s="1"/>
      <c r="CG134" s="1"/>
      <c r="CH134" s="1"/>
      <c r="CI134" s="1"/>
      <c r="CJ134" s="1"/>
      <c r="CK134" s="1"/>
      <c r="CL134" s="1"/>
      <c r="CM134" s="1"/>
      <c r="CN134" s="1"/>
      <c r="CO134" s="1"/>
      <c r="CP134" s="1"/>
      <c r="CQ134" s="1"/>
      <c r="CR134" s="1"/>
      <c r="CS134" s="1"/>
      <c r="CT134" s="1"/>
      <c r="CU134" s="1"/>
      <c r="CV134" s="1"/>
      <c r="CW134" s="1"/>
      <c r="CX134" s="1"/>
      <c r="CY134" s="1"/>
      <c r="CZ134" s="1"/>
      <c r="DA134" s="1"/>
      <c r="DB134" s="1"/>
      <c r="DC134" s="1"/>
      <c r="DD134" s="1"/>
      <c r="DE134" s="1"/>
      <c r="DF134" s="1"/>
      <c r="DG134" s="1"/>
      <c r="DH134" s="1"/>
      <c r="DI134" s="1"/>
      <c r="DJ134" s="1"/>
      <c r="DK134" s="1"/>
      <c r="DL134" s="1"/>
      <c r="DM134" s="1"/>
      <c r="DN134" s="1"/>
      <c r="DO134" s="1"/>
      <c r="DP134" s="1"/>
      <c r="DQ134" s="1"/>
      <c r="DR134" s="1"/>
      <c r="DS134" s="1"/>
      <c r="DT134" s="1"/>
      <c r="DU134" s="1"/>
      <c r="DV134" s="1"/>
      <c r="DW134" s="1"/>
      <c r="DX134" s="1"/>
      <c r="DY134" s="1"/>
      <c r="DZ134" s="1"/>
      <c r="EA134" s="1"/>
      <c r="EB134" s="1"/>
      <c r="EC134" s="1"/>
      <c r="ED134" s="1"/>
      <c r="EE134" s="1"/>
      <c r="EF134" s="1"/>
      <c r="EG134" s="1"/>
      <c r="EH134" s="1"/>
      <c r="EI134" s="1"/>
      <c r="EJ134" s="1"/>
      <c r="EK134" s="1"/>
      <c r="EL134" s="1"/>
      <c r="EM134" s="1"/>
      <c r="EN134" s="1"/>
      <c r="EO134" s="1"/>
      <c r="EP134" s="1"/>
      <c r="EQ134" s="1"/>
      <c r="ER134" s="1"/>
      <c r="ES134" s="1"/>
      <c r="ET134" s="1"/>
      <c r="EU134" s="1"/>
      <c r="EV134" s="1"/>
      <c r="EW134" s="1"/>
      <c r="EX134" s="1"/>
      <c r="EY134" s="1"/>
      <c r="EZ134" s="1"/>
      <c r="FA134" s="1"/>
      <c r="FB134" s="1"/>
      <c r="FC134" s="1"/>
      <c r="FD134" s="1"/>
      <c r="FE134" s="1"/>
      <c r="FF134" s="1"/>
      <c r="FG134" s="1"/>
      <c r="FH134" s="1"/>
      <c r="FI134" s="1"/>
      <c r="FJ134" s="1"/>
      <c r="FK134" s="1"/>
      <c r="FL134" s="1"/>
      <c r="FM134" s="1"/>
      <c r="FN134" s="1"/>
      <c r="FO134" s="1"/>
      <c r="FP134" s="1"/>
      <c r="FQ134" s="1"/>
      <c r="FR134" s="1"/>
      <c r="FS134" s="1"/>
      <c r="FT134" s="1"/>
      <c r="FU134" s="1"/>
      <c r="FV134" s="1"/>
      <c r="FW134" s="1"/>
      <c r="FX134" s="1"/>
      <c r="FY134" s="1"/>
      <c r="FZ134" s="1"/>
      <c r="GA134" s="1"/>
      <c r="GB134" s="1"/>
      <c r="GC134" s="1"/>
      <c r="GD134" s="1"/>
      <c r="GE134" s="1"/>
      <c r="GF134" s="1"/>
      <c r="GG134" s="1"/>
      <c r="GH134" s="1"/>
      <c r="GI134" s="1"/>
      <c r="GJ134" s="1"/>
      <c r="GK134" s="1"/>
      <c r="GL134" s="1"/>
      <c r="GM134" s="1"/>
      <c r="GN134" s="1"/>
      <c r="GO134" s="1"/>
      <c r="GP134" s="1"/>
      <c r="GQ134" s="1"/>
      <c r="GR134" s="1"/>
      <c r="GS134" s="1"/>
      <c r="GT134" s="1"/>
      <c r="GU134" s="1"/>
      <c r="GV134" s="1"/>
      <c r="GW134" s="1"/>
      <c r="GX134" s="1"/>
      <c r="GY134" s="1"/>
      <c r="GZ134" s="1"/>
      <c r="HA134" s="1"/>
      <c r="HB134" s="1"/>
      <c r="HC134" s="1"/>
      <c r="HD134" s="1"/>
      <c r="HE134" s="1"/>
      <c r="HF134" s="1"/>
      <c r="HG134" s="1"/>
      <c r="HH134" s="1"/>
      <c r="HI134" s="1"/>
      <c r="HJ134" s="1"/>
      <c r="HK134" s="1"/>
      <c r="HL134" s="1"/>
      <c r="HM134" s="1"/>
      <c r="HN134" s="1"/>
      <c r="HO134" s="1"/>
      <c r="HP134" s="1"/>
      <c r="HQ134" s="1"/>
      <c r="HR134" s="1"/>
      <c r="HS134" s="1"/>
      <c r="HT134" s="1"/>
      <c r="HU134" s="1"/>
      <c r="HV134" s="1"/>
      <c r="HW134" s="1"/>
      <c r="HX134" s="1"/>
      <c r="HY134" s="1"/>
      <c r="HZ134" s="1"/>
      <c r="IA134" s="1"/>
      <c r="IB134" s="1"/>
      <c r="IC134" s="1"/>
      <c r="ID134" s="1"/>
      <c r="IE134" s="1"/>
      <c r="IF134" s="1"/>
      <c r="IG134" s="1"/>
      <c r="IH134" s="1"/>
      <c r="II134" s="1"/>
      <c r="IJ134" s="1"/>
      <c r="IK134" s="1"/>
      <c r="IL134" s="1"/>
      <c r="IM134" s="1"/>
      <c r="IN134" s="1"/>
      <c r="IO134" s="1"/>
      <c r="IP134" s="1"/>
      <c r="IQ134" s="1"/>
      <c r="IR134" s="1"/>
      <c r="IS134" s="1"/>
      <c r="IT134" s="1"/>
      <c r="IU134" s="1"/>
      <c r="IV134" s="1"/>
      <c r="IW134" s="1"/>
      <c r="IX134" s="1"/>
      <c r="IY134" s="1"/>
      <c r="IZ134" s="1"/>
      <c r="JA134" s="1"/>
      <c r="JB134" s="1"/>
      <c r="JC134" s="1"/>
      <c r="JD134" s="1"/>
      <c r="JE134" s="1"/>
      <c r="JF134" s="1"/>
      <c r="JG134" s="1"/>
      <c r="JH134" s="1"/>
      <c r="JI134" s="1"/>
      <c r="JJ134" s="1"/>
      <c r="JK134" s="1"/>
      <c r="JL134" s="1"/>
      <c r="JM134" s="1"/>
      <c r="JN134" s="1"/>
      <c r="JO134" s="1"/>
      <c r="JP134" s="1"/>
      <c r="JQ134" s="1"/>
      <c r="JR134" s="1"/>
      <c r="JS134" s="1"/>
      <c r="JT134" s="1"/>
      <c r="JU134" s="1"/>
      <c r="JV134" s="1"/>
      <c r="JW134" s="1"/>
      <c r="JX134" s="1"/>
      <c r="JY134" s="1"/>
      <c r="JZ134" s="1"/>
      <c r="KA134" s="1"/>
      <c r="KB134" s="1"/>
      <c r="KC134" s="1"/>
      <c r="KD134" s="1"/>
      <c r="KE134" s="1"/>
      <c r="KF134" s="1"/>
      <c r="KG134" s="1"/>
      <c r="KH134" s="1"/>
      <c r="KI134" s="1"/>
      <c r="KJ134" s="1"/>
      <c r="KK134" s="1"/>
      <c r="KL134" s="1"/>
      <c r="KM134" s="1"/>
      <c r="KN134" s="1"/>
      <c r="KO134" s="1"/>
      <c r="KP134" s="1"/>
      <c r="KQ134" s="1"/>
      <c r="KR134" s="1"/>
      <c r="KS134" s="1"/>
      <c r="KT134" s="1"/>
      <c r="KU134" s="1"/>
      <c r="KV134" s="1"/>
      <c r="KW134" s="1"/>
      <c r="KX134" s="1"/>
      <c r="KY134" s="1"/>
      <c r="KZ134" s="1"/>
      <c r="LA134" s="1"/>
      <c r="LB134" s="1"/>
      <c r="LC134" s="1"/>
      <c r="LD134" s="1"/>
      <c r="LE134" s="1"/>
      <c r="LF134" s="1"/>
      <c r="LG134" s="1"/>
      <c r="LH134" s="1"/>
      <c r="LI134" s="1"/>
      <c r="LJ134" s="1"/>
      <c r="LK134" s="1"/>
      <c r="LL134" s="1"/>
      <c r="LM134" s="1"/>
      <c r="LN134" s="1"/>
      <c r="LO134" s="1"/>
      <c r="LP134" s="1"/>
      <c r="LQ134" s="1"/>
      <c r="LR134" s="1"/>
      <c r="LS134" s="1"/>
    </row>
    <row r="135" spans="1:331" s="22" customFormat="1" ht="15.75" x14ac:dyDescent="0.25">
      <c r="A135" s="22" t="s">
        <v>549</v>
      </c>
      <c r="B135" s="22" t="s">
        <v>550</v>
      </c>
      <c r="C135" s="100" t="s">
        <v>1648</v>
      </c>
      <c r="D135" s="22">
        <v>0</v>
      </c>
      <c r="H135" s="22" t="s">
        <v>551</v>
      </c>
      <c r="I135" s="22" t="s">
        <v>552</v>
      </c>
      <c r="J135" s="22" t="s">
        <v>551</v>
      </c>
      <c r="K135" s="22" t="s">
        <v>552</v>
      </c>
      <c r="L135" s="22">
        <v>1</v>
      </c>
      <c r="M135" s="22" t="s">
        <v>553</v>
      </c>
      <c r="O135" s="22">
        <v>0</v>
      </c>
      <c r="Q135" s="100" t="s">
        <v>551</v>
      </c>
      <c r="R135" s="100"/>
      <c r="T135" s="22">
        <v>19</v>
      </c>
      <c r="V135" s="22">
        <v>23</v>
      </c>
      <c r="W135" s="100">
        <v>19</v>
      </c>
      <c r="X135" s="100"/>
      <c r="Y135" s="100"/>
      <c r="Z135" s="22">
        <v>4</v>
      </c>
      <c r="AA135" s="95" t="b">
        <v>1</v>
      </c>
      <c r="AB135" s="83" t="s">
        <v>1899</v>
      </c>
      <c r="AC135" s="85" t="s">
        <v>1368</v>
      </c>
      <c r="AD135" s="83"/>
      <c r="AE135" s="85"/>
      <c r="AF135" s="83"/>
      <c r="AG135" s="83"/>
      <c r="AH135" s="83"/>
      <c r="AI135" s="83"/>
      <c r="AJ135" s="83"/>
      <c r="AK135" s="83"/>
      <c r="AL135" s="83"/>
      <c r="AM135" s="83"/>
      <c r="AN135" s="83"/>
      <c r="AO135" s="83"/>
      <c r="AP135" s="83"/>
      <c r="AQ135" s="83"/>
      <c r="AR135" s="83"/>
      <c r="AS135" s="83"/>
      <c r="AT135" s="83"/>
      <c r="AU135" s="83"/>
      <c r="AV135" s="83"/>
      <c r="AW135" s="83"/>
      <c r="AX135" s="83"/>
      <c r="AY135" s="83"/>
      <c r="AZ135" s="83"/>
      <c r="BA135" s="83"/>
      <c r="BB135" s="83"/>
      <c r="BC135" s="83"/>
      <c r="BD135" s="83"/>
      <c r="BE135" s="83"/>
      <c r="BF135" s="83"/>
      <c r="BG135" s="83"/>
      <c r="BH135" s="83"/>
      <c r="BI135" s="83"/>
      <c r="BJ135" s="83"/>
      <c r="BK135" s="83"/>
      <c r="BL135" s="83"/>
      <c r="BM135" s="83"/>
      <c r="BN135" s="83"/>
      <c r="BO135" s="83"/>
      <c r="BP135" s="83"/>
      <c r="BQ135" s="83"/>
      <c r="BR135" s="83"/>
      <c r="BS135" s="83"/>
      <c r="BT135" s="83"/>
      <c r="BU135" s="83"/>
      <c r="BV135" s="83"/>
    </row>
    <row r="136" spans="1:331" s="30" customFormat="1" x14ac:dyDescent="0.25">
      <c r="A136" s="30" t="s">
        <v>554</v>
      </c>
      <c r="B136" s="30" t="s">
        <v>555</v>
      </c>
      <c r="C136" s="96" t="s">
        <v>1648</v>
      </c>
      <c r="D136" s="30">
        <v>1</v>
      </c>
      <c r="E136" s="30" t="s">
        <v>61</v>
      </c>
      <c r="H136" s="30" t="s">
        <v>556</v>
      </c>
      <c r="I136" s="30" t="s">
        <v>97</v>
      </c>
      <c r="J136" s="30" t="s">
        <v>557</v>
      </c>
      <c r="K136" s="30" t="s">
        <v>1678</v>
      </c>
      <c r="L136" s="30">
        <v>0</v>
      </c>
      <c r="O136" s="30">
        <v>1</v>
      </c>
      <c r="Q136" s="96" t="s">
        <v>1539</v>
      </c>
      <c r="R136" s="96"/>
      <c r="S136" s="30">
        <v>20</v>
      </c>
      <c r="W136" s="96">
        <v>20</v>
      </c>
      <c r="X136" s="96"/>
      <c r="Y136" s="96"/>
      <c r="Z136" s="30">
        <v>6</v>
      </c>
      <c r="AA136" s="94" t="b">
        <v>1</v>
      </c>
      <c r="AB136" s="1" t="s">
        <v>1899</v>
      </c>
      <c r="AC136" s="57" t="s">
        <v>1290</v>
      </c>
      <c r="AD136" s="1"/>
      <c r="AE136" s="57"/>
      <c r="AF136" s="1"/>
      <c r="AG136" s="1"/>
      <c r="AH136" s="1"/>
      <c r="AI136" s="1"/>
      <c r="AJ136" s="1"/>
      <c r="AK136" s="1"/>
      <c r="AL136" s="1"/>
      <c r="AM136" s="1"/>
      <c r="AN136" s="1"/>
      <c r="AO136" s="1"/>
      <c r="AP136" s="1"/>
      <c r="AQ136" s="1"/>
      <c r="AR136" s="1"/>
      <c r="AS136" s="1"/>
      <c r="AT136" s="1"/>
      <c r="AU136" s="1"/>
      <c r="AV136" s="1"/>
      <c r="AW136" s="1"/>
      <c r="AX136" s="1"/>
      <c r="AY136" s="1"/>
      <c r="AZ136" s="1"/>
      <c r="BA136" s="1"/>
      <c r="BB136" s="1"/>
      <c r="BC136" s="1"/>
      <c r="BD136" s="1"/>
      <c r="BE136" s="1"/>
      <c r="BF136" s="1"/>
      <c r="BG136" s="1"/>
      <c r="BH136" s="1"/>
      <c r="BI136" s="1"/>
      <c r="BJ136" s="1"/>
      <c r="BK136" s="1"/>
      <c r="BL136" s="1"/>
      <c r="BM136" s="1"/>
      <c r="BN136" s="1"/>
      <c r="BO136" s="1"/>
      <c r="BP136" s="1"/>
      <c r="BQ136" s="1"/>
      <c r="BR136" s="1"/>
      <c r="BS136" s="1"/>
      <c r="BT136" s="1"/>
      <c r="BU136" s="1"/>
      <c r="BV136" s="1"/>
      <c r="BW136" s="1"/>
      <c r="BX136" s="1"/>
      <c r="BY136" s="1"/>
      <c r="BZ136" s="1"/>
      <c r="CA136" s="1"/>
      <c r="CB136" s="1"/>
      <c r="CC136" s="1"/>
      <c r="CD136" s="1"/>
      <c r="CE136" s="1"/>
      <c r="CF136" s="1"/>
      <c r="CG136" s="1"/>
      <c r="CH136" s="1"/>
      <c r="CI136" s="1"/>
      <c r="CJ136" s="1"/>
      <c r="CK136" s="1"/>
      <c r="CL136" s="1"/>
      <c r="CM136" s="1"/>
      <c r="CN136" s="1"/>
      <c r="CO136" s="1"/>
      <c r="CP136" s="1"/>
      <c r="CQ136" s="1"/>
      <c r="CR136" s="1"/>
      <c r="CS136" s="1"/>
      <c r="CT136" s="1"/>
      <c r="CU136" s="1"/>
      <c r="CV136" s="1"/>
      <c r="CW136" s="1"/>
      <c r="CX136" s="1"/>
      <c r="CY136" s="1"/>
      <c r="CZ136" s="1"/>
      <c r="DA136" s="1"/>
      <c r="DB136" s="1"/>
      <c r="DC136" s="1"/>
      <c r="DD136" s="1"/>
      <c r="DE136" s="1"/>
      <c r="DF136" s="1"/>
      <c r="DG136" s="1"/>
      <c r="DH136" s="1"/>
      <c r="DI136" s="1"/>
      <c r="DJ136" s="1"/>
      <c r="DK136" s="1"/>
      <c r="DL136" s="1"/>
      <c r="DM136" s="1"/>
      <c r="DN136" s="1"/>
      <c r="DO136" s="1"/>
      <c r="DP136" s="1"/>
      <c r="DQ136" s="1"/>
      <c r="DR136" s="1"/>
      <c r="DS136" s="1"/>
      <c r="DT136" s="1"/>
      <c r="DU136" s="1"/>
      <c r="DV136" s="1"/>
      <c r="DW136" s="1"/>
      <c r="DX136" s="1"/>
      <c r="DY136" s="1"/>
      <c r="DZ136" s="1"/>
      <c r="EA136" s="1"/>
      <c r="EB136" s="1"/>
      <c r="EC136" s="1"/>
      <c r="ED136" s="1"/>
      <c r="EE136" s="1"/>
      <c r="EF136" s="1"/>
      <c r="EG136" s="1"/>
      <c r="EH136" s="1"/>
      <c r="EI136" s="1"/>
      <c r="EJ136" s="1"/>
      <c r="EK136" s="1"/>
      <c r="EL136" s="1"/>
      <c r="EM136" s="1"/>
      <c r="EN136" s="1"/>
      <c r="EO136" s="1"/>
      <c r="EP136" s="1"/>
      <c r="EQ136" s="1"/>
      <c r="ER136" s="1"/>
      <c r="ES136" s="1"/>
      <c r="ET136" s="1"/>
      <c r="EU136" s="1"/>
      <c r="EV136" s="1"/>
      <c r="EW136" s="1"/>
      <c r="EX136" s="1"/>
      <c r="EY136" s="1"/>
      <c r="EZ136" s="1"/>
      <c r="FA136" s="1"/>
      <c r="FB136" s="1"/>
      <c r="FC136" s="1"/>
      <c r="FD136" s="1"/>
      <c r="FE136" s="1"/>
      <c r="FF136" s="1"/>
      <c r="FG136" s="1"/>
      <c r="FH136" s="1"/>
      <c r="FI136" s="1"/>
      <c r="FJ136" s="1"/>
      <c r="FK136" s="1"/>
      <c r="FL136" s="1"/>
      <c r="FM136" s="1"/>
      <c r="FN136" s="1"/>
      <c r="FO136" s="1"/>
      <c r="FP136" s="1"/>
      <c r="FQ136" s="1"/>
      <c r="FR136" s="1"/>
      <c r="FS136" s="1"/>
      <c r="FT136" s="1"/>
      <c r="FU136" s="1"/>
      <c r="FV136" s="1"/>
      <c r="FW136" s="1"/>
      <c r="FX136" s="1"/>
      <c r="FY136" s="1"/>
      <c r="FZ136" s="1"/>
      <c r="GA136" s="1"/>
      <c r="GB136" s="1"/>
      <c r="GC136" s="1"/>
      <c r="GD136" s="1"/>
      <c r="GE136" s="1"/>
      <c r="GF136" s="1"/>
      <c r="GG136" s="1"/>
      <c r="GH136" s="1"/>
      <c r="GI136" s="1"/>
      <c r="GJ136" s="1"/>
      <c r="GK136" s="1"/>
      <c r="GL136" s="1"/>
      <c r="GM136" s="1"/>
      <c r="GN136" s="1"/>
      <c r="GO136" s="1"/>
      <c r="GP136" s="1"/>
      <c r="GQ136" s="1"/>
      <c r="GR136" s="1"/>
      <c r="GS136" s="1"/>
      <c r="GT136" s="1"/>
      <c r="GU136" s="1"/>
      <c r="GV136" s="1"/>
      <c r="GW136" s="1"/>
      <c r="GX136" s="1"/>
      <c r="GY136" s="1"/>
      <c r="GZ136" s="1"/>
      <c r="HA136" s="1"/>
      <c r="HB136" s="1"/>
      <c r="HC136" s="1"/>
      <c r="HD136" s="1"/>
      <c r="HE136" s="1"/>
      <c r="HF136" s="1"/>
      <c r="HG136" s="1"/>
      <c r="HH136" s="1"/>
      <c r="HI136" s="1"/>
      <c r="HJ136" s="1"/>
      <c r="HK136" s="1"/>
      <c r="HL136" s="1"/>
      <c r="HM136" s="1"/>
      <c r="HN136" s="1"/>
      <c r="HO136" s="1"/>
      <c r="HP136" s="1"/>
      <c r="HQ136" s="1"/>
      <c r="HR136" s="1"/>
      <c r="HS136" s="1"/>
      <c r="HT136" s="1"/>
      <c r="HU136" s="1"/>
      <c r="HV136" s="1"/>
      <c r="HW136" s="1"/>
      <c r="HX136" s="1"/>
      <c r="HY136" s="1"/>
      <c r="HZ136" s="1"/>
      <c r="IA136" s="1"/>
      <c r="IB136" s="1"/>
      <c r="IC136" s="1"/>
      <c r="ID136" s="1"/>
      <c r="IE136" s="1"/>
      <c r="IF136" s="1"/>
      <c r="IG136" s="1"/>
      <c r="IH136" s="1"/>
      <c r="II136" s="1"/>
      <c r="IJ136" s="1"/>
      <c r="IK136" s="1"/>
      <c r="IL136" s="1"/>
      <c r="IM136" s="1"/>
      <c r="IN136" s="1"/>
      <c r="IO136" s="1"/>
      <c r="IP136" s="1"/>
      <c r="IQ136" s="1"/>
      <c r="IR136" s="1"/>
      <c r="IS136" s="1"/>
      <c r="IT136" s="1"/>
      <c r="IU136" s="1"/>
      <c r="IV136" s="1"/>
      <c r="IW136" s="1"/>
      <c r="IX136" s="1"/>
      <c r="IY136" s="1"/>
      <c r="IZ136" s="1"/>
      <c r="JA136" s="1"/>
      <c r="JB136" s="1"/>
      <c r="JC136" s="1"/>
      <c r="JD136" s="1"/>
      <c r="JE136" s="1"/>
      <c r="JF136" s="1"/>
      <c r="JG136" s="1"/>
      <c r="JH136" s="1"/>
      <c r="JI136" s="1"/>
      <c r="JJ136" s="1"/>
      <c r="JK136" s="1"/>
      <c r="JL136" s="1"/>
      <c r="JM136" s="1"/>
      <c r="JN136" s="1"/>
      <c r="JO136" s="1"/>
      <c r="JP136" s="1"/>
      <c r="JQ136" s="1"/>
      <c r="JR136" s="1"/>
      <c r="JS136" s="1"/>
      <c r="JT136" s="1"/>
      <c r="JU136" s="1"/>
      <c r="JV136" s="1"/>
      <c r="JW136" s="1"/>
      <c r="JX136" s="1"/>
      <c r="JY136" s="1"/>
      <c r="JZ136" s="1"/>
      <c r="KA136" s="1"/>
      <c r="KB136" s="1"/>
      <c r="KC136" s="1"/>
      <c r="KD136" s="1"/>
      <c r="KE136" s="1"/>
      <c r="KF136" s="1"/>
      <c r="KG136" s="1"/>
      <c r="KH136" s="1"/>
      <c r="KI136" s="1"/>
      <c r="KJ136" s="1"/>
      <c r="KK136" s="1"/>
      <c r="KL136" s="1"/>
      <c r="KM136" s="1"/>
      <c r="KN136" s="1"/>
      <c r="KO136" s="1"/>
      <c r="KP136" s="1"/>
      <c r="KQ136" s="1"/>
      <c r="KR136" s="1"/>
      <c r="KS136" s="1"/>
      <c r="KT136" s="1"/>
      <c r="KU136" s="1"/>
      <c r="KV136" s="1"/>
      <c r="KW136" s="1"/>
      <c r="KX136" s="1"/>
      <c r="KY136" s="1"/>
      <c r="KZ136" s="1"/>
      <c r="LA136" s="1"/>
      <c r="LB136" s="1"/>
      <c r="LC136" s="1"/>
      <c r="LD136" s="1"/>
      <c r="LE136" s="1"/>
      <c r="LF136" s="1"/>
      <c r="LG136" s="1"/>
      <c r="LH136" s="1"/>
      <c r="LI136" s="1"/>
      <c r="LJ136" s="1"/>
      <c r="LK136" s="1"/>
      <c r="LL136" s="1"/>
      <c r="LM136" s="1"/>
      <c r="LN136" s="1"/>
      <c r="LO136" s="1"/>
      <c r="LP136" s="1"/>
      <c r="LQ136" s="1"/>
      <c r="LR136" s="1"/>
      <c r="LS136" s="1"/>
    </row>
    <row r="137" spans="1:331" s="25" customFormat="1" x14ac:dyDescent="0.25">
      <c r="A137" s="25" t="s">
        <v>558</v>
      </c>
      <c r="B137" s="29" t="s">
        <v>559</v>
      </c>
      <c r="C137" s="94" t="s">
        <v>1648</v>
      </c>
      <c r="D137" s="25">
        <v>0</v>
      </c>
      <c r="H137" s="25" t="s">
        <v>560</v>
      </c>
      <c r="I137" s="25" t="s">
        <v>561</v>
      </c>
      <c r="J137" s="25" t="s">
        <v>560</v>
      </c>
      <c r="K137" s="25" t="s">
        <v>561</v>
      </c>
      <c r="L137" s="25">
        <v>0</v>
      </c>
      <c r="O137" s="25">
        <v>1</v>
      </c>
      <c r="Q137" s="96" t="s">
        <v>651</v>
      </c>
      <c r="R137" s="96"/>
      <c r="T137" s="25">
        <v>19</v>
      </c>
      <c r="V137" s="25">
        <v>17</v>
      </c>
      <c r="W137" s="96">
        <v>19</v>
      </c>
      <c r="X137" s="96"/>
      <c r="Y137" s="96"/>
      <c r="Z137" s="25">
        <v>5</v>
      </c>
      <c r="AA137" s="94" t="b">
        <v>1</v>
      </c>
      <c r="AB137" s="1"/>
      <c r="AC137" s="57" t="s">
        <v>1338</v>
      </c>
      <c r="AD137" s="1"/>
      <c r="AE137" s="57"/>
      <c r="AF137" s="1"/>
      <c r="AG137" s="1"/>
      <c r="AH137" s="1"/>
      <c r="AI137" s="1"/>
      <c r="AJ137" s="1"/>
      <c r="AK137" s="1"/>
      <c r="AL137" s="1"/>
      <c r="AM137" s="1"/>
      <c r="AN137" s="1"/>
      <c r="AO137" s="1"/>
      <c r="AP137" s="1"/>
      <c r="AQ137" s="1"/>
      <c r="AR137" s="1"/>
      <c r="AS137" s="1"/>
      <c r="AT137" s="1"/>
      <c r="AU137" s="1"/>
      <c r="AV137" s="1"/>
      <c r="AW137" s="1"/>
      <c r="AX137" s="1"/>
      <c r="AY137" s="1"/>
      <c r="AZ137" s="1"/>
      <c r="BA137" s="1"/>
      <c r="BB137" s="1"/>
      <c r="BC137" s="1"/>
      <c r="BD137" s="1"/>
      <c r="BE137" s="1"/>
      <c r="BF137" s="1"/>
      <c r="BG137" s="1"/>
      <c r="BH137" s="1"/>
      <c r="BI137" s="1"/>
      <c r="BJ137" s="1"/>
      <c r="BK137" s="1"/>
      <c r="BL137" s="1"/>
      <c r="BM137" s="1"/>
      <c r="BN137" s="1"/>
      <c r="BO137" s="1"/>
      <c r="BP137" s="1"/>
      <c r="BQ137" s="1"/>
      <c r="BR137" s="1"/>
      <c r="BS137" s="1"/>
      <c r="BT137" s="1"/>
      <c r="BU137" s="1"/>
      <c r="BV137" s="1"/>
      <c r="BW137" s="1"/>
      <c r="BX137" s="1"/>
      <c r="BY137" s="1"/>
      <c r="BZ137" s="1"/>
      <c r="CA137" s="1"/>
      <c r="CB137" s="1"/>
      <c r="CC137" s="1"/>
      <c r="CD137" s="1"/>
      <c r="CE137" s="1"/>
      <c r="CF137" s="1"/>
      <c r="CG137" s="1"/>
      <c r="CH137" s="1"/>
      <c r="CI137" s="1"/>
      <c r="CJ137" s="1"/>
      <c r="CK137" s="1"/>
      <c r="CL137" s="1"/>
      <c r="CM137" s="1"/>
      <c r="CN137" s="1"/>
      <c r="CO137" s="1"/>
      <c r="CP137" s="1"/>
      <c r="CQ137" s="1"/>
      <c r="CR137" s="1"/>
      <c r="CS137" s="1"/>
      <c r="CT137" s="1"/>
      <c r="CU137" s="1"/>
      <c r="CV137" s="1"/>
      <c r="CW137" s="1"/>
      <c r="CX137" s="1"/>
      <c r="CY137" s="1"/>
      <c r="CZ137" s="1"/>
      <c r="DA137" s="1"/>
      <c r="DB137" s="1"/>
      <c r="DC137" s="1"/>
      <c r="DD137" s="1"/>
      <c r="DE137" s="1"/>
      <c r="DF137" s="1"/>
      <c r="DG137" s="1"/>
      <c r="DH137" s="1"/>
      <c r="DI137" s="1"/>
      <c r="DJ137" s="1"/>
      <c r="DK137" s="1"/>
      <c r="DL137" s="1"/>
      <c r="DM137" s="1"/>
      <c r="DN137" s="1"/>
      <c r="DO137" s="1"/>
      <c r="DP137" s="1"/>
      <c r="DQ137" s="1"/>
      <c r="DR137" s="1"/>
      <c r="DS137" s="1"/>
      <c r="DT137" s="1"/>
      <c r="DU137" s="1"/>
      <c r="DV137" s="1"/>
      <c r="DW137" s="1"/>
      <c r="DX137" s="1"/>
      <c r="DY137" s="1"/>
      <c r="DZ137" s="1"/>
      <c r="EA137" s="1"/>
      <c r="EB137" s="1"/>
      <c r="EC137" s="1"/>
      <c r="ED137" s="1"/>
      <c r="EE137" s="1"/>
      <c r="EF137" s="1"/>
      <c r="EG137" s="1"/>
      <c r="EH137" s="1"/>
      <c r="EI137" s="1"/>
      <c r="EJ137" s="1"/>
      <c r="EK137" s="1"/>
      <c r="EL137" s="1"/>
      <c r="EM137" s="1"/>
      <c r="EN137" s="1"/>
      <c r="EO137" s="1"/>
      <c r="EP137" s="1"/>
      <c r="EQ137" s="1"/>
      <c r="ER137" s="1"/>
      <c r="ES137" s="1"/>
      <c r="ET137" s="1"/>
      <c r="EU137" s="1"/>
      <c r="EV137" s="1"/>
      <c r="EW137" s="1"/>
      <c r="EX137" s="1"/>
      <c r="EY137" s="1"/>
      <c r="EZ137" s="1"/>
      <c r="FA137" s="1"/>
      <c r="FB137" s="1"/>
      <c r="FC137" s="1"/>
      <c r="FD137" s="1"/>
      <c r="FE137" s="1"/>
      <c r="FF137" s="1"/>
      <c r="FG137" s="1"/>
      <c r="FH137" s="1"/>
      <c r="FI137" s="1"/>
      <c r="FJ137" s="1"/>
      <c r="FK137" s="1"/>
      <c r="FL137" s="1"/>
      <c r="FM137" s="1"/>
      <c r="FN137" s="1"/>
      <c r="FO137" s="1"/>
      <c r="FP137" s="1"/>
      <c r="FQ137" s="1"/>
      <c r="FR137" s="1"/>
      <c r="FS137" s="1"/>
      <c r="FT137" s="1"/>
      <c r="FU137" s="1"/>
      <c r="FV137" s="1"/>
      <c r="FW137" s="1"/>
      <c r="FX137" s="1"/>
      <c r="FY137" s="1"/>
      <c r="FZ137" s="1"/>
      <c r="GA137" s="1"/>
      <c r="GB137" s="1"/>
      <c r="GC137" s="1"/>
      <c r="GD137" s="1"/>
      <c r="GE137" s="1"/>
      <c r="GF137" s="1"/>
      <c r="GG137" s="1"/>
      <c r="GH137" s="1"/>
      <c r="GI137" s="1"/>
      <c r="GJ137" s="1"/>
      <c r="GK137" s="1"/>
      <c r="GL137" s="1"/>
      <c r="GM137" s="1"/>
      <c r="GN137" s="1"/>
      <c r="GO137" s="1"/>
      <c r="GP137" s="1"/>
      <c r="GQ137" s="1"/>
      <c r="GR137" s="1"/>
      <c r="GS137" s="1"/>
      <c r="GT137" s="1"/>
      <c r="GU137" s="1"/>
      <c r="GV137" s="1"/>
      <c r="GW137" s="1"/>
      <c r="GX137" s="1"/>
      <c r="GY137" s="1"/>
      <c r="GZ137" s="1"/>
      <c r="HA137" s="1"/>
      <c r="HB137" s="1"/>
      <c r="HC137" s="1"/>
      <c r="HD137" s="1"/>
      <c r="HE137" s="1"/>
      <c r="HF137" s="1"/>
      <c r="HG137" s="1"/>
      <c r="HH137" s="1"/>
      <c r="HI137" s="1"/>
      <c r="HJ137" s="1"/>
      <c r="HK137" s="1"/>
      <c r="HL137" s="1"/>
      <c r="HM137" s="1"/>
      <c r="HN137" s="1"/>
      <c r="HO137" s="1"/>
      <c r="HP137" s="1"/>
      <c r="HQ137" s="1"/>
      <c r="HR137" s="1"/>
      <c r="HS137" s="1"/>
      <c r="HT137" s="1"/>
      <c r="HU137" s="1"/>
      <c r="HV137" s="1"/>
      <c r="HW137" s="1"/>
      <c r="HX137" s="1"/>
      <c r="HY137" s="1"/>
      <c r="HZ137" s="1"/>
      <c r="IA137" s="1"/>
      <c r="IB137" s="1"/>
      <c r="IC137" s="1"/>
      <c r="ID137" s="1"/>
      <c r="IE137" s="1"/>
      <c r="IF137" s="1"/>
      <c r="IG137" s="1"/>
      <c r="IH137" s="1"/>
      <c r="II137" s="1"/>
      <c r="IJ137" s="1"/>
      <c r="IK137" s="1"/>
      <c r="IL137" s="1"/>
      <c r="IM137" s="1"/>
      <c r="IN137" s="1"/>
      <c r="IO137" s="1"/>
      <c r="IP137" s="1"/>
      <c r="IQ137" s="1"/>
      <c r="IR137" s="1"/>
      <c r="IS137" s="1"/>
      <c r="IT137" s="1"/>
      <c r="IU137" s="1"/>
      <c r="IV137" s="1"/>
      <c r="IW137" s="1"/>
      <c r="IX137" s="1"/>
      <c r="IY137" s="1"/>
      <c r="IZ137" s="1"/>
      <c r="JA137" s="1"/>
      <c r="JB137" s="1"/>
      <c r="JC137" s="1"/>
      <c r="JD137" s="1"/>
      <c r="JE137" s="1"/>
      <c r="JF137" s="1"/>
      <c r="JG137" s="1"/>
      <c r="JH137" s="1"/>
      <c r="JI137" s="1"/>
      <c r="JJ137" s="1"/>
      <c r="JK137" s="1"/>
      <c r="JL137" s="1"/>
      <c r="JM137" s="1"/>
      <c r="JN137" s="1"/>
      <c r="JO137" s="1"/>
      <c r="JP137" s="1"/>
      <c r="JQ137" s="1"/>
      <c r="JR137" s="1"/>
      <c r="JS137" s="1"/>
      <c r="JT137" s="1"/>
      <c r="JU137" s="1"/>
      <c r="JV137" s="1"/>
      <c r="JW137" s="1"/>
      <c r="JX137" s="1"/>
      <c r="JY137" s="1"/>
      <c r="JZ137" s="1"/>
      <c r="KA137" s="1"/>
      <c r="KB137" s="1"/>
      <c r="KC137" s="1"/>
      <c r="KD137" s="1"/>
      <c r="KE137" s="1"/>
      <c r="KF137" s="1"/>
      <c r="KG137" s="1"/>
      <c r="KH137" s="1"/>
      <c r="KI137" s="1"/>
      <c r="KJ137" s="1"/>
      <c r="KK137" s="1"/>
      <c r="KL137" s="1"/>
      <c r="KM137" s="1"/>
      <c r="KN137" s="1"/>
      <c r="KO137" s="1"/>
      <c r="KP137" s="1"/>
      <c r="KQ137" s="1"/>
      <c r="KR137" s="1"/>
      <c r="KS137" s="1"/>
      <c r="KT137" s="1"/>
      <c r="KU137" s="1"/>
      <c r="KV137" s="1"/>
      <c r="KW137" s="1"/>
      <c r="KX137" s="1"/>
      <c r="KY137" s="1"/>
      <c r="KZ137" s="1"/>
      <c r="LA137" s="1"/>
      <c r="LB137" s="1"/>
      <c r="LC137" s="1"/>
      <c r="LD137" s="1"/>
      <c r="LE137" s="1"/>
      <c r="LF137" s="1"/>
      <c r="LG137" s="1"/>
      <c r="LH137" s="1"/>
      <c r="LI137" s="1"/>
      <c r="LJ137" s="1"/>
      <c r="LK137" s="1"/>
      <c r="LL137" s="1"/>
      <c r="LM137" s="1"/>
      <c r="LN137" s="1"/>
      <c r="LO137" s="1"/>
      <c r="LP137" s="1"/>
      <c r="LQ137" s="1"/>
      <c r="LR137" s="1"/>
      <c r="LS137" s="1"/>
    </row>
    <row r="138" spans="1:331" s="35" customFormat="1" x14ac:dyDescent="0.25">
      <c r="A138" s="35" t="s">
        <v>562</v>
      </c>
      <c r="B138" s="39" t="s">
        <v>563</v>
      </c>
      <c r="C138" s="94" t="s">
        <v>1648</v>
      </c>
      <c r="D138" s="35">
        <v>1</v>
      </c>
      <c r="E138" s="35" t="s">
        <v>564</v>
      </c>
      <c r="H138" s="35" t="s">
        <v>565</v>
      </c>
      <c r="I138" s="35" t="s">
        <v>566</v>
      </c>
      <c r="J138" s="35" t="s">
        <v>565</v>
      </c>
      <c r="K138" s="35" t="s">
        <v>1679</v>
      </c>
      <c r="L138" s="35">
        <v>0</v>
      </c>
      <c r="O138" s="35">
        <v>1</v>
      </c>
      <c r="P138" s="35" t="s">
        <v>567</v>
      </c>
      <c r="Q138" s="96" t="s">
        <v>1540</v>
      </c>
      <c r="R138" s="96"/>
      <c r="S138" s="35">
        <v>10</v>
      </c>
      <c r="W138" s="96">
        <v>10</v>
      </c>
      <c r="X138" s="96"/>
      <c r="Y138" s="96"/>
      <c r="Z138" s="35">
        <v>7</v>
      </c>
      <c r="AA138" s="94" t="b">
        <v>1</v>
      </c>
      <c r="AB138" s="1"/>
      <c r="AC138" s="57" t="s">
        <v>1285</v>
      </c>
      <c r="AD138" s="1"/>
      <c r="AE138" s="57"/>
      <c r="AF138" s="1"/>
      <c r="AG138" s="1"/>
      <c r="AH138" s="1"/>
      <c r="AI138" s="1"/>
      <c r="AJ138" s="1"/>
      <c r="AK138" s="1"/>
      <c r="AL138" s="1"/>
      <c r="AM138" s="1"/>
      <c r="AN138" s="1"/>
      <c r="AO138" s="1"/>
      <c r="AP138" s="1"/>
      <c r="AQ138" s="1"/>
      <c r="AR138" s="1"/>
      <c r="AS138" s="1"/>
      <c r="AT138" s="1"/>
      <c r="AU138" s="1"/>
      <c r="AV138" s="1"/>
      <c r="AW138" s="1"/>
      <c r="AX138" s="1"/>
      <c r="AY138" s="1"/>
      <c r="AZ138" s="1"/>
      <c r="BA138" s="1"/>
      <c r="BB138" s="1"/>
      <c r="BC138" s="1"/>
      <c r="BD138" s="1"/>
      <c r="BE138" s="1"/>
      <c r="BF138" s="1"/>
      <c r="BG138" s="1"/>
      <c r="BH138" s="1"/>
      <c r="BI138" s="1"/>
      <c r="BJ138" s="1"/>
      <c r="BK138" s="1"/>
      <c r="BL138" s="1"/>
      <c r="BM138" s="1"/>
      <c r="BN138" s="1"/>
      <c r="BO138" s="1"/>
      <c r="BP138" s="1"/>
      <c r="BQ138" s="1"/>
      <c r="BR138" s="1"/>
      <c r="BS138" s="1"/>
      <c r="BT138" s="1"/>
      <c r="BU138" s="1"/>
      <c r="BV138" s="1"/>
      <c r="BW138" s="1"/>
      <c r="BX138" s="1"/>
      <c r="BY138" s="1"/>
      <c r="BZ138" s="1"/>
      <c r="CA138" s="1"/>
      <c r="CB138" s="1"/>
      <c r="CC138" s="1"/>
      <c r="CD138" s="1"/>
      <c r="CE138" s="1"/>
      <c r="CF138" s="1"/>
      <c r="CG138" s="1"/>
      <c r="CH138" s="1"/>
      <c r="CI138" s="1"/>
      <c r="CJ138" s="1"/>
      <c r="CK138" s="1"/>
      <c r="CL138" s="1"/>
      <c r="CM138" s="1"/>
      <c r="CN138" s="1"/>
      <c r="CO138" s="1"/>
      <c r="CP138" s="1"/>
      <c r="CQ138" s="1"/>
      <c r="CR138" s="1"/>
      <c r="CS138" s="1"/>
      <c r="CT138" s="1"/>
      <c r="CU138" s="1"/>
      <c r="CV138" s="1"/>
      <c r="CW138" s="1"/>
      <c r="CX138" s="1"/>
      <c r="CY138" s="1"/>
      <c r="CZ138" s="1"/>
      <c r="DA138" s="1"/>
      <c r="DB138" s="1"/>
      <c r="DC138" s="1"/>
      <c r="DD138" s="1"/>
      <c r="DE138" s="1"/>
      <c r="DF138" s="1"/>
      <c r="DG138" s="1"/>
      <c r="DH138" s="1"/>
      <c r="DI138" s="1"/>
      <c r="DJ138" s="1"/>
      <c r="DK138" s="1"/>
      <c r="DL138" s="1"/>
      <c r="DM138" s="1"/>
      <c r="DN138" s="1"/>
      <c r="DO138" s="1"/>
      <c r="DP138" s="1"/>
      <c r="DQ138" s="1"/>
      <c r="DR138" s="1"/>
      <c r="DS138" s="1"/>
      <c r="DT138" s="1"/>
      <c r="DU138" s="1"/>
      <c r="DV138" s="1"/>
      <c r="DW138" s="1"/>
      <c r="DX138" s="1"/>
      <c r="DY138" s="1"/>
      <c r="DZ138" s="1"/>
      <c r="EA138" s="1"/>
      <c r="EB138" s="1"/>
      <c r="EC138" s="1"/>
      <c r="ED138" s="1"/>
      <c r="EE138" s="1"/>
      <c r="EF138" s="1"/>
      <c r="EG138" s="1"/>
      <c r="EH138" s="1"/>
      <c r="EI138" s="1"/>
      <c r="EJ138" s="1"/>
      <c r="EK138" s="1"/>
      <c r="EL138" s="1"/>
      <c r="EM138" s="1"/>
      <c r="EN138" s="1"/>
      <c r="EO138" s="1"/>
      <c r="EP138" s="1"/>
      <c r="EQ138" s="1"/>
      <c r="ER138" s="1"/>
      <c r="ES138" s="1"/>
      <c r="ET138" s="1"/>
      <c r="EU138" s="1"/>
      <c r="EV138" s="1"/>
      <c r="EW138" s="1"/>
      <c r="EX138" s="1"/>
      <c r="EY138" s="1"/>
      <c r="EZ138" s="1"/>
      <c r="FA138" s="1"/>
      <c r="FB138" s="1"/>
      <c r="FC138" s="1"/>
      <c r="FD138" s="1"/>
      <c r="FE138" s="1"/>
      <c r="FF138" s="1"/>
      <c r="FG138" s="1"/>
      <c r="FH138" s="1"/>
      <c r="FI138" s="1"/>
      <c r="FJ138" s="1"/>
      <c r="FK138" s="1"/>
      <c r="FL138" s="1"/>
      <c r="FM138" s="1"/>
      <c r="FN138" s="1"/>
      <c r="FO138" s="1"/>
      <c r="FP138" s="1"/>
      <c r="FQ138" s="1"/>
      <c r="FR138" s="1"/>
      <c r="FS138" s="1"/>
      <c r="FT138" s="1"/>
      <c r="FU138" s="1"/>
      <c r="FV138" s="1"/>
      <c r="FW138" s="1"/>
      <c r="FX138" s="1"/>
      <c r="FY138" s="1"/>
      <c r="FZ138" s="1"/>
      <c r="GA138" s="1"/>
      <c r="GB138" s="1"/>
      <c r="GC138" s="1"/>
      <c r="GD138" s="1"/>
      <c r="GE138" s="1"/>
      <c r="GF138" s="1"/>
      <c r="GG138" s="1"/>
      <c r="GH138" s="1"/>
      <c r="GI138" s="1"/>
      <c r="GJ138" s="1"/>
      <c r="GK138" s="1"/>
      <c r="GL138" s="1"/>
      <c r="GM138" s="1"/>
      <c r="GN138" s="1"/>
      <c r="GO138" s="1"/>
      <c r="GP138" s="1"/>
      <c r="GQ138" s="1"/>
      <c r="GR138" s="1"/>
      <c r="GS138" s="1"/>
      <c r="GT138" s="1"/>
      <c r="GU138" s="1"/>
      <c r="GV138" s="1"/>
      <c r="GW138" s="1"/>
      <c r="GX138" s="1"/>
      <c r="GY138" s="1"/>
      <c r="GZ138" s="1"/>
      <c r="HA138" s="1"/>
      <c r="HB138" s="1"/>
      <c r="HC138" s="1"/>
      <c r="HD138" s="1"/>
      <c r="HE138" s="1"/>
      <c r="HF138" s="1"/>
      <c r="HG138" s="1"/>
      <c r="HH138" s="1"/>
      <c r="HI138" s="1"/>
      <c r="HJ138" s="1"/>
      <c r="HK138" s="1"/>
      <c r="HL138" s="1"/>
      <c r="HM138" s="1"/>
      <c r="HN138" s="1"/>
      <c r="HO138" s="1"/>
      <c r="HP138" s="1"/>
      <c r="HQ138" s="1"/>
      <c r="HR138" s="1"/>
      <c r="HS138" s="1"/>
      <c r="HT138" s="1"/>
      <c r="HU138" s="1"/>
      <c r="HV138" s="1"/>
      <c r="HW138" s="1"/>
      <c r="HX138" s="1"/>
      <c r="HY138" s="1"/>
      <c r="HZ138" s="1"/>
      <c r="IA138" s="1"/>
      <c r="IB138" s="1"/>
      <c r="IC138" s="1"/>
      <c r="ID138" s="1"/>
      <c r="IE138" s="1"/>
      <c r="IF138" s="1"/>
      <c r="IG138" s="1"/>
      <c r="IH138" s="1"/>
      <c r="II138" s="1"/>
      <c r="IJ138" s="1"/>
      <c r="IK138" s="1"/>
      <c r="IL138" s="1"/>
      <c r="IM138" s="1"/>
      <c r="IN138" s="1"/>
      <c r="IO138" s="1"/>
      <c r="IP138" s="1"/>
      <c r="IQ138" s="1"/>
      <c r="IR138" s="1"/>
      <c r="IS138" s="1"/>
      <c r="IT138" s="1"/>
      <c r="IU138" s="1"/>
      <c r="IV138" s="1"/>
      <c r="IW138" s="1"/>
      <c r="IX138" s="1"/>
      <c r="IY138" s="1"/>
      <c r="IZ138" s="1"/>
      <c r="JA138" s="1"/>
      <c r="JB138" s="1"/>
      <c r="JC138" s="1"/>
      <c r="JD138" s="1"/>
      <c r="JE138" s="1"/>
      <c r="JF138" s="1"/>
      <c r="JG138" s="1"/>
      <c r="JH138" s="1"/>
      <c r="JI138" s="1"/>
      <c r="JJ138" s="1"/>
      <c r="JK138" s="1"/>
      <c r="JL138" s="1"/>
      <c r="JM138" s="1"/>
      <c r="JN138" s="1"/>
      <c r="JO138" s="1"/>
      <c r="JP138" s="1"/>
      <c r="JQ138" s="1"/>
      <c r="JR138" s="1"/>
      <c r="JS138" s="1"/>
      <c r="JT138" s="1"/>
      <c r="JU138" s="1"/>
      <c r="JV138" s="1"/>
      <c r="JW138" s="1"/>
      <c r="JX138" s="1"/>
      <c r="JY138" s="1"/>
      <c r="JZ138" s="1"/>
      <c r="KA138" s="1"/>
      <c r="KB138" s="1"/>
      <c r="KC138" s="1"/>
      <c r="KD138" s="1"/>
      <c r="KE138" s="1"/>
      <c r="KF138" s="1"/>
      <c r="KG138" s="1"/>
      <c r="KH138" s="1"/>
      <c r="KI138" s="1"/>
      <c r="KJ138" s="1"/>
      <c r="KK138" s="1"/>
      <c r="KL138" s="1"/>
      <c r="KM138" s="1"/>
      <c r="KN138" s="1"/>
      <c r="KO138" s="1"/>
      <c r="KP138" s="1"/>
      <c r="KQ138" s="1"/>
      <c r="KR138" s="1"/>
      <c r="KS138" s="1"/>
      <c r="KT138" s="1"/>
      <c r="KU138" s="1"/>
      <c r="KV138" s="1"/>
      <c r="KW138" s="1"/>
      <c r="KX138" s="1"/>
      <c r="KY138" s="1"/>
      <c r="KZ138" s="1"/>
      <c r="LA138" s="1"/>
      <c r="LB138" s="1"/>
      <c r="LC138" s="1"/>
      <c r="LD138" s="1"/>
      <c r="LE138" s="1"/>
      <c r="LF138" s="1"/>
      <c r="LG138" s="1"/>
      <c r="LH138" s="1"/>
      <c r="LI138" s="1"/>
      <c r="LJ138" s="1"/>
      <c r="LK138" s="1"/>
      <c r="LL138" s="1"/>
      <c r="LM138" s="1"/>
      <c r="LN138" s="1"/>
      <c r="LO138" s="1"/>
      <c r="LP138" s="1"/>
      <c r="LQ138" s="1"/>
      <c r="LR138" s="1"/>
      <c r="LS138" s="1"/>
    </row>
    <row r="139" spans="1:331" s="25" customFormat="1" x14ac:dyDescent="0.25">
      <c r="A139" s="25" t="s">
        <v>568</v>
      </c>
      <c r="B139" s="29" t="s">
        <v>569</v>
      </c>
      <c r="C139" s="94" t="s">
        <v>1648</v>
      </c>
      <c r="D139" s="25">
        <v>0</v>
      </c>
      <c r="H139" s="25" t="s">
        <v>350</v>
      </c>
      <c r="I139" s="25" t="s">
        <v>570</v>
      </c>
      <c r="J139" s="25" t="s">
        <v>350</v>
      </c>
      <c r="K139" s="25" t="s">
        <v>570</v>
      </c>
      <c r="L139" s="25">
        <v>0</v>
      </c>
      <c r="O139" s="25">
        <v>0</v>
      </c>
      <c r="Q139" s="96" t="s">
        <v>1541</v>
      </c>
      <c r="R139" s="96"/>
      <c r="S139" s="25">
        <v>10.7</v>
      </c>
      <c r="U139" s="25">
        <v>6</v>
      </c>
      <c r="W139" s="96">
        <v>11</v>
      </c>
      <c r="X139" s="96"/>
      <c r="Y139" s="96"/>
      <c r="Z139" s="25">
        <v>5</v>
      </c>
      <c r="AA139" s="94" t="b">
        <v>1</v>
      </c>
      <c r="AB139" s="1"/>
      <c r="AC139" s="57" t="s">
        <v>1910</v>
      </c>
      <c r="AD139" s="1"/>
      <c r="AE139" s="57"/>
      <c r="AF139" s="1"/>
      <c r="AG139" s="1"/>
      <c r="AH139" s="1"/>
      <c r="AI139" s="1"/>
      <c r="AJ139" s="1"/>
      <c r="AK139" s="1"/>
      <c r="AL139" s="1"/>
      <c r="AM139" s="1"/>
      <c r="AN139" s="1"/>
      <c r="AO139" s="1"/>
      <c r="AP139" s="1"/>
      <c r="AQ139" s="1"/>
      <c r="AR139" s="1"/>
      <c r="AS139" s="1"/>
      <c r="AT139" s="1"/>
      <c r="AU139" s="1"/>
      <c r="AV139" s="1"/>
      <c r="AW139" s="1"/>
      <c r="AX139" s="1"/>
      <c r="AY139" s="1"/>
      <c r="AZ139" s="1"/>
      <c r="BA139" s="1"/>
      <c r="BB139" s="1"/>
      <c r="BC139" s="1"/>
      <c r="BD139" s="1"/>
      <c r="BE139" s="1"/>
      <c r="BF139" s="1"/>
      <c r="BG139" s="1"/>
      <c r="BH139" s="1"/>
      <c r="BI139" s="1"/>
      <c r="BJ139" s="1"/>
      <c r="BK139" s="1"/>
      <c r="BL139" s="1"/>
      <c r="BM139" s="1"/>
      <c r="BN139" s="1"/>
      <c r="BO139" s="1"/>
      <c r="BP139" s="1"/>
      <c r="BQ139" s="1"/>
      <c r="BR139" s="1"/>
      <c r="BS139" s="1"/>
      <c r="BT139" s="1"/>
      <c r="BU139" s="1"/>
      <c r="BV139" s="1"/>
      <c r="BW139" s="1"/>
      <c r="BX139" s="1"/>
      <c r="BY139" s="1"/>
      <c r="BZ139" s="1"/>
      <c r="CA139" s="1"/>
      <c r="CB139" s="1"/>
      <c r="CC139" s="1"/>
      <c r="CD139" s="1"/>
      <c r="CE139" s="1"/>
      <c r="CF139" s="1"/>
      <c r="CG139" s="1"/>
      <c r="CH139" s="1"/>
      <c r="CI139" s="1"/>
      <c r="CJ139" s="1"/>
      <c r="CK139" s="1"/>
      <c r="CL139" s="1"/>
      <c r="CM139" s="1"/>
      <c r="CN139" s="1"/>
      <c r="CO139" s="1"/>
      <c r="CP139" s="1"/>
      <c r="CQ139" s="1"/>
      <c r="CR139" s="1"/>
      <c r="CS139" s="1"/>
      <c r="CT139" s="1"/>
      <c r="CU139" s="1"/>
      <c r="CV139" s="1"/>
      <c r="CW139" s="1"/>
      <c r="CX139" s="1"/>
      <c r="CY139" s="1"/>
      <c r="CZ139" s="1"/>
      <c r="DA139" s="1"/>
      <c r="DB139" s="1"/>
      <c r="DC139" s="1"/>
      <c r="DD139" s="1"/>
      <c r="DE139" s="1"/>
      <c r="DF139" s="1"/>
      <c r="DG139" s="1"/>
      <c r="DH139" s="1"/>
      <c r="DI139" s="1"/>
      <c r="DJ139" s="1"/>
      <c r="DK139" s="1"/>
      <c r="DL139" s="1"/>
      <c r="DM139" s="1"/>
      <c r="DN139" s="1"/>
      <c r="DO139" s="1"/>
      <c r="DP139" s="1"/>
      <c r="DQ139" s="1"/>
      <c r="DR139" s="1"/>
      <c r="DS139" s="1"/>
      <c r="DT139" s="1"/>
      <c r="DU139" s="1"/>
      <c r="DV139" s="1"/>
      <c r="DW139" s="1"/>
      <c r="DX139" s="1"/>
      <c r="DY139" s="1"/>
      <c r="DZ139" s="1"/>
      <c r="EA139" s="1"/>
      <c r="EB139" s="1"/>
      <c r="EC139" s="1"/>
      <c r="ED139" s="1"/>
      <c r="EE139" s="1"/>
      <c r="EF139" s="1"/>
      <c r="EG139" s="1"/>
      <c r="EH139" s="1"/>
      <c r="EI139" s="1"/>
      <c r="EJ139" s="1"/>
      <c r="EK139" s="1"/>
      <c r="EL139" s="1"/>
      <c r="EM139" s="1"/>
      <c r="EN139" s="1"/>
      <c r="EO139" s="1"/>
      <c r="EP139" s="1"/>
      <c r="EQ139" s="1"/>
      <c r="ER139" s="1"/>
      <c r="ES139" s="1"/>
      <c r="ET139" s="1"/>
      <c r="EU139" s="1"/>
      <c r="EV139" s="1"/>
      <c r="EW139" s="1"/>
      <c r="EX139" s="1"/>
      <c r="EY139" s="1"/>
      <c r="EZ139" s="1"/>
      <c r="FA139" s="1"/>
      <c r="FB139" s="1"/>
      <c r="FC139" s="1"/>
      <c r="FD139" s="1"/>
      <c r="FE139" s="1"/>
      <c r="FF139" s="1"/>
      <c r="FG139" s="1"/>
      <c r="FH139" s="1"/>
      <c r="FI139" s="1"/>
      <c r="FJ139" s="1"/>
      <c r="FK139" s="1"/>
      <c r="FL139" s="1"/>
      <c r="FM139" s="1"/>
      <c r="FN139" s="1"/>
      <c r="FO139" s="1"/>
      <c r="FP139" s="1"/>
      <c r="FQ139" s="1"/>
      <c r="FR139" s="1"/>
      <c r="FS139" s="1"/>
      <c r="FT139" s="1"/>
      <c r="FU139" s="1"/>
      <c r="FV139" s="1"/>
      <c r="FW139" s="1"/>
      <c r="FX139" s="1"/>
      <c r="FY139" s="1"/>
      <c r="FZ139" s="1"/>
      <c r="GA139" s="1"/>
      <c r="GB139" s="1"/>
      <c r="GC139" s="1"/>
      <c r="GD139" s="1"/>
      <c r="GE139" s="1"/>
      <c r="GF139" s="1"/>
      <c r="GG139" s="1"/>
      <c r="GH139" s="1"/>
      <c r="GI139" s="1"/>
      <c r="GJ139" s="1"/>
      <c r="GK139" s="1"/>
      <c r="GL139" s="1"/>
      <c r="GM139" s="1"/>
      <c r="GN139" s="1"/>
      <c r="GO139" s="1"/>
      <c r="GP139" s="1"/>
      <c r="GQ139" s="1"/>
      <c r="GR139" s="1"/>
      <c r="GS139" s="1"/>
      <c r="GT139" s="1"/>
      <c r="GU139" s="1"/>
      <c r="GV139" s="1"/>
      <c r="GW139" s="1"/>
      <c r="GX139" s="1"/>
      <c r="GY139" s="1"/>
      <c r="GZ139" s="1"/>
      <c r="HA139" s="1"/>
      <c r="HB139" s="1"/>
      <c r="HC139" s="1"/>
      <c r="HD139" s="1"/>
      <c r="HE139" s="1"/>
      <c r="HF139" s="1"/>
      <c r="HG139" s="1"/>
      <c r="HH139" s="1"/>
      <c r="HI139" s="1"/>
      <c r="HJ139" s="1"/>
      <c r="HK139" s="1"/>
      <c r="HL139" s="1"/>
      <c r="HM139" s="1"/>
      <c r="HN139" s="1"/>
      <c r="HO139" s="1"/>
      <c r="HP139" s="1"/>
      <c r="HQ139" s="1"/>
      <c r="HR139" s="1"/>
      <c r="HS139" s="1"/>
      <c r="HT139" s="1"/>
      <c r="HU139" s="1"/>
      <c r="HV139" s="1"/>
      <c r="HW139" s="1"/>
      <c r="HX139" s="1"/>
      <c r="HY139" s="1"/>
      <c r="HZ139" s="1"/>
      <c r="IA139" s="1"/>
      <c r="IB139" s="1"/>
      <c r="IC139" s="1"/>
      <c r="ID139" s="1"/>
      <c r="IE139" s="1"/>
      <c r="IF139" s="1"/>
      <c r="IG139" s="1"/>
      <c r="IH139" s="1"/>
      <c r="II139" s="1"/>
      <c r="IJ139" s="1"/>
      <c r="IK139" s="1"/>
      <c r="IL139" s="1"/>
      <c r="IM139" s="1"/>
      <c r="IN139" s="1"/>
      <c r="IO139" s="1"/>
      <c r="IP139" s="1"/>
      <c r="IQ139" s="1"/>
      <c r="IR139" s="1"/>
      <c r="IS139" s="1"/>
      <c r="IT139" s="1"/>
      <c r="IU139" s="1"/>
      <c r="IV139" s="1"/>
      <c r="IW139" s="1"/>
      <c r="IX139" s="1"/>
      <c r="IY139" s="1"/>
      <c r="IZ139" s="1"/>
      <c r="JA139" s="1"/>
      <c r="JB139" s="1"/>
      <c r="JC139" s="1"/>
      <c r="JD139" s="1"/>
      <c r="JE139" s="1"/>
      <c r="JF139" s="1"/>
      <c r="JG139" s="1"/>
      <c r="JH139" s="1"/>
      <c r="JI139" s="1"/>
      <c r="JJ139" s="1"/>
      <c r="JK139" s="1"/>
      <c r="JL139" s="1"/>
      <c r="JM139" s="1"/>
      <c r="JN139" s="1"/>
      <c r="JO139" s="1"/>
      <c r="JP139" s="1"/>
      <c r="JQ139" s="1"/>
      <c r="JR139" s="1"/>
      <c r="JS139" s="1"/>
      <c r="JT139" s="1"/>
      <c r="JU139" s="1"/>
      <c r="JV139" s="1"/>
      <c r="JW139" s="1"/>
      <c r="JX139" s="1"/>
      <c r="JY139" s="1"/>
      <c r="JZ139" s="1"/>
      <c r="KA139" s="1"/>
      <c r="KB139" s="1"/>
      <c r="KC139" s="1"/>
      <c r="KD139" s="1"/>
      <c r="KE139" s="1"/>
      <c r="KF139" s="1"/>
      <c r="KG139" s="1"/>
      <c r="KH139" s="1"/>
      <c r="KI139" s="1"/>
      <c r="KJ139" s="1"/>
      <c r="KK139" s="1"/>
      <c r="KL139" s="1"/>
      <c r="KM139" s="1"/>
      <c r="KN139" s="1"/>
      <c r="KO139" s="1"/>
      <c r="KP139" s="1"/>
      <c r="KQ139" s="1"/>
      <c r="KR139" s="1"/>
      <c r="KS139" s="1"/>
      <c r="KT139" s="1"/>
      <c r="KU139" s="1"/>
      <c r="KV139" s="1"/>
      <c r="KW139" s="1"/>
      <c r="KX139" s="1"/>
      <c r="KY139" s="1"/>
      <c r="KZ139" s="1"/>
      <c r="LA139" s="1"/>
      <c r="LB139" s="1"/>
      <c r="LC139" s="1"/>
      <c r="LD139" s="1"/>
      <c r="LE139" s="1"/>
      <c r="LF139" s="1"/>
      <c r="LG139" s="1"/>
      <c r="LH139" s="1"/>
      <c r="LI139" s="1"/>
      <c r="LJ139" s="1"/>
      <c r="LK139" s="1"/>
      <c r="LL139" s="1"/>
      <c r="LM139" s="1"/>
      <c r="LN139" s="1"/>
      <c r="LO139" s="1"/>
      <c r="LP139" s="1"/>
      <c r="LQ139" s="1"/>
      <c r="LR139" s="1"/>
      <c r="LS139" s="1"/>
    </row>
    <row r="140" spans="1:331" s="35" customFormat="1" x14ac:dyDescent="0.25">
      <c r="A140" s="35" t="s">
        <v>571</v>
      </c>
      <c r="B140" s="39" t="s">
        <v>572</v>
      </c>
      <c r="C140" s="94" t="s">
        <v>1648</v>
      </c>
      <c r="D140" s="35">
        <v>0</v>
      </c>
      <c r="H140" s="35" t="s">
        <v>350</v>
      </c>
      <c r="I140" s="35" t="s">
        <v>573</v>
      </c>
      <c r="J140" s="35" t="s">
        <v>350</v>
      </c>
      <c r="K140" s="35" t="s">
        <v>144</v>
      </c>
      <c r="L140" s="35">
        <v>0</v>
      </c>
      <c r="O140" s="35">
        <v>1</v>
      </c>
      <c r="Q140" s="96"/>
      <c r="R140" s="96" t="s">
        <v>574</v>
      </c>
      <c r="S140" s="35">
        <v>25</v>
      </c>
      <c r="W140" s="96">
        <v>25</v>
      </c>
      <c r="X140" s="96"/>
      <c r="Y140" s="96"/>
      <c r="Z140" s="35">
        <v>7</v>
      </c>
      <c r="AA140" s="94" t="b">
        <v>1</v>
      </c>
      <c r="AB140" s="1" t="s">
        <v>1899</v>
      </c>
      <c r="AC140" s="57" t="s">
        <v>1291</v>
      </c>
      <c r="AD140" s="1"/>
      <c r="AE140" s="57"/>
      <c r="AF140" s="1"/>
      <c r="AG140" s="1"/>
      <c r="AH140" s="1"/>
      <c r="AI140" s="1"/>
      <c r="AJ140" s="1"/>
      <c r="AK140" s="1"/>
      <c r="AL140" s="1"/>
      <c r="AM140" s="1"/>
      <c r="AN140" s="1"/>
      <c r="AO140" s="1"/>
      <c r="AP140" s="1"/>
      <c r="AQ140" s="1"/>
      <c r="AR140" s="1"/>
      <c r="AS140" s="1"/>
      <c r="AT140" s="1"/>
      <c r="AU140" s="1"/>
      <c r="AV140" s="1"/>
      <c r="AW140" s="1"/>
      <c r="AX140" s="1"/>
      <c r="AY140" s="1"/>
      <c r="AZ140" s="1"/>
      <c r="BA140" s="1"/>
      <c r="BB140" s="1"/>
      <c r="BC140" s="1"/>
      <c r="BD140" s="1"/>
      <c r="BE140" s="1"/>
      <c r="BF140" s="1"/>
      <c r="BG140" s="1"/>
      <c r="BH140" s="1"/>
      <c r="BI140" s="1"/>
      <c r="BJ140" s="1"/>
      <c r="BK140" s="1"/>
      <c r="BL140" s="1"/>
      <c r="BM140" s="1"/>
      <c r="BN140" s="1"/>
      <c r="BO140" s="1"/>
      <c r="BP140" s="1"/>
      <c r="BQ140" s="1"/>
      <c r="BR140" s="1"/>
      <c r="BS140" s="1"/>
      <c r="BT140" s="1"/>
      <c r="BU140" s="1"/>
      <c r="BV140" s="1"/>
      <c r="BW140" s="1"/>
      <c r="BX140" s="1"/>
      <c r="BY140" s="1"/>
      <c r="BZ140" s="1"/>
      <c r="CA140" s="1"/>
      <c r="CB140" s="1"/>
      <c r="CC140" s="1"/>
      <c r="CD140" s="1"/>
      <c r="CE140" s="1"/>
      <c r="CF140" s="1"/>
      <c r="CG140" s="1"/>
      <c r="CH140" s="1"/>
      <c r="CI140" s="1"/>
      <c r="CJ140" s="1"/>
      <c r="CK140" s="1"/>
      <c r="CL140" s="1"/>
      <c r="CM140" s="1"/>
      <c r="CN140" s="1"/>
      <c r="CO140" s="1"/>
      <c r="CP140" s="1"/>
      <c r="CQ140" s="1"/>
      <c r="CR140" s="1"/>
      <c r="CS140" s="1"/>
      <c r="CT140" s="1"/>
      <c r="CU140" s="1"/>
      <c r="CV140" s="1"/>
      <c r="CW140" s="1"/>
      <c r="CX140" s="1"/>
      <c r="CY140" s="1"/>
      <c r="CZ140" s="1"/>
      <c r="DA140" s="1"/>
      <c r="DB140" s="1"/>
      <c r="DC140" s="1"/>
      <c r="DD140" s="1"/>
      <c r="DE140" s="1"/>
      <c r="DF140" s="1"/>
      <c r="DG140" s="1"/>
      <c r="DH140" s="1"/>
      <c r="DI140" s="1"/>
      <c r="DJ140" s="1"/>
      <c r="DK140" s="1"/>
      <c r="DL140" s="1"/>
      <c r="DM140" s="1"/>
      <c r="DN140" s="1"/>
      <c r="DO140" s="1"/>
      <c r="DP140" s="1"/>
      <c r="DQ140" s="1"/>
      <c r="DR140" s="1"/>
      <c r="DS140" s="1"/>
      <c r="DT140" s="1"/>
      <c r="DU140" s="1"/>
      <c r="DV140" s="1"/>
      <c r="DW140" s="1"/>
      <c r="DX140" s="1"/>
      <c r="DY140" s="1"/>
      <c r="DZ140" s="1"/>
      <c r="EA140" s="1"/>
      <c r="EB140" s="1"/>
      <c r="EC140" s="1"/>
      <c r="ED140" s="1"/>
      <c r="EE140" s="1"/>
      <c r="EF140" s="1"/>
      <c r="EG140" s="1"/>
      <c r="EH140" s="1"/>
      <c r="EI140" s="1"/>
      <c r="EJ140" s="1"/>
      <c r="EK140" s="1"/>
      <c r="EL140" s="1"/>
      <c r="EM140" s="1"/>
      <c r="EN140" s="1"/>
      <c r="EO140" s="1"/>
      <c r="EP140" s="1"/>
      <c r="EQ140" s="1"/>
      <c r="ER140" s="1"/>
      <c r="ES140" s="1"/>
      <c r="ET140" s="1"/>
      <c r="EU140" s="1"/>
      <c r="EV140" s="1"/>
      <c r="EW140" s="1"/>
      <c r="EX140" s="1"/>
      <c r="EY140" s="1"/>
      <c r="EZ140" s="1"/>
      <c r="FA140" s="1"/>
      <c r="FB140" s="1"/>
      <c r="FC140" s="1"/>
      <c r="FD140" s="1"/>
      <c r="FE140" s="1"/>
      <c r="FF140" s="1"/>
      <c r="FG140" s="1"/>
      <c r="FH140" s="1"/>
      <c r="FI140" s="1"/>
      <c r="FJ140" s="1"/>
      <c r="FK140" s="1"/>
      <c r="FL140" s="1"/>
      <c r="FM140" s="1"/>
      <c r="FN140" s="1"/>
      <c r="FO140" s="1"/>
      <c r="FP140" s="1"/>
      <c r="FQ140" s="1"/>
      <c r="FR140" s="1"/>
      <c r="FS140" s="1"/>
      <c r="FT140" s="1"/>
      <c r="FU140" s="1"/>
      <c r="FV140" s="1"/>
      <c r="FW140" s="1"/>
      <c r="FX140" s="1"/>
      <c r="FY140" s="1"/>
      <c r="FZ140" s="1"/>
      <c r="GA140" s="1"/>
      <c r="GB140" s="1"/>
      <c r="GC140" s="1"/>
      <c r="GD140" s="1"/>
      <c r="GE140" s="1"/>
      <c r="GF140" s="1"/>
      <c r="GG140" s="1"/>
      <c r="GH140" s="1"/>
      <c r="GI140" s="1"/>
      <c r="GJ140" s="1"/>
      <c r="GK140" s="1"/>
      <c r="GL140" s="1"/>
      <c r="GM140" s="1"/>
      <c r="GN140" s="1"/>
      <c r="GO140" s="1"/>
      <c r="GP140" s="1"/>
      <c r="GQ140" s="1"/>
      <c r="GR140" s="1"/>
      <c r="GS140" s="1"/>
      <c r="GT140" s="1"/>
      <c r="GU140" s="1"/>
      <c r="GV140" s="1"/>
      <c r="GW140" s="1"/>
      <c r="GX140" s="1"/>
      <c r="GY140" s="1"/>
      <c r="GZ140" s="1"/>
      <c r="HA140" s="1"/>
      <c r="HB140" s="1"/>
      <c r="HC140" s="1"/>
      <c r="HD140" s="1"/>
      <c r="HE140" s="1"/>
      <c r="HF140" s="1"/>
      <c r="HG140" s="1"/>
      <c r="HH140" s="1"/>
      <c r="HI140" s="1"/>
      <c r="HJ140" s="1"/>
      <c r="HK140" s="1"/>
      <c r="HL140" s="1"/>
      <c r="HM140" s="1"/>
      <c r="HN140" s="1"/>
      <c r="HO140" s="1"/>
      <c r="HP140" s="1"/>
      <c r="HQ140" s="1"/>
      <c r="HR140" s="1"/>
      <c r="HS140" s="1"/>
      <c r="HT140" s="1"/>
      <c r="HU140" s="1"/>
      <c r="HV140" s="1"/>
      <c r="HW140" s="1"/>
      <c r="HX140" s="1"/>
      <c r="HY140" s="1"/>
      <c r="HZ140" s="1"/>
      <c r="IA140" s="1"/>
      <c r="IB140" s="1"/>
      <c r="IC140" s="1"/>
      <c r="ID140" s="1"/>
      <c r="IE140" s="1"/>
      <c r="IF140" s="1"/>
      <c r="IG140" s="1"/>
      <c r="IH140" s="1"/>
      <c r="II140" s="1"/>
      <c r="IJ140" s="1"/>
      <c r="IK140" s="1"/>
      <c r="IL140" s="1"/>
      <c r="IM140" s="1"/>
      <c r="IN140" s="1"/>
      <c r="IO140" s="1"/>
      <c r="IP140" s="1"/>
      <c r="IQ140" s="1"/>
      <c r="IR140" s="1"/>
      <c r="IS140" s="1"/>
      <c r="IT140" s="1"/>
      <c r="IU140" s="1"/>
      <c r="IV140" s="1"/>
      <c r="IW140" s="1"/>
      <c r="IX140" s="1"/>
      <c r="IY140" s="1"/>
      <c r="IZ140" s="1"/>
      <c r="JA140" s="1"/>
      <c r="JB140" s="1"/>
      <c r="JC140" s="1"/>
      <c r="JD140" s="1"/>
      <c r="JE140" s="1"/>
      <c r="JF140" s="1"/>
      <c r="JG140" s="1"/>
      <c r="JH140" s="1"/>
      <c r="JI140" s="1"/>
      <c r="JJ140" s="1"/>
      <c r="JK140" s="1"/>
      <c r="JL140" s="1"/>
      <c r="JM140" s="1"/>
      <c r="JN140" s="1"/>
      <c r="JO140" s="1"/>
      <c r="JP140" s="1"/>
      <c r="JQ140" s="1"/>
      <c r="JR140" s="1"/>
      <c r="JS140" s="1"/>
      <c r="JT140" s="1"/>
      <c r="JU140" s="1"/>
      <c r="JV140" s="1"/>
      <c r="JW140" s="1"/>
      <c r="JX140" s="1"/>
      <c r="JY140" s="1"/>
      <c r="JZ140" s="1"/>
      <c r="KA140" s="1"/>
      <c r="KB140" s="1"/>
      <c r="KC140" s="1"/>
      <c r="KD140" s="1"/>
      <c r="KE140" s="1"/>
      <c r="KF140" s="1"/>
      <c r="KG140" s="1"/>
      <c r="KH140" s="1"/>
      <c r="KI140" s="1"/>
      <c r="KJ140" s="1"/>
      <c r="KK140" s="1"/>
      <c r="KL140" s="1"/>
      <c r="KM140" s="1"/>
      <c r="KN140" s="1"/>
      <c r="KO140" s="1"/>
      <c r="KP140" s="1"/>
      <c r="KQ140" s="1"/>
      <c r="KR140" s="1"/>
      <c r="KS140" s="1"/>
      <c r="KT140" s="1"/>
      <c r="KU140" s="1"/>
      <c r="KV140" s="1"/>
      <c r="KW140" s="1"/>
      <c r="KX140" s="1"/>
      <c r="KY140" s="1"/>
      <c r="KZ140" s="1"/>
      <c r="LA140" s="1"/>
      <c r="LB140" s="1"/>
      <c r="LC140" s="1"/>
      <c r="LD140" s="1"/>
      <c r="LE140" s="1"/>
      <c r="LF140" s="1"/>
      <c r="LG140" s="1"/>
      <c r="LH140" s="1"/>
      <c r="LI140" s="1"/>
      <c r="LJ140" s="1"/>
      <c r="LK140" s="1"/>
      <c r="LL140" s="1"/>
      <c r="LM140" s="1"/>
      <c r="LN140" s="1"/>
      <c r="LO140" s="1"/>
      <c r="LP140" s="1"/>
      <c r="LQ140" s="1"/>
      <c r="LR140" s="1"/>
      <c r="LS140" s="1"/>
    </row>
    <row r="141" spans="1:331" s="25" customFormat="1" x14ac:dyDescent="0.25">
      <c r="A141" s="25" t="s">
        <v>575</v>
      </c>
      <c r="B141" s="29" t="s">
        <v>576</v>
      </c>
      <c r="C141" s="94" t="s">
        <v>1648</v>
      </c>
      <c r="D141" s="25">
        <v>0</v>
      </c>
      <c r="H141" s="25" t="s">
        <v>100</v>
      </c>
      <c r="I141" s="25" t="s">
        <v>473</v>
      </c>
      <c r="J141" s="25" t="s">
        <v>100</v>
      </c>
      <c r="K141" s="25" t="s">
        <v>100</v>
      </c>
      <c r="L141" s="25">
        <v>0</v>
      </c>
      <c r="O141" s="25">
        <v>0</v>
      </c>
      <c r="Q141" s="96" t="s">
        <v>84</v>
      </c>
      <c r="R141" s="96"/>
      <c r="S141" s="25">
        <v>8</v>
      </c>
      <c r="W141" s="96">
        <v>8</v>
      </c>
      <c r="X141" s="96"/>
      <c r="Y141" s="96"/>
      <c r="Z141" s="25">
        <v>5</v>
      </c>
      <c r="AA141" s="94" t="b">
        <v>1</v>
      </c>
      <c r="AB141" s="1" t="s">
        <v>1893</v>
      </c>
      <c r="AC141" s="57" t="s">
        <v>1860</v>
      </c>
      <c r="AD141" s="1"/>
      <c r="AE141" s="57"/>
      <c r="AF141" s="1"/>
      <c r="AG141" s="1"/>
      <c r="AH141" s="1"/>
      <c r="AI141" s="1"/>
      <c r="AJ141" s="1"/>
      <c r="AK141" s="1"/>
      <c r="AL141" s="1"/>
      <c r="AM141" s="1"/>
      <c r="AN141" s="1"/>
      <c r="AO141" s="1"/>
      <c r="AP141" s="1"/>
      <c r="AQ141" s="1"/>
      <c r="AR141" s="1"/>
      <c r="AS141" s="1"/>
      <c r="AT141" s="1"/>
      <c r="AU141" s="1"/>
      <c r="AV141" s="1"/>
      <c r="AW141" s="1"/>
      <c r="AX141" s="1"/>
      <c r="AY141" s="1"/>
      <c r="AZ141" s="1"/>
      <c r="BA141" s="1"/>
      <c r="BB141" s="1"/>
      <c r="BC141" s="1"/>
      <c r="BD141" s="1"/>
      <c r="BE141" s="1"/>
      <c r="BF141" s="1"/>
      <c r="BG141" s="1"/>
      <c r="BH141" s="1"/>
      <c r="BI141" s="1"/>
      <c r="BJ141" s="1"/>
      <c r="BK141" s="1"/>
      <c r="BL141" s="1"/>
      <c r="BM141" s="1"/>
      <c r="BN141" s="1"/>
      <c r="BO141" s="1"/>
      <c r="BP141" s="1"/>
      <c r="BQ141" s="1"/>
      <c r="BR141" s="1"/>
      <c r="BS141" s="1"/>
      <c r="BT141" s="1"/>
      <c r="BU141" s="1"/>
      <c r="BV141" s="1"/>
      <c r="BW141" s="1"/>
      <c r="BX141" s="1"/>
      <c r="BY141" s="1"/>
      <c r="BZ141" s="1"/>
      <c r="CA141" s="1"/>
      <c r="CB141" s="1"/>
      <c r="CC141" s="1"/>
      <c r="CD141" s="1"/>
      <c r="CE141" s="1"/>
      <c r="CF141" s="1"/>
      <c r="CG141" s="1"/>
      <c r="CH141" s="1"/>
      <c r="CI141" s="1"/>
      <c r="CJ141" s="1"/>
      <c r="CK141" s="1"/>
      <c r="CL141" s="1"/>
      <c r="CM141" s="1"/>
      <c r="CN141" s="1"/>
      <c r="CO141" s="1"/>
      <c r="CP141" s="1"/>
      <c r="CQ141" s="1"/>
      <c r="CR141" s="1"/>
      <c r="CS141" s="1"/>
      <c r="CT141" s="1"/>
      <c r="CU141" s="1"/>
      <c r="CV141" s="1"/>
      <c r="CW141" s="1"/>
      <c r="CX141" s="1"/>
      <c r="CY141" s="1"/>
      <c r="CZ141" s="1"/>
      <c r="DA141" s="1"/>
      <c r="DB141" s="1"/>
      <c r="DC141" s="1"/>
      <c r="DD141" s="1"/>
      <c r="DE141" s="1"/>
      <c r="DF141" s="1"/>
      <c r="DG141" s="1"/>
      <c r="DH141" s="1"/>
      <c r="DI141" s="1"/>
      <c r="DJ141" s="1"/>
      <c r="DK141" s="1"/>
      <c r="DL141" s="1"/>
      <c r="DM141" s="1"/>
      <c r="DN141" s="1"/>
      <c r="DO141" s="1"/>
      <c r="DP141" s="1"/>
      <c r="DQ141" s="1"/>
      <c r="DR141" s="1"/>
      <c r="DS141" s="1"/>
      <c r="DT141" s="1"/>
      <c r="DU141" s="1"/>
      <c r="DV141" s="1"/>
      <c r="DW141" s="1"/>
      <c r="DX141" s="1"/>
      <c r="DY141" s="1"/>
      <c r="DZ141" s="1"/>
      <c r="EA141" s="1"/>
      <c r="EB141" s="1"/>
      <c r="EC141" s="1"/>
      <c r="ED141" s="1"/>
      <c r="EE141" s="1"/>
      <c r="EF141" s="1"/>
      <c r="EG141" s="1"/>
      <c r="EH141" s="1"/>
      <c r="EI141" s="1"/>
      <c r="EJ141" s="1"/>
      <c r="EK141" s="1"/>
      <c r="EL141" s="1"/>
      <c r="EM141" s="1"/>
      <c r="EN141" s="1"/>
      <c r="EO141" s="1"/>
      <c r="EP141" s="1"/>
      <c r="EQ141" s="1"/>
      <c r="ER141" s="1"/>
      <c r="ES141" s="1"/>
      <c r="ET141" s="1"/>
      <c r="EU141" s="1"/>
      <c r="EV141" s="1"/>
      <c r="EW141" s="1"/>
      <c r="EX141" s="1"/>
      <c r="EY141" s="1"/>
      <c r="EZ141" s="1"/>
      <c r="FA141" s="1"/>
      <c r="FB141" s="1"/>
      <c r="FC141" s="1"/>
      <c r="FD141" s="1"/>
      <c r="FE141" s="1"/>
      <c r="FF141" s="1"/>
      <c r="FG141" s="1"/>
      <c r="FH141" s="1"/>
      <c r="FI141" s="1"/>
      <c r="FJ141" s="1"/>
      <c r="FK141" s="1"/>
      <c r="FL141" s="1"/>
      <c r="FM141" s="1"/>
      <c r="FN141" s="1"/>
      <c r="FO141" s="1"/>
      <c r="FP141" s="1"/>
      <c r="FQ141" s="1"/>
      <c r="FR141" s="1"/>
      <c r="FS141" s="1"/>
      <c r="FT141" s="1"/>
      <c r="FU141" s="1"/>
      <c r="FV141" s="1"/>
      <c r="FW141" s="1"/>
      <c r="FX141" s="1"/>
      <c r="FY141" s="1"/>
      <c r="FZ141" s="1"/>
      <c r="GA141" s="1"/>
      <c r="GB141" s="1"/>
      <c r="GC141" s="1"/>
      <c r="GD141" s="1"/>
      <c r="GE141" s="1"/>
      <c r="GF141" s="1"/>
      <c r="GG141" s="1"/>
      <c r="GH141" s="1"/>
      <c r="GI141" s="1"/>
      <c r="GJ141" s="1"/>
      <c r="GK141" s="1"/>
      <c r="GL141" s="1"/>
      <c r="GM141" s="1"/>
      <c r="GN141" s="1"/>
      <c r="GO141" s="1"/>
      <c r="GP141" s="1"/>
      <c r="GQ141" s="1"/>
      <c r="GR141" s="1"/>
      <c r="GS141" s="1"/>
      <c r="GT141" s="1"/>
      <c r="GU141" s="1"/>
      <c r="GV141" s="1"/>
      <c r="GW141" s="1"/>
      <c r="GX141" s="1"/>
      <c r="GY141" s="1"/>
      <c r="GZ141" s="1"/>
      <c r="HA141" s="1"/>
      <c r="HB141" s="1"/>
      <c r="HC141" s="1"/>
      <c r="HD141" s="1"/>
      <c r="HE141" s="1"/>
      <c r="HF141" s="1"/>
      <c r="HG141" s="1"/>
      <c r="HH141" s="1"/>
      <c r="HI141" s="1"/>
      <c r="HJ141" s="1"/>
      <c r="HK141" s="1"/>
      <c r="HL141" s="1"/>
      <c r="HM141" s="1"/>
      <c r="HN141" s="1"/>
      <c r="HO141" s="1"/>
      <c r="HP141" s="1"/>
      <c r="HQ141" s="1"/>
      <c r="HR141" s="1"/>
      <c r="HS141" s="1"/>
      <c r="HT141" s="1"/>
      <c r="HU141" s="1"/>
      <c r="HV141" s="1"/>
      <c r="HW141" s="1"/>
      <c r="HX141" s="1"/>
      <c r="HY141" s="1"/>
      <c r="HZ141" s="1"/>
      <c r="IA141" s="1"/>
      <c r="IB141" s="1"/>
      <c r="IC141" s="1"/>
      <c r="ID141" s="1"/>
      <c r="IE141" s="1"/>
      <c r="IF141" s="1"/>
      <c r="IG141" s="1"/>
      <c r="IH141" s="1"/>
      <c r="II141" s="1"/>
      <c r="IJ141" s="1"/>
      <c r="IK141" s="1"/>
      <c r="IL141" s="1"/>
      <c r="IM141" s="1"/>
      <c r="IN141" s="1"/>
      <c r="IO141" s="1"/>
      <c r="IP141" s="1"/>
      <c r="IQ141" s="1"/>
      <c r="IR141" s="1"/>
      <c r="IS141" s="1"/>
      <c r="IT141" s="1"/>
      <c r="IU141" s="1"/>
      <c r="IV141" s="1"/>
      <c r="IW141" s="1"/>
      <c r="IX141" s="1"/>
      <c r="IY141" s="1"/>
      <c r="IZ141" s="1"/>
      <c r="JA141" s="1"/>
      <c r="JB141" s="1"/>
      <c r="JC141" s="1"/>
      <c r="JD141" s="1"/>
      <c r="JE141" s="1"/>
      <c r="JF141" s="1"/>
      <c r="JG141" s="1"/>
      <c r="JH141" s="1"/>
      <c r="JI141" s="1"/>
      <c r="JJ141" s="1"/>
      <c r="JK141" s="1"/>
      <c r="JL141" s="1"/>
      <c r="JM141" s="1"/>
      <c r="JN141" s="1"/>
      <c r="JO141" s="1"/>
      <c r="JP141" s="1"/>
      <c r="JQ141" s="1"/>
      <c r="JR141" s="1"/>
      <c r="JS141" s="1"/>
      <c r="JT141" s="1"/>
      <c r="JU141" s="1"/>
      <c r="JV141" s="1"/>
      <c r="JW141" s="1"/>
      <c r="JX141" s="1"/>
      <c r="JY141" s="1"/>
      <c r="JZ141" s="1"/>
      <c r="KA141" s="1"/>
      <c r="KB141" s="1"/>
      <c r="KC141" s="1"/>
      <c r="KD141" s="1"/>
      <c r="KE141" s="1"/>
      <c r="KF141" s="1"/>
      <c r="KG141" s="1"/>
      <c r="KH141" s="1"/>
      <c r="KI141" s="1"/>
      <c r="KJ141" s="1"/>
      <c r="KK141" s="1"/>
      <c r="KL141" s="1"/>
      <c r="KM141" s="1"/>
      <c r="KN141" s="1"/>
      <c r="KO141" s="1"/>
      <c r="KP141" s="1"/>
      <c r="KQ141" s="1"/>
      <c r="KR141" s="1"/>
      <c r="KS141" s="1"/>
      <c r="KT141" s="1"/>
      <c r="KU141" s="1"/>
      <c r="KV141" s="1"/>
      <c r="KW141" s="1"/>
      <c r="KX141" s="1"/>
      <c r="KY141" s="1"/>
      <c r="KZ141" s="1"/>
      <c r="LA141" s="1"/>
      <c r="LB141" s="1"/>
      <c r="LC141" s="1"/>
      <c r="LD141" s="1"/>
      <c r="LE141" s="1"/>
      <c r="LF141" s="1"/>
      <c r="LG141" s="1"/>
      <c r="LH141" s="1"/>
      <c r="LI141" s="1"/>
      <c r="LJ141" s="1"/>
      <c r="LK141" s="1"/>
      <c r="LL141" s="1"/>
      <c r="LM141" s="1"/>
      <c r="LN141" s="1"/>
      <c r="LO141" s="1"/>
      <c r="LP141" s="1"/>
      <c r="LQ141" s="1"/>
      <c r="LR141" s="1"/>
      <c r="LS141" s="1"/>
    </row>
    <row r="142" spans="1:331" s="30" customFormat="1" x14ac:dyDescent="0.25">
      <c r="A142" s="30" t="s">
        <v>577</v>
      </c>
      <c r="B142" s="30" t="s">
        <v>578</v>
      </c>
      <c r="C142" s="96" t="s">
        <v>1648</v>
      </c>
      <c r="D142" s="30">
        <v>1</v>
      </c>
      <c r="E142" s="30" t="s">
        <v>579</v>
      </c>
      <c r="H142" s="30" t="s">
        <v>580</v>
      </c>
      <c r="I142" s="30" t="s">
        <v>581</v>
      </c>
      <c r="J142" s="30" t="s">
        <v>582</v>
      </c>
      <c r="K142" s="30" t="s">
        <v>580</v>
      </c>
      <c r="L142" s="30">
        <v>0</v>
      </c>
      <c r="O142" s="30">
        <v>1</v>
      </c>
      <c r="Q142" s="96" t="s">
        <v>1542</v>
      </c>
      <c r="R142" s="96"/>
      <c r="S142" s="30">
        <v>11.4</v>
      </c>
      <c r="U142" s="30">
        <v>6</v>
      </c>
      <c r="W142" s="96">
        <v>11</v>
      </c>
      <c r="X142" s="96"/>
      <c r="Y142" s="96"/>
      <c r="Z142" s="30">
        <v>6</v>
      </c>
      <c r="AA142" s="94" t="b">
        <v>1</v>
      </c>
      <c r="AB142" s="1"/>
      <c r="AC142" s="57" t="s">
        <v>1911</v>
      </c>
      <c r="AD142" s="1"/>
      <c r="AE142" s="57"/>
      <c r="AF142" s="1"/>
      <c r="AG142" s="1"/>
      <c r="AH142" s="1"/>
      <c r="AI142" s="1"/>
      <c r="AJ142" s="1"/>
      <c r="AK142" s="1"/>
      <c r="AL142" s="1"/>
      <c r="AM142" s="1"/>
      <c r="AN142" s="1"/>
      <c r="AO142" s="1"/>
      <c r="AP142" s="1"/>
      <c r="AQ142" s="1"/>
      <c r="AR142" s="1"/>
      <c r="AS142" s="1"/>
      <c r="AT142" s="1"/>
      <c r="AU142" s="1"/>
      <c r="AV142" s="1"/>
      <c r="AW142" s="1"/>
      <c r="AX142" s="1"/>
      <c r="AY142" s="1"/>
      <c r="AZ142" s="1"/>
      <c r="BA142" s="1"/>
      <c r="BB142" s="1"/>
      <c r="BC142" s="1"/>
      <c r="BD142" s="1"/>
      <c r="BE142" s="1"/>
      <c r="BF142" s="1"/>
      <c r="BG142" s="1"/>
      <c r="BH142" s="1"/>
      <c r="BI142" s="1"/>
      <c r="BJ142" s="1"/>
      <c r="BK142" s="1"/>
      <c r="BL142" s="1"/>
      <c r="BM142" s="1"/>
      <c r="BN142" s="1"/>
      <c r="BO142" s="1"/>
      <c r="BP142" s="1"/>
      <c r="BQ142" s="1"/>
      <c r="BR142" s="1"/>
      <c r="BS142" s="1"/>
      <c r="BT142" s="1"/>
      <c r="BU142" s="1"/>
      <c r="BV142" s="1"/>
      <c r="BW142" s="1"/>
      <c r="BX142" s="1"/>
      <c r="BY142" s="1"/>
      <c r="BZ142" s="1"/>
      <c r="CA142" s="1"/>
      <c r="CB142" s="1"/>
      <c r="CC142" s="1"/>
      <c r="CD142" s="1"/>
      <c r="CE142" s="1"/>
      <c r="CF142" s="1"/>
      <c r="CG142" s="1"/>
      <c r="CH142" s="1"/>
      <c r="CI142" s="1"/>
      <c r="CJ142" s="1"/>
      <c r="CK142" s="1"/>
      <c r="CL142" s="1"/>
      <c r="CM142" s="1"/>
      <c r="CN142" s="1"/>
      <c r="CO142" s="1"/>
      <c r="CP142" s="1"/>
      <c r="CQ142" s="1"/>
      <c r="CR142" s="1"/>
      <c r="CS142" s="1"/>
      <c r="CT142" s="1"/>
      <c r="CU142" s="1"/>
      <c r="CV142" s="1"/>
      <c r="CW142" s="1"/>
      <c r="CX142" s="1"/>
      <c r="CY142" s="1"/>
      <c r="CZ142" s="1"/>
      <c r="DA142" s="1"/>
      <c r="DB142" s="1"/>
      <c r="DC142" s="1"/>
      <c r="DD142" s="1"/>
      <c r="DE142" s="1"/>
      <c r="DF142" s="1"/>
      <c r="DG142" s="1"/>
      <c r="DH142" s="1"/>
      <c r="DI142" s="1"/>
      <c r="DJ142" s="1"/>
      <c r="DK142" s="1"/>
      <c r="DL142" s="1"/>
      <c r="DM142" s="1"/>
      <c r="DN142" s="1"/>
      <c r="DO142" s="1"/>
      <c r="DP142" s="1"/>
      <c r="DQ142" s="1"/>
      <c r="DR142" s="1"/>
      <c r="DS142" s="1"/>
      <c r="DT142" s="1"/>
      <c r="DU142" s="1"/>
      <c r="DV142" s="1"/>
      <c r="DW142" s="1"/>
      <c r="DX142" s="1"/>
      <c r="DY142" s="1"/>
      <c r="DZ142" s="1"/>
      <c r="EA142" s="1"/>
      <c r="EB142" s="1"/>
      <c r="EC142" s="1"/>
      <c r="ED142" s="1"/>
      <c r="EE142" s="1"/>
      <c r="EF142" s="1"/>
      <c r="EG142" s="1"/>
      <c r="EH142" s="1"/>
      <c r="EI142" s="1"/>
      <c r="EJ142" s="1"/>
      <c r="EK142" s="1"/>
      <c r="EL142" s="1"/>
      <c r="EM142" s="1"/>
      <c r="EN142" s="1"/>
      <c r="EO142" s="1"/>
      <c r="EP142" s="1"/>
      <c r="EQ142" s="1"/>
      <c r="ER142" s="1"/>
      <c r="ES142" s="1"/>
      <c r="ET142" s="1"/>
      <c r="EU142" s="1"/>
      <c r="EV142" s="1"/>
      <c r="EW142" s="1"/>
      <c r="EX142" s="1"/>
      <c r="EY142" s="1"/>
      <c r="EZ142" s="1"/>
      <c r="FA142" s="1"/>
      <c r="FB142" s="1"/>
      <c r="FC142" s="1"/>
      <c r="FD142" s="1"/>
      <c r="FE142" s="1"/>
      <c r="FF142" s="1"/>
      <c r="FG142" s="1"/>
      <c r="FH142" s="1"/>
      <c r="FI142" s="1"/>
      <c r="FJ142" s="1"/>
      <c r="FK142" s="1"/>
      <c r="FL142" s="1"/>
      <c r="FM142" s="1"/>
      <c r="FN142" s="1"/>
      <c r="FO142" s="1"/>
      <c r="FP142" s="1"/>
      <c r="FQ142" s="1"/>
      <c r="FR142" s="1"/>
      <c r="FS142" s="1"/>
      <c r="FT142" s="1"/>
      <c r="FU142" s="1"/>
      <c r="FV142" s="1"/>
      <c r="FW142" s="1"/>
      <c r="FX142" s="1"/>
      <c r="FY142" s="1"/>
      <c r="FZ142" s="1"/>
      <c r="GA142" s="1"/>
      <c r="GB142" s="1"/>
      <c r="GC142" s="1"/>
      <c r="GD142" s="1"/>
      <c r="GE142" s="1"/>
      <c r="GF142" s="1"/>
      <c r="GG142" s="1"/>
      <c r="GH142" s="1"/>
      <c r="GI142" s="1"/>
      <c r="GJ142" s="1"/>
      <c r="GK142" s="1"/>
      <c r="GL142" s="1"/>
      <c r="GM142" s="1"/>
      <c r="GN142" s="1"/>
      <c r="GO142" s="1"/>
      <c r="GP142" s="1"/>
      <c r="GQ142" s="1"/>
      <c r="GR142" s="1"/>
      <c r="GS142" s="1"/>
      <c r="GT142" s="1"/>
      <c r="GU142" s="1"/>
      <c r="GV142" s="1"/>
      <c r="GW142" s="1"/>
      <c r="GX142" s="1"/>
      <c r="GY142" s="1"/>
      <c r="GZ142" s="1"/>
      <c r="HA142" s="1"/>
      <c r="HB142" s="1"/>
      <c r="HC142" s="1"/>
      <c r="HD142" s="1"/>
      <c r="HE142" s="1"/>
      <c r="HF142" s="1"/>
      <c r="HG142" s="1"/>
      <c r="HH142" s="1"/>
      <c r="HI142" s="1"/>
      <c r="HJ142" s="1"/>
      <c r="HK142" s="1"/>
      <c r="HL142" s="1"/>
      <c r="HM142" s="1"/>
      <c r="HN142" s="1"/>
      <c r="HO142" s="1"/>
      <c r="HP142" s="1"/>
      <c r="HQ142" s="1"/>
      <c r="HR142" s="1"/>
      <c r="HS142" s="1"/>
      <c r="HT142" s="1"/>
      <c r="HU142" s="1"/>
      <c r="HV142" s="1"/>
      <c r="HW142" s="1"/>
      <c r="HX142" s="1"/>
      <c r="HY142" s="1"/>
      <c r="HZ142" s="1"/>
      <c r="IA142" s="1"/>
      <c r="IB142" s="1"/>
      <c r="IC142" s="1"/>
      <c r="ID142" s="1"/>
      <c r="IE142" s="1"/>
      <c r="IF142" s="1"/>
      <c r="IG142" s="1"/>
      <c r="IH142" s="1"/>
      <c r="II142" s="1"/>
      <c r="IJ142" s="1"/>
      <c r="IK142" s="1"/>
      <c r="IL142" s="1"/>
      <c r="IM142" s="1"/>
      <c r="IN142" s="1"/>
      <c r="IO142" s="1"/>
      <c r="IP142" s="1"/>
      <c r="IQ142" s="1"/>
      <c r="IR142" s="1"/>
      <c r="IS142" s="1"/>
      <c r="IT142" s="1"/>
      <c r="IU142" s="1"/>
      <c r="IV142" s="1"/>
      <c r="IW142" s="1"/>
      <c r="IX142" s="1"/>
      <c r="IY142" s="1"/>
      <c r="IZ142" s="1"/>
      <c r="JA142" s="1"/>
      <c r="JB142" s="1"/>
      <c r="JC142" s="1"/>
      <c r="JD142" s="1"/>
      <c r="JE142" s="1"/>
      <c r="JF142" s="1"/>
      <c r="JG142" s="1"/>
      <c r="JH142" s="1"/>
      <c r="JI142" s="1"/>
      <c r="JJ142" s="1"/>
      <c r="JK142" s="1"/>
      <c r="JL142" s="1"/>
      <c r="JM142" s="1"/>
      <c r="JN142" s="1"/>
      <c r="JO142" s="1"/>
      <c r="JP142" s="1"/>
      <c r="JQ142" s="1"/>
      <c r="JR142" s="1"/>
      <c r="JS142" s="1"/>
      <c r="JT142" s="1"/>
      <c r="JU142" s="1"/>
      <c r="JV142" s="1"/>
      <c r="JW142" s="1"/>
      <c r="JX142" s="1"/>
      <c r="JY142" s="1"/>
      <c r="JZ142" s="1"/>
      <c r="KA142" s="1"/>
      <c r="KB142" s="1"/>
      <c r="KC142" s="1"/>
      <c r="KD142" s="1"/>
      <c r="KE142" s="1"/>
      <c r="KF142" s="1"/>
      <c r="KG142" s="1"/>
      <c r="KH142" s="1"/>
      <c r="KI142" s="1"/>
      <c r="KJ142" s="1"/>
      <c r="KK142" s="1"/>
      <c r="KL142" s="1"/>
      <c r="KM142" s="1"/>
      <c r="KN142" s="1"/>
      <c r="KO142" s="1"/>
      <c r="KP142" s="1"/>
      <c r="KQ142" s="1"/>
      <c r="KR142" s="1"/>
      <c r="KS142" s="1"/>
      <c r="KT142" s="1"/>
      <c r="KU142" s="1"/>
      <c r="KV142" s="1"/>
      <c r="KW142" s="1"/>
      <c r="KX142" s="1"/>
      <c r="KY142" s="1"/>
      <c r="KZ142" s="1"/>
      <c r="LA142" s="1"/>
      <c r="LB142" s="1"/>
      <c r="LC142" s="1"/>
      <c r="LD142" s="1"/>
      <c r="LE142" s="1"/>
      <c r="LF142" s="1"/>
      <c r="LG142" s="1"/>
      <c r="LH142" s="1"/>
      <c r="LI142" s="1"/>
      <c r="LJ142" s="1"/>
      <c r="LK142" s="1"/>
      <c r="LL142" s="1"/>
      <c r="LM142" s="1"/>
      <c r="LN142" s="1"/>
      <c r="LO142" s="1"/>
      <c r="LP142" s="1"/>
      <c r="LQ142" s="1"/>
      <c r="LR142" s="1"/>
      <c r="LS142" s="1"/>
    </row>
    <row r="143" spans="1:331" s="3" customFormat="1" x14ac:dyDescent="0.25">
      <c r="A143" s="3" t="s">
        <v>583</v>
      </c>
      <c r="B143" s="5" t="s">
        <v>584</v>
      </c>
      <c r="C143" s="94" t="s">
        <v>1648</v>
      </c>
      <c r="D143" s="3">
        <v>0</v>
      </c>
      <c r="H143" s="3" t="s">
        <v>585</v>
      </c>
      <c r="I143" s="3" t="s">
        <v>586</v>
      </c>
      <c r="J143" s="3" t="s">
        <v>587</v>
      </c>
      <c r="K143" s="3" t="s">
        <v>1680</v>
      </c>
      <c r="L143" s="3">
        <v>1</v>
      </c>
      <c r="M143" s="3" t="s">
        <v>588</v>
      </c>
      <c r="O143" s="3">
        <v>0</v>
      </c>
      <c r="Q143" s="96" t="s">
        <v>1543</v>
      </c>
      <c r="R143" s="96"/>
      <c r="T143" s="3">
        <v>10</v>
      </c>
      <c r="V143" s="3">
        <v>11</v>
      </c>
      <c r="W143" s="96">
        <v>10</v>
      </c>
      <c r="X143" s="96"/>
      <c r="Y143" s="96"/>
      <c r="Z143" s="3">
        <v>1</v>
      </c>
      <c r="AA143" s="94" t="b">
        <v>1</v>
      </c>
      <c r="AB143" s="1"/>
      <c r="AC143" s="57" t="s">
        <v>1359</v>
      </c>
      <c r="AD143" s="1"/>
      <c r="AE143" s="57"/>
      <c r="AF143" s="1"/>
      <c r="AG143" s="1"/>
      <c r="AH143" s="1"/>
      <c r="AI143" s="1"/>
      <c r="AJ143" s="1"/>
      <c r="AK143" s="1"/>
      <c r="AL143" s="1"/>
      <c r="AM143" s="1"/>
      <c r="AN143" s="1"/>
      <c r="AO143" s="1"/>
      <c r="AP143" s="1"/>
      <c r="AQ143" s="1"/>
      <c r="AR143" s="1"/>
      <c r="AS143" s="1"/>
      <c r="AT143" s="1"/>
      <c r="AU143" s="1"/>
      <c r="AV143" s="1"/>
      <c r="AW143" s="1"/>
      <c r="AX143" s="1"/>
      <c r="AY143" s="1"/>
      <c r="AZ143" s="1"/>
      <c r="BA143" s="1"/>
      <c r="BB143" s="1"/>
      <c r="BC143" s="1"/>
      <c r="BD143" s="1"/>
      <c r="BE143" s="1"/>
      <c r="BF143" s="1"/>
      <c r="BG143" s="1"/>
      <c r="BH143" s="1"/>
      <c r="BI143" s="1"/>
      <c r="BJ143" s="1"/>
      <c r="BK143" s="1"/>
      <c r="BL143" s="1"/>
      <c r="BM143" s="1"/>
      <c r="BN143" s="1"/>
      <c r="BO143" s="1"/>
      <c r="BP143" s="1"/>
      <c r="BQ143" s="1"/>
      <c r="BR143" s="1"/>
      <c r="BS143" s="1"/>
      <c r="BT143" s="1"/>
      <c r="BU143" s="1"/>
      <c r="BV143" s="1"/>
      <c r="BW143" s="1"/>
      <c r="BX143" s="1"/>
      <c r="BY143" s="1"/>
      <c r="BZ143" s="1"/>
      <c r="CA143" s="1"/>
      <c r="CB143" s="1"/>
      <c r="CC143" s="1"/>
      <c r="CD143" s="1"/>
      <c r="CE143" s="1"/>
      <c r="CF143" s="1"/>
      <c r="CG143" s="1"/>
      <c r="CH143" s="1"/>
      <c r="CI143" s="1"/>
      <c r="CJ143" s="1"/>
      <c r="CK143" s="1"/>
      <c r="CL143" s="1"/>
      <c r="CM143" s="1"/>
      <c r="CN143" s="1"/>
      <c r="CO143" s="1"/>
      <c r="CP143" s="1"/>
      <c r="CQ143" s="1"/>
      <c r="CR143" s="1"/>
      <c r="CS143" s="1"/>
      <c r="CT143" s="1"/>
      <c r="CU143" s="1"/>
      <c r="CV143" s="1"/>
      <c r="CW143" s="1"/>
      <c r="CX143" s="1"/>
      <c r="CY143" s="1"/>
      <c r="CZ143" s="1"/>
      <c r="DA143" s="1"/>
      <c r="DB143" s="1"/>
      <c r="DC143" s="1"/>
      <c r="DD143" s="1"/>
      <c r="DE143" s="1"/>
      <c r="DF143" s="1"/>
      <c r="DG143" s="1"/>
      <c r="DH143" s="1"/>
      <c r="DI143" s="1"/>
      <c r="DJ143" s="1"/>
      <c r="DK143" s="1"/>
      <c r="DL143" s="1"/>
      <c r="DM143" s="1"/>
      <c r="DN143" s="1"/>
      <c r="DO143" s="1"/>
      <c r="DP143" s="1"/>
      <c r="DQ143" s="1"/>
      <c r="DR143" s="1"/>
      <c r="DS143" s="1"/>
      <c r="DT143" s="1"/>
      <c r="DU143" s="1"/>
      <c r="DV143" s="1"/>
      <c r="DW143" s="1"/>
      <c r="DX143" s="1"/>
      <c r="DY143" s="1"/>
      <c r="DZ143" s="1"/>
      <c r="EA143" s="1"/>
      <c r="EB143" s="1"/>
      <c r="EC143" s="1"/>
      <c r="ED143" s="1"/>
      <c r="EE143" s="1"/>
      <c r="EF143" s="1"/>
      <c r="EG143" s="1"/>
      <c r="EH143" s="1"/>
      <c r="EI143" s="1"/>
      <c r="EJ143" s="1"/>
      <c r="EK143" s="1"/>
      <c r="EL143" s="1"/>
      <c r="EM143" s="1"/>
      <c r="EN143" s="1"/>
      <c r="EO143" s="1"/>
      <c r="EP143" s="1"/>
      <c r="EQ143" s="1"/>
      <c r="ER143" s="1"/>
      <c r="ES143" s="1"/>
      <c r="ET143" s="1"/>
      <c r="EU143" s="1"/>
      <c r="EV143" s="1"/>
      <c r="EW143" s="1"/>
      <c r="EX143" s="1"/>
      <c r="EY143" s="1"/>
      <c r="EZ143" s="1"/>
      <c r="FA143" s="1"/>
      <c r="FB143" s="1"/>
      <c r="FC143" s="1"/>
      <c r="FD143" s="1"/>
      <c r="FE143" s="1"/>
      <c r="FF143" s="1"/>
      <c r="FG143" s="1"/>
      <c r="FH143" s="1"/>
      <c r="FI143" s="1"/>
      <c r="FJ143" s="1"/>
      <c r="FK143" s="1"/>
      <c r="FL143" s="1"/>
      <c r="FM143" s="1"/>
      <c r="FN143" s="1"/>
      <c r="FO143" s="1"/>
      <c r="FP143" s="1"/>
      <c r="FQ143" s="1"/>
      <c r="FR143" s="1"/>
      <c r="FS143" s="1"/>
      <c r="FT143" s="1"/>
      <c r="FU143" s="1"/>
      <c r="FV143" s="1"/>
      <c r="FW143" s="1"/>
      <c r="FX143" s="1"/>
      <c r="FY143" s="1"/>
      <c r="FZ143" s="1"/>
      <c r="GA143" s="1"/>
      <c r="GB143" s="1"/>
      <c r="GC143" s="1"/>
      <c r="GD143" s="1"/>
      <c r="GE143" s="1"/>
      <c r="GF143" s="1"/>
      <c r="GG143" s="1"/>
      <c r="GH143" s="1"/>
      <c r="GI143" s="1"/>
      <c r="GJ143" s="1"/>
      <c r="GK143" s="1"/>
      <c r="GL143" s="1"/>
      <c r="GM143" s="1"/>
      <c r="GN143" s="1"/>
      <c r="GO143" s="1"/>
      <c r="GP143" s="1"/>
      <c r="GQ143" s="1"/>
      <c r="GR143" s="1"/>
      <c r="GS143" s="1"/>
      <c r="GT143" s="1"/>
      <c r="GU143" s="1"/>
      <c r="GV143" s="1"/>
      <c r="GW143" s="1"/>
      <c r="GX143" s="1"/>
      <c r="GY143" s="1"/>
      <c r="GZ143" s="1"/>
      <c r="HA143" s="1"/>
      <c r="HB143" s="1"/>
      <c r="HC143" s="1"/>
      <c r="HD143" s="1"/>
      <c r="HE143" s="1"/>
      <c r="HF143" s="1"/>
      <c r="HG143" s="1"/>
      <c r="HH143" s="1"/>
      <c r="HI143" s="1"/>
      <c r="HJ143" s="1"/>
      <c r="HK143" s="1"/>
      <c r="HL143" s="1"/>
      <c r="HM143" s="1"/>
      <c r="HN143" s="1"/>
      <c r="HO143" s="1"/>
      <c r="HP143" s="1"/>
      <c r="HQ143" s="1"/>
      <c r="HR143" s="1"/>
      <c r="HS143" s="1"/>
      <c r="HT143" s="1"/>
      <c r="HU143" s="1"/>
      <c r="HV143" s="1"/>
      <c r="HW143" s="1"/>
      <c r="HX143" s="1"/>
      <c r="HY143" s="1"/>
      <c r="HZ143" s="1"/>
      <c r="IA143" s="1"/>
      <c r="IB143" s="1"/>
      <c r="IC143" s="1"/>
      <c r="ID143" s="1"/>
      <c r="IE143" s="1"/>
      <c r="IF143" s="1"/>
      <c r="IG143" s="1"/>
      <c r="IH143" s="1"/>
      <c r="II143" s="1"/>
      <c r="IJ143" s="1"/>
      <c r="IK143" s="1"/>
      <c r="IL143" s="1"/>
      <c r="IM143" s="1"/>
      <c r="IN143" s="1"/>
      <c r="IO143" s="1"/>
      <c r="IP143" s="1"/>
      <c r="IQ143" s="1"/>
      <c r="IR143" s="1"/>
      <c r="IS143" s="1"/>
      <c r="IT143" s="1"/>
      <c r="IU143" s="1"/>
      <c r="IV143" s="1"/>
      <c r="IW143" s="1"/>
      <c r="IX143" s="1"/>
      <c r="IY143" s="1"/>
      <c r="IZ143" s="1"/>
      <c r="JA143" s="1"/>
      <c r="JB143" s="1"/>
      <c r="JC143" s="1"/>
      <c r="JD143" s="1"/>
      <c r="JE143" s="1"/>
      <c r="JF143" s="1"/>
      <c r="JG143" s="1"/>
      <c r="JH143" s="1"/>
      <c r="JI143" s="1"/>
      <c r="JJ143" s="1"/>
      <c r="JK143" s="1"/>
      <c r="JL143" s="1"/>
      <c r="JM143" s="1"/>
      <c r="JN143" s="1"/>
      <c r="JO143" s="1"/>
      <c r="JP143" s="1"/>
      <c r="JQ143" s="1"/>
      <c r="JR143" s="1"/>
      <c r="JS143" s="1"/>
      <c r="JT143" s="1"/>
      <c r="JU143" s="1"/>
      <c r="JV143" s="1"/>
      <c r="JW143" s="1"/>
      <c r="JX143" s="1"/>
      <c r="JY143" s="1"/>
      <c r="JZ143" s="1"/>
      <c r="KA143" s="1"/>
      <c r="KB143" s="1"/>
      <c r="KC143" s="1"/>
      <c r="KD143" s="1"/>
      <c r="KE143" s="1"/>
      <c r="KF143" s="1"/>
      <c r="KG143" s="1"/>
      <c r="KH143" s="1"/>
      <c r="KI143" s="1"/>
      <c r="KJ143" s="1"/>
      <c r="KK143" s="1"/>
      <c r="KL143" s="1"/>
      <c r="KM143" s="1"/>
      <c r="KN143" s="1"/>
      <c r="KO143" s="1"/>
      <c r="KP143" s="1"/>
      <c r="KQ143" s="1"/>
      <c r="KR143" s="1"/>
      <c r="KS143" s="1"/>
      <c r="KT143" s="1"/>
      <c r="KU143" s="1"/>
      <c r="KV143" s="1"/>
      <c r="KW143" s="1"/>
      <c r="KX143" s="1"/>
      <c r="KY143" s="1"/>
      <c r="KZ143" s="1"/>
      <c r="LA143" s="1"/>
      <c r="LB143" s="1"/>
      <c r="LC143" s="1"/>
      <c r="LD143" s="1"/>
      <c r="LE143" s="1"/>
      <c r="LF143" s="1"/>
      <c r="LG143" s="1"/>
      <c r="LH143" s="1"/>
      <c r="LI143" s="1"/>
      <c r="LJ143" s="1"/>
      <c r="LK143" s="1"/>
      <c r="LL143" s="1"/>
      <c r="LM143" s="1"/>
      <c r="LN143" s="1"/>
      <c r="LO143" s="1"/>
      <c r="LP143" s="1"/>
      <c r="LQ143" s="1"/>
      <c r="LR143" s="1"/>
      <c r="LS143" s="1"/>
    </row>
    <row r="144" spans="1:331" s="49" customFormat="1" x14ac:dyDescent="0.25">
      <c r="A144" s="49" t="s">
        <v>589</v>
      </c>
      <c r="B144" s="49" t="s">
        <v>590</v>
      </c>
      <c r="C144" s="96" t="s">
        <v>1648</v>
      </c>
      <c r="D144" s="49">
        <v>0</v>
      </c>
      <c r="H144" s="49" t="s">
        <v>591</v>
      </c>
      <c r="I144" s="49" t="s">
        <v>592</v>
      </c>
      <c r="J144" s="49" t="s">
        <v>593</v>
      </c>
      <c r="K144" s="49" t="s">
        <v>591</v>
      </c>
      <c r="L144" s="49">
        <v>0</v>
      </c>
      <c r="O144" s="49">
        <v>1</v>
      </c>
      <c r="Q144" s="96"/>
      <c r="R144" s="96" t="s">
        <v>594</v>
      </c>
      <c r="S144" s="49">
        <v>13</v>
      </c>
      <c r="W144" s="96">
        <v>13</v>
      </c>
      <c r="X144" s="96"/>
      <c r="Y144" s="96"/>
      <c r="Z144" s="49">
        <v>9</v>
      </c>
      <c r="AA144" s="94" t="b">
        <v>1</v>
      </c>
      <c r="AB144" s="1"/>
      <c r="AC144" s="57" t="s">
        <v>1414</v>
      </c>
      <c r="AD144" s="1"/>
      <c r="AE144" s="57"/>
      <c r="AF144" s="1"/>
      <c r="AG144" s="1"/>
      <c r="AH144" s="1"/>
      <c r="AI144" s="1"/>
      <c r="AJ144" s="1"/>
      <c r="AK144" s="1"/>
      <c r="AL144" s="1"/>
      <c r="AM144" s="1"/>
      <c r="AN144" s="1"/>
      <c r="AO144" s="1"/>
      <c r="AP144" s="1"/>
      <c r="AQ144" s="1"/>
      <c r="AR144" s="1"/>
      <c r="AS144" s="1"/>
      <c r="AT144" s="1"/>
      <c r="AU144" s="1"/>
      <c r="AV144" s="1"/>
      <c r="AW144" s="1"/>
      <c r="AX144" s="1"/>
      <c r="AY144" s="1"/>
      <c r="AZ144" s="1"/>
      <c r="BA144" s="1"/>
      <c r="BB144" s="1"/>
      <c r="BC144" s="1"/>
      <c r="BD144" s="1"/>
      <c r="BE144" s="1"/>
      <c r="BF144" s="1"/>
      <c r="BG144" s="1"/>
      <c r="BH144" s="1"/>
      <c r="BI144" s="1"/>
      <c r="BJ144" s="1"/>
      <c r="BK144" s="1"/>
      <c r="BL144" s="1"/>
      <c r="BM144" s="1"/>
      <c r="BN144" s="1"/>
      <c r="BO144" s="1"/>
      <c r="BP144" s="1"/>
      <c r="BQ144" s="1"/>
      <c r="BR144" s="1"/>
      <c r="BS144" s="1"/>
      <c r="BT144" s="1"/>
      <c r="BU144" s="1"/>
      <c r="BV144" s="1"/>
      <c r="BW144" s="1"/>
      <c r="BX144" s="1"/>
      <c r="BY144" s="1"/>
      <c r="BZ144" s="1"/>
      <c r="CA144" s="1"/>
      <c r="CB144" s="1"/>
      <c r="CC144" s="1"/>
      <c r="CD144" s="1"/>
      <c r="CE144" s="1"/>
      <c r="CF144" s="1"/>
      <c r="CG144" s="1"/>
      <c r="CH144" s="1"/>
      <c r="CI144" s="1"/>
      <c r="CJ144" s="1"/>
      <c r="CK144" s="1"/>
      <c r="CL144" s="1"/>
      <c r="CM144" s="1"/>
      <c r="CN144" s="1"/>
      <c r="CO144" s="1"/>
      <c r="CP144" s="1"/>
      <c r="CQ144" s="1"/>
      <c r="CR144" s="1"/>
      <c r="CS144" s="1"/>
      <c r="CT144" s="1"/>
      <c r="CU144" s="1"/>
      <c r="CV144" s="1"/>
      <c r="CW144" s="1"/>
      <c r="CX144" s="1"/>
      <c r="CY144" s="1"/>
      <c r="CZ144" s="1"/>
      <c r="DA144" s="1"/>
      <c r="DB144" s="1"/>
      <c r="DC144" s="1"/>
      <c r="DD144" s="1"/>
      <c r="DE144" s="1"/>
      <c r="DF144" s="1"/>
      <c r="DG144" s="1"/>
      <c r="DH144" s="1"/>
      <c r="DI144" s="1"/>
      <c r="DJ144" s="1"/>
      <c r="DK144" s="1"/>
      <c r="DL144" s="1"/>
      <c r="DM144" s="1"/>
      <c r="DN144" s="1"/>
      <c r="DO144" s="1"/>
      <c r="DP144" s="1"/>
      <c r="DQ144" s="1"/>
      <c r="DR144" s="1"/>
      <c r="DS144" s="1"/>
      <c r="DT144" s="1"/>
      <c r="DU144" s="1"/>
      <c r="DV144" s="1"/>
      <c r="DW144" s="1"/>
      <c r="DX144" s="1"/>
      <c r="DY144" s="1"/>
      <c r="DZ144" s="1"/>
      <c r="EA144" s="1"/>
      <c r="EB144" s="1"/>
      <c r="EC144" s="1"/>
      <c r="ED144" s="1"/>
      <c r="EE144" s="1"/>
      <c r="EF144" s="1"/>
      <c r="EG144" s="1"/>
      <c r="EH144" s="1"/>
      <c r="EI144" s="1"/>
      <c r="EJ144" s="1"/>
      <c r="EK144" s="1"/>
      <c r="EL144" s="1"/>
      <c r="EM144" s="1"/>
      <c r="EN144" s="1"/>
      <c r="EO144" s="1"/>
      <c r="EP144" s="1"/>
      <c r="EQ144" s="1"/>
      <c r="ER144" s="1"/>
      <c r="ES144" s="1"/>
      <c r="ET144" s="1"/>
      <c r="EU144" s="1"/>
      <c r="EV144" s="1"/>
      <c r="EW144" s="1"/>
      <c r="EX144" s="1"/>
      <c r="EY144" s="1"/>
      <c r="EZ144" s="1"/>
      <c r="FA144" s="1"/>
      <c r="FB144" s="1"/>
      <c r="FC144" s="1"/>
      <c r="FD144" s="1"/>
      <c r="FE144" s="1"/>
      <c r="FF144" s="1"/>
      <c r="FG144" s="1"/>
      <c r="FH144" s="1"/>
      <c r="FI144" s="1"/>
      <c r="FJ144" s="1"/>
      <c r="FK144" s="1"/>
      <c r="FL144" s="1"/>
      <c r="FM144" s="1"/>
      <c r="FN144" s="1"/>
      <c r="FO144" s="1"/>
      <c r="FP144" s="1"/>
      <c r="FQ144" s="1"/>
      <c r="FR144" s="1"/>
      <c r="FS144" s="1"/>
      <c r="FT144" s="1"/>
      <c r="FU144" s="1"/>
      <c r="FV144" s="1"/>
      <c r="FW144" s="1"/>
      <c r="FX144" s="1"/>
      <c r="FY144" s="1"/>
      <c r="FZ144" s="1"/>
      <c r="GA144" s="1"/>
      <c r="GB144" s="1"/>
      <c r="GC144" s="1"/>
      <c r="GD144" s="1"/>
      <c r="GE144" s="1"/>
      <c r="GF144" s="1"/>
      <c r="GG144" s="1"/>
      <c r="GH144" s="1"/>
      <c r="GI144" s="1"/>
      <c r="GJ144" s="1"/>
      <c r="GK144" s="1"/>
      <c r="GL144" s="1"/>
      <c r="GM144" s="1"/>
      <c r="GN144" s="1"/>
      <c r="GO144" s="1"/>
      <c r="GP144" s="1"/>
      <c r="GQ144" s="1"/>
      <c r="GR144" s="1"/>
      <c r="GS144" s="1"/>
      <c r="GT144" s="1"/>
      <c r="GU144" s="1"/>
      <c r="GV144" s="1"/>
      <c r="GW144" s="1"/>
      <c r="GX144" s="1"/>
      <c r="GY144" s="1"/>
      <c r="GZ144" s="1"/>
      <c r="HA144" s="1"/>
      <c r="HB144" s="1"/>
      <c r="HC144" s="1"/>
      <c r="HD144" s="1"/>
      <c r="HE144" s="1"/>
      <c r="HF144" s="1"/>
      <c r="HG144" s="1"/>
      <c r="HH144" s="1"/>
      <c r="HI144" s="1"/>
      <c r="HJ144" s="1"/>
      <c r="HK144" s="1"/>
      <c r="HL144" s="1"/>
      <c r="HM144" s="1"/>
      <c r="HN144" s="1"/>
      <c r="HO144" s="1"/>
      <c r="HP144" s="1"/>
      <c r="HQ144" s="1"/>
      <c r="HR144" s="1"/>
      <c r="HS144" s="1"/>
      <c r="HT144" s="1"/>
      <c r="HU144" s="1"/>
      <c r="HV144" s="1"/>
      <c r="HW144" s="1"/>
      <c r="HX144" s="1"/>
      <c r="HY144" s="1"/>
      <c r="HZ144" s="1"/>
      <c r="IA144" s="1"/>
      <c r="IB144" s="1"/>
      <c r="IC144" s="1"/>
      <c r="ID144" s="1"/>
      <c r="IE144" s="1"/>
      <c r="IF144" s="1"/>
      <c r="IG144" s="1"/>
      <c r="IH144" s="1"/>
      <c r="II144" s="1"/>
      <c r="IJ144" s="1"/>
      <c r="IK144" s="1"/>
      <c r="IL144" s="1"/>
      <c r="IM144" s="1"/>
      <c r="IN144" s="1"/>
      <c r="IO144" s="1"/>
      <c r="IP144" s="1"/>
      <c r="IQ144" s="1"/>
      <c r="IR144" s="1"/>
      <c r="IS144" s="1"/>
      <c r="IT144" s="1"/>
      <c r="IU144" s="1"/>
      <c r="IV144" s="1"/>
      <c r="IW144" s="1"/>
      <c r="IX144" s="1"/>
      <c r="IY144" s="1"/>
      <c r="IZ144" s="1"/>
      <c r="JA144" s="1"/>
      <c r="JB144" s="1"/>
      <c r="JC144" s="1"/>
      <c r="JD144" s="1"/>
      <c r="JE144" s="1"/>
      <c r="JF144" s="1"/>
      <c r="JG144" s="1"/>
      <c r="JH144" s="1"/>
      <c r="JI144" s="1"/>
      <c r="JJ144" s="1"/>
      <c r="JK144" s="1"/>
      <c r="JL144" s="1"/>
      <c r="JM144" s="1"/>
      <c r="JN144" s="1"/>
      <c r="JO144" s="1"/>
      <c r="JP144" s="1"/>
      <c r="JQ144" s="1"/>
      <c r="JR144" s="1"/>
      <c r="JS144" s="1"/>
      <c r="JT144" s="1"/>
      <c r="JU144" s="1"/>
      <c r="JV144" s="1"/>
      <c r="JW144" s="1"/>
      <c r="JX144" s="1"/>
      <c r="JY144" s="1"/>
      <c r="JZ144" s="1"/>
      <c r="KA144" s="1"/>
      <c r="KB144" s="1"/>
      <c r="KC144" s="1"/>
      <c r="KD144" s="1"/>
      <c r="KE144" s="1"/>
      <c r="KF144" s="1"/>
      <c r="KG144" s="1"/>
      <c r="KH144" s="1"/>
      <c r="KI144" s="1"/>
      <c r="KJ144" s="1"/>
      <c r="KK144" s="1"/>
      <c r="KL144" s="1"/>
      <c r="KM144" s="1"/>
      <c r="KN144" s="1"/>
      <c r="KO144" s="1"/>
      <c r="KP144" s="1"/>
      <c r="KQ144" s="1"/>
      <c r="KR144" s="1"/>
      <c r="KS144" s="1"/>
      <c r="KT144" s="1"/>
      <c r="KU144" s="1"/>
      <c r="KV144" s="1"/>
      <c r="KW144" s="1"/>
      <c r="KX144" s="1"/>
      <c r="KY144" s="1"/>
      <c r="KZ144" s="1"/>
      <c r="LA144" s="1"/>
      <c r="LB144" s="1"/>
      <c r="LC144" s="1"/>
      <c r="LD144" s="1"/>
      <c r="LE144" s="1"/>
      <c r="LF144" s="1"/>
      <c r="LG144" s="1"/>
      <c r="LH144" s="1"/>
      <c r="LI144" s="1"/>
      <c r="LJ144" s="1"/>
      <c r="LK144" s="1"/>
      <c r="LL144" s="1"/>
      <c r="LM144" s="1"/>
      <c r="LN144" s="1"/>
      <c r="LO144" s="1"/>
      <c r="LP144" s="1"/>
      <c r="LQ144" s="1"/>
      <c r="LR144" s="1"/>
      <c r="LS144" s="1"/>
    </row>
    <row r="145" spans="1:331" s="3" customFormat="1" x14ac:dyDescent="0.25">
      <c r="A145" s="3" t="s">
        <v>595</v>
      </c>
      <c r="B145" s="5" t="s">
        <v>596</v>
      </c>
      <c r="C145" s="94" t="s">
        <v>1648</v>
      </c>
      <c r="D145" s="3">
        <v>0</v>
      </c>
      <c r="H145" s="3" t="s">
        <v>597</v>
      </c>
      <c r="I145" s="3" t="s">
        <v>598</v>
      </c>
      <c r="J145" s="3" t="s">
        <v>597</v>
      </c>
      <c r="K145" s="3" t="s">
        <v>1644</v>
      </c>
      <c r="L145" s="3">
        <v>2</v>
      </c>
      <c r="M145" s="3" t="s">
        <v>599</v>
      </c>
      <c r="N145" s="3" t="s">
        <v>599</v>
      </c>
      <c r="O145" s="3">
        <v>1</v>
      </c>
      <c r="P145" s="3" t="s">
        <v>600</v>
      </c>
      <c r="Q145" s="96" t="s">
        <v>1544</v>
      </c>
      <c r="R145" s="96"/>
      <c r="T145" s="3">
        <v>7</v>
      </c>
      <c r="V145" s="3">
        <v>8</v>
      </c>
      <c r="W145" s="96">
        <v>7</v>
      </c>
      <c r="X145" s="96"/>
      <c r="Y145" s="96"/>
      <c r="Z145" s="3">
        <v>1</v>
      </c>
      <c r="AA145" s="94" t="b">
        <v>1</v>
      </c>
      <c r="AB145" s="1" t="s">
        <v>1894</v>
      </c>
      <c r="AC145" s="57" t="s">
        <v>1999</v>
      </c>
      <c r="AD145" s="1"/>
      <c r="AE145" s="57"/>
      <c r="AF145" s="1"/>
      <c r="AG145" s="1"/>
      <c r="AH145" s="1"/>
      <c r="AI145" s="1"/>
      <c r="AJ145" s="1"/>
      <c r="AK145" s="1"/>
      <c r="AL145" s="1"/>
      <c r="AM145" s="1"/>
      <c r="AN145" s="1"/>
      <c r="AO145" s="1"/>
      <c r="AP145" s="1"/>
      <c r="AQ145" s="1"/>
      <c r="AR145" s="1"/>
      <c r="AS145" s="1"/>
      <c r="AT145" s="1"/>
      <c r="AU145" s="1"/>
      <c r="AV145" s="1"/>
      <c r="AW145" s="1"/>
      <c r="AX145" s="1"/>
      <c r="AY145" s="1"/>
      <c r="AZ145" s="1"/>
      <c r="BA145" s="1"/>
      <c r="BB145" s="1"/>
      <c r="BC145" s="1"/>
      <c r="BD145" s="1"/>
      <c r="BE145" s="1"/>
      <c r="BF145" s="1"/>
      <c r="BG145" s="1"/>
      <c r="BH145" s="1"/>
      <c r="BI145" s="1"/>
      <c r="BJ145" s="1"/>
      <c r="BK145" s="1"/>
      <c r="BL145" s="1"/>
      <c r="BM145" s="1"/>
      <c r="BN145" s="1"/>
      <c r="BO145" s="1"/>
      <c r="BP145" s="1"/>
      <c r="BQ145" s="1"/>
      <c r="BR145" s="1"/>
      <c r="BS145" s="1"/>
      <c r="BT145" s="1"/>
      <c r="BU145" s="1"/>
      <c r="BV145" s="1"/>
      <c r="BW145" s="1"/>
      <c r="BX145" s="1"/>
      <c r="BY145" s="1"/>
      <c r="BZ145" s="1"/>
      <c r="CA145" s="1"/>
      <c r="CB145" s="1"/>
      <c r="CC145" s="1"/>
      <c r="CD145" s="1"/>
      <c r="CE145" s="1"/>
      <c r="CF145" s="1"/>
      <c r="CG145" s="1"/>
      <c r="CH145" s="1"/>
      <c r="CI145" s="1"/>
      <c r="CJ145" s="1"/>
      <c r="CK145" s="1"/>
      <c r="CL145" s="1"/>
      <c r="CM145" s="1"/>
      <c r="CN145" s="1"/>
      <c r="CO145" s="1"/>
      <c r="CP145" s="1"/>
      <c r="CQ145" s="1"/>
      <c r="CR145" s="1"/>
      <c r="CS145" s="1"/>
      <c r="CT145" s="1"/>
      <c r="CU145" s="1"/>
      <c r="CV145" s="1"/>
      <c r="CW145" s="1"/>
      <c r="CX145" s="1"/>
      <c r="CY145" s="1"/>
      <c r="CZ145" s="1"/>
      <c r="DA145" s="1"/>
      <c r="DB145" s="1"/>
      <c r="DC145" s="1"/>
      <c r="DD145" s="1"/>
      <c r="DE145" s="1"/>
      <c r="DF145" s="1"/>
      <c r="DG145" s="1"/>
      <c r="DH145" s="1"/>
      <c r="DI145" s="1"/>
      <c r="DJ145" s="1"/>
      <c r="DK145" s="1"/>
      <c r="DL145" s="1"/>
      <c r="DM145" s="1"/>
      <c r="DN145" s="1"/>
      <c r="DO145" s="1"/>
      <c r="DP145" s="1"/>
      <c r="DQ145" s="1"/>
      <c r="DR145" s="1"/>
      <c r="DS145" s="1"/>
      <c r="DT145" s="1"/>
      <c r="DU145" s="1"/>
      <c r="DV145" s="1"/>
      <c r="DW145" s="1"/>
      <c r="DX145" s="1"/>
      <c r="DY145" s="1"/>
      <c r="DZ145" s="1"/>
      <c r="EA145" s="1"/>
      <c r="EB145" s="1"/>
      <c r="EC145" s="1"/>
      <c r="ED145" s="1"/>
      <c r="EE145" s="1"/>
      <c r="EF145" s="1"/>
      <c r="EG145" s="1"/>
      <c r="EH145" s="1"/>
      <c r="EI145" s="1"/>
      <c r="EJ145" s="1"/>
      <c r="EK145" s="1"/>
      <c r="EL145" s="1"/>
      <c r="EM145" s="1"/>
      <c r="EN145" s="1"/>
      <c r="EO145" s="1"/>
      <c r="EP145" s="1"/>
      <c r="EQ145" s="1"/>
      <c r="ER145" s="1"/>
      <c r="ES145" s="1"/>
      <c r="ET145" s="1"/>
      <c r="EU145" s="1"/>
      <c r="EV145" s="1"/>
      <c r="EW145" s="1"/>
      <c r="EX145" s="1"/>
      <c r="EY145" s="1"/>
      <c r="EZ145" s="1"/>
      <c r="FA145" s="1"/>
      <c r="FB145" s="1"/>
      <c r="FC145" s="1"/>
      <c r="FD145" s="1"/>
      <c r="FE145" s="1"/>
      <c r="FF145" s="1"/>
      <c r="FG145" s="1"/>
      <c r="FH145" s="1"/>
      <c r="FI145" s="1"/>
      <c r="FJ145" s="1"/>
      <c r="FK145" s="1"/>
      <c r="FL145" s="1"/>
      <c r="FM145" s="1"/>
      <c r="FN145" s="1"/>
      <c r="FO145" s="1"/>
      <c r="FP145" s="1"/>
      <c r="FQ145" s="1"/>
      <c r="FR145" s="1"/>
      <c r="FS145" s="1"/>
      <c r="FT145" s="1"/>
      <c r="FU145" s="1"/>
      <c r="FV145" s="1"/>
      <c r="FW145" s="1"/>
      <c r="FX145" s="1"/>
      <c r="FY145" s="1"/>
      <c r="FZ145" s="1"/>
      <c r="GA145" s="1"/>
      <c r="GB145" s="1"/>
      <c r="GC145" s="1"/>
      <c r="GD145" s="1"/>
      <c r="GE145" s="1"/>
      <c r="GF145" s="1"/>
      <c r="GG145" s="1"/>
      <c r="GH145" s="1"/>
      <c r="GI145" s="1"/>
      <c r="GJ145" s="1"/>
      <c r="GK145" s="1"/>
      <c r="GL145" s="1"/>
      <c r="GM145" s="1"/>
      <c r="GN145" s="1"/>
      <c r="GO145" s="1"/>
      <c r="GP145" s="1"/>
      <c r="GQ145" s="1"/>
      <c r="GR145" s="1"/>
      <c r="GS145" s="1"/>
      <c r="GT145" s="1"/>
      <c r="GU145" s="1"/>
      <c r="GV145" s="1"/>
      <c r="GW145" s="1"/>
      <c r="GX145" s="1"/>
      <c r="GY145" s="1"/>
      <c r="GZ145" s="1"/>
      <c r="HA145" s="1"/>
      <c r="HB145" s="1"/>
      <c r="HC145" s="1"/>
      <c r="HD145" s="1"/>
      <c r="HE145" s="1"/>
      <c r="HF145" s="1"/>
      <c r="HG145" s="1"/>
      <c r="HH145" s="1"/>
      <c r="HI145" s="1"/>
      <c r="HJ145" s="1"/>
      <c r="HK145" s="1"/>
      <c r="HL145" s="1"/>
      <c r="HM145" s="1"/>
      <c r="HN145" s="1"/>
      <c r="HO145" s="1"/>
      <c r="HP145" s="1"/>
      <c r="HQ145" s="1"/>
      <c r="HR145" s="1"/>
      <c r="HS145" s="1"/>
      <c r="HT145" s="1"/>
      <c r="HU145" s="1"/>
      <c r="HV145" s="1"/>
      <c r="HW145" s="1"/>
      <c r="HX145" s="1"/>
      <c r="HY145" s="1"/>
      <c r="HZ145" s="1"/>
      <c r="IA145" s="1"/>
      <c r="IB145" s="1"/>
      <c r="IC145" s="1"/>
      <c r="ID145" s="1"/>
      <c r="IE145" s="1"/>
      <c r="IF145" s="1"/>
      <c r="IG145" s="1"/>
      <c r="IH145" s="1"/>
      <c r="II145" s="1"/>
      <c r="IJ145" s="1"/>
      <c r="IK145" s="1"/>
      <c r="IL145" s="1"/>
      <c r="IM145" s="1"/>
      <c r="IN145" s="1"/>
      <c r="IO145" s="1"/>
      <c r="IP145" s="1"/>
      <c r="IQ145" s="1"/>
      <c r="IR145" s="1"/>
      <c r="IS145" s="1"/>
      <c r="IT145" s="1"/>
      <c r="IU145" s="1"/>
      <c r="IV145" s="1"/>
      <c r="IW145" s="1"/>
      <c r="IX145" s="1"/>
      <c r="IY145" s="1"/>
      <c r="IZ145" s="1"/>
      <c r="JA145" s="1"/>
      <c r="JB145" s="1"/>
      <c r="JC145" s="1"/>
      <c r="JD145" s="1"/>
      <c r="JE145" s="1"/>
      <c r="JF145" s="1"/>
      <c r="JG145" s="1"/>
      <c r="JH145" s="1"/>
      <c r="JI145" s="1"/>
      <c r="JJ145" s="1"/>
      <c r="JK145" s="1"/>
      <c r="JL145" s="1"/>
      <c r="JM145" s="1"/>
      <c r="JN145" s="1"/>
      <c r="JO145" s="1"/>
      <c r="JP145" s="1"/>
      <c r="JQ145" s="1"/>
      <c r="JR145" s="1"/>
      <c r="JS145" s="1"/>
      <c r="JT145" s="1"/>
      <c r="JU145" s="1"/>
      <c r="JV145" s="1"/>
      <c r="JW145" s="1"/>
      <c r="JX145" s="1"/>
      <c r="JY145" s="1"/>
      <c r="JZ145" s="1"/>
      <c r="KA145" s="1"/>
      <c r="KB145" s="1"/>
      <c r="KC145" s="1"/>
      <c r="KD145" s="1"/>
      <c r="KE145" s="1"/>
      <c r="KF145" s="1"/>
      <c r="KG145" s="1"/>
      <c r="KH145" s="1"/>
      <c r="KI145" s="1"/>
      <c r="KJ145" s="1"/>
      <c r="KK145" s="1"/>
      <c r="KL145" s="1"/>
      <c r="KM145" s="1"/>
      <c r="KN145" s="1"/>
      <c r="KO145" s="1"/>
      <c r="KP145" s="1"/>
      <c r="KQ145" s="1"/>
      <c r="KR145" s="1"/>
      <c r="KS145" s="1"/>
      <c r="KT145" s="1"/>
      <c r="KU145" s="1"/>
      <c r="KV145" s="1"/>
      <c r="KW145" s="1"/>
      <c r="KX145" s="1"/>
      <c r="KY145" s="1"/>
      <c r="KZ145" s="1"/>
      <c r="LA145" s="1"/>
      <c r="LB145" s="1"/>
      <c r="LC145" s="1"/>
      <c r="LD145" s="1"/>
      <c r="LE145" s="1"/>
      <c r="LF145" s="1"/>
      <c r="LG145" s="1"/>
      <c r="LH145" s="1"/>
      <c r="LI145" s="1"/>
      <c r="LJ145" s="1"/>
      <c r="LK145" s="1"/>
      <c r="LL145" s="1"/>
      <c r="LM145" s="1"/>
      <c r="LN145" s="1"/>
      <c r="LO145" s="1"/>
      <c r="LP145" s="1"/>
      <c r="LQ145" s="1"/>
      <c r="LR145" s="1"/>
      <c r="LS145" s="1"/>
    </row>
    <row r="146" spans="1:331" s="40" customFormat="1" x14ac:dyDescent="0.25">
      <c r="A146" s="40" t="s">
        <v>601</v>
      </c>
      <c r="B146" s="40" t="s">
        <v>602</v>
      </c>
      <c r="C146" s="96" t="s">
        <v>1648</v>
      </c>
      <c r="D146" s="40">
        <v>0</v>
      </c>
      <c r="H146" s="40" t="s">
        <v>603</v>
      </c>
      <c r="I146" s="40" t="s">
        <v>604</v>
      </c>
      <c r="J146" s="40" t="s">
        <v>605</v>
      </c>
      <c r="K146" s="40" t="s">
        <v>1681</v>
      </c>
      <c r="L146" s="40">
        <v>0</v>
      </c>
      <c r="O146" s="40">
        <v>1</v>
      </c>
      <c r="P146" s="40" t="s">
        <v>606</v>
      </c>
      <c r="Q146" s="96" t="s">
        <v>1545</v>
      </c>
      <c r="R146" s="96"/>
      <c r="S146" s="40">
        <v>18</v>
      </c>
      <c r="W146" s="96">
        <v>18</v>
      </c>
      <c r="X146" s="96"/>
      <c r="Y146" s="96"/>
      <c r="Z146" s="40">
        <v>8</v>
      </c>
      <c r="AA146" s="94" t="b">
        <v>1</v>
      </c>
      <c r="AB146" s="1"/>
      <c r="AC146" s="57" t="s">
        <v>1861</v>
      </c>
      <c r="AD146" s="1"/>
      <c r="AE146" s="57"/>
      <c r="AF146" s="1"/>
      <c r="AG146" s="1"/>
      <c r="AH146" s="1"/>
      <c r="AI146" s="1"/>
      <c r="AJ146" s="1"/>
      <c r="AK146" s="1"/>
      <c r="AL146" s="1"/>
      <c r="AM146" s="1"/>
      <c r="AN146" s="1"/>
      <c r="AO146" s="1"/>
      <c r="AP146" s="1"/>
      <c r="AQ146" s="1"/>
      <c r="AR146" s="1"/>
      <c r="AS146" s="1"/>
      <c r="AT146" s="1"/>
      <c r="AU146" s="1"/>
      <c r="AV146" s="1"/>
      <c r="AW146" s="1"/>
      <c r="AX146" s="1"/>
      <c r="AY146" s="1"/>
      <c r="AZ146" s="1"/>
      <c r="BA146" s="1"/>
      <c r="BB146" s="1"/>
      <c r="BC146" s="1"/>
      <c r="BD146" s="1"/>
      <c r="BE146" s="1"/>
      <c r="BF146" s="1"/>
      <c r="BG146" s="1"/>
      <c r="BH146" s="1"/>
      <c r="BI146" s="1"/>
      <c r="BJ146" s="1"/>
      <c r="BK146" s="1"/>
      <c r="BL146" s="1"/>
      <c r="BM146" s="1"/>
      <c r="BN146" s="1"/>
      <c r="BO146" s="1"/>
      <c r="BP146" s="1"/>
      <c r="BQ146" s="1"/>
      <c r="BR146" s="1"/>
      <c r="BS146" s="1"/>
      <c r="BT146" s="1"/>
      <c r="BU146" s="1"/>
      <c r="BV146" s="1"/>
      <c r="BW146" s="1"/>
      <c r="BX146" s="1"/>
      <c r="BY146" s="1"/>
      <c r="BZ146" s="1"/>
      <c r="CA146" s="1"/>
      <c r="CB146" s="1"/>
      <c r="CC146" s="1"/>
      <c r="CD146" s="1"/>
      <c r="CE146" s="1"/>
      <c r="CF146" s="1"/>
      <c r="CG146" s="1"/>
      <c r="CH146" s="1"/>
      <c r="CI146" s="1"/>
      <c r="CJ146" s="1"/>
      <c r="CK146" s="1"/>
      <c r="CL146" s="1"/>
      <c r="CM146" s="1"/>
      <c r="CN146" s="1"/>
      <c r="CO146" s="1"/>
      <c r="CP146" s="1"/>
      <c r="CQ146" s="1"/>
      <c r="CR146" s="1"/>
      <c r="CS146" s="1"/>
      <c r="CT146" s="1"/>
      <c r="CU146" s="1"/>
      <c r="CV146" s="1"/>
      <c r="CW146" s="1"/>
      <c r="CX146" s="1"/>
      <c r="CY146" s="1"/>
      <c r="CZ146" s="1"/>
      <c r="DA146" s="1"/>
      <c r="DB146" s="1"/>
      <c r="DC146" s="1"/>
      <c r="DD146" s="1"/>
      <c r="DE146" s="1"/>
      <c r="DF146" s="1"/>
      <c r="DG146" s="1"/>
      <c r="DH146" s="1"/>
      <c r="DI146" s="1"/>
      <c r="DJ146" s="1"/>
      <c r="DK146" s="1"/>
      <c r="DL146" s="1"/>
      <c r="DM146" s="1"/>
      <c r="DN146" s="1"/>
      <c r="DO146" s="1"/>
      <c r="DP146" s="1"/>
      <c r="DQ146" s="1"/>
      <c r="DR146" s="1"/>
      <c r="DS146" s="1"/>
      <c r="DT146" s="1"/>
      <c r="DU146" s="1"/>
      <c r="DV146" s="1"/>
      <c r="DW146" s="1"/>
      <c r="DX146" s="1"/>
      <c r="DY146" s="1"/>
      <c r="DZ146" s="1"/>
      <c r="EA146" s="1"/>
      <c r="EB146" s="1"/>
      <c r="EC146" s="1"/>
      <c r="ED146" s="1"/>
      <c r="EE146" s="1"/>
      <c r="EF146" s="1"/>
      <c r="EG146" s="1"/>
      <c r="EH146" s="1"/>
      <c r="EI146" s="1"/>
      <c r="EJ146" s="1"/>
      <c r="EK146" s="1"/>
      <c r="EL146" s="1"/>
      <c r="EM146" s="1"/>
      <c r="EN146" s="1"/>
      <c r="EO146" s="1"/>
      <c r="EP146" s="1"/>
      <c r="EQ146" s="1"/>
      <c r="ER146" s="1"/>
      <c r="ES146" s="1"/>
      <c r="ET146" s="1"/>
      <c r="EU146" s="1"/>
      <c r="EV146" s="1"/>
      <c r="EW146" s="1"/>
      <c r="EX146" s="1"/>
      <c r="EY146" s="1"/>
      <c r="EZ146" s="1"/>
      <c r="FA146" s="1"/>
      <c r="FB146" s="1"/>
      <c r="FC146" s="1"/>
      <c r="FD146" s="1"/>
      <c r="FE146" s="1"/>
      <c r="FF146" s="1"/>
      <c r="FG146" s="1"/>
      <c r="FH146" s="1"/>
      <c r="FI146" s="1"/>
      <c r="FJ146" s="1"/>
      <c r="FK146" s="1"/>
      <c r="FL146" s="1"/>
      <c r="FM146" s="1"/>
      <c r="FN146" s="1"/>
      <c r="FO146" s="1"/>
      <c r="FP146" s="1"/>
      <c r="FQ146" s="1"/>
      <c r="FR146" s="1"/>
      <c r="FS146" s="1"/>
      <c r="FT146" s="1"/>
      <c r="FU146" s="1"/>
      <c r="FV146" s="1"/>
      <c r="FW146" s="1"/>
      <c r="FX146" s="1"/>
      <c r="FY146" s="1"/>
      <c r="FZ146" s="1"/>
      <c r="GA146" s="1"/>
      <c r="GB146" s="1"/>
      <c r="GC146" s="1"/>
      <c r="GD146" s="1"/>
      <c r="GE146" s="1"/>
      <c r="GF146" s="1"/>
      <c r="GG146" s="1"/>
      <c r="GH146" s="1"/>
      <c r="GI146" s="1"/>
      <c r="GJ146" s="1"/>
      <c r="GK146" s="1"/>
      <c r="GL146" s="1"/>
      <c r="GM146" s="1"/>
      <c r="GN146" s="1"/>
      <c r="GO146" s="1"/>
      <c r="GP146" s="1"/>
      <c r="GQ146" s="1"/>
      <c r="GR146" s="1"/>
      <c r="GS146" s="1"/>
      <c r="GT146" s="1"/>
      <c r="GU146" s="1"/>
      <c r="GV146" s="1"/>
      <c r="GW146" s="1"/>
      <c r="GX146" s="1"/>
      <c r="GY146" s="1"/>
      <c r="GZ146" s="1"/>
      <c r="HA146" s="1"/>
      <c r="HB146" s="1"/>
      <c r="HC146" s="1"/>
      <c r="HD146" s="1"/>
      <c r="HE146" s="1"/>
      <c r="HF146" s="1"/>
      <c r="HG146" s="1"/>
      <c r="HH146" s="1"/>
      <c r="HI146" s="1"/>
      <c r="HJ146" s="1"/>
      <c r="HK146" s="1"/>
      <c r="HL146" s="1"/>
      <c r="HM146" s="1"/>
      <c r="HN146" s="1"/>
      <c r="HO146" s="1"/>
      <c r="HP146" s="1"/>
      <c r="HQ146" s="1"/>
      <c r="HR146" s="1"/>
      <c r="HS146" s="1"/>
      <c r="HT146" s="1"/>
      <c r="HU146" s="1"/>
      <c r="HV146" s="1"/>
      <c r="HW146" s="1"/>
      <c r="HX146" s="1"/>
      <c r="HY146" s="1"/>
      <c r="HZ146" s="1"/>
      <c r="IA146" s="1"/>
      <c r="IB146" s="1"/>
      <c r="IC146" s="1"/>
      <c r="ID146" s="1"/>
      <c r="IE146" s="1"/>
      <c r="IF146" s="1"/>
      <c r="IG146" s="1"/>
      <c r="IH146" s="1"/>
      <c r="II146" s="1"/>
      <c r="IJ146" s="1"/>
      <c r="IK146" s="1"/>
      <c r="IL146" s="1"/>
      <c r="IM146" s="1"/>
      <c r="IN146" s="1"/>
      <c r="IO146" s="1"/>
      <c r="IP146" s="1"/>
      <c r="IQ146" s="1"/>
      <c r="IR146" s="1"/>
      <c r="IS146" s="1"/>
      <c r="IT146" s="1"/>
      <c r="IU146" s="1"/>
      <c r="IV146" s="1"/>
      <c r="IW146" s="1"/>
      <c r="IX146" s="1"/>
      <c r="IY146" s="1"/>
      <c r="IZ146" s="1"/>
      <c r="JA146" s="1"/>
      <c r="JB146" s="1"/>
      <c r="JC146" s="1"/>
      <c r="JD146" s="1"/>
      <c r="JE146" s="1"/>
      <c r="JF146" s="1"/>
      <c r="JG146" s="1"/>
      <c r="JH146" s="1"/>
      <c r="JI146" s="1"/>
      <c r="JJ146" s="1"/>
      <c r="JK146" s="1"/>
      <c r="JL146" s="1"/>
      <c r="JM146" s="1"/>
      <c r="JN146" s="1"/>
      <c r="JO146" s="1"/>
      <c r="JP146" s="1"/>
      <c r="JQ146" s="1"/>
      <c r="JR146" s="1"/>
      <c r="JS146" s="1"/>
      <c r="JT146" s="1"/>
      <c r="JU146" s="1"/>
      <c r="JV146" s="1"/>
      <c r="JW146" s="1"/>
      <c r="JX146" s="1"/>
      <c r="JY146" s="1"/>
      <c r="JZ146" s="1"/>
      <c r="KA146" s="1"/>
      <c r="KB146" s="1"/>
      <c r="KC146" s="1"/>
      <c r="KD146" s="1"/>
      <c r="KE146" s="1"/>
      <c r="KF146" s="1"/>
      <c r="KG146" s="1"/>
      <c r="KH146" s="1"/>
      <c r="KI146" s="1"/>
      <c r="KJ146" s="1"/>
      <c r="KK146" s="1"/>
      <c r="KL146" s="1"/>
      <c r="KM146" s="1"/>
      <c r="KN146" s="1"/>
      <c r="KO146" s="1"/>
      <c r="KP146" s="1"/>
      <c r="KQ146" s="1"/>
      <c r="KR146" s="1"/>
      <c r="KS146" s="1"/>
      <c r="KT146" s="1"/>
      <c r="KU146" s="1"/>
      <c r="KV146" s="1"/>
      <c r="KW146" s="1"/>
      <c r="KX146" s="1"/>
      <c r="KY146" s="1"/>
      <c r="KZ146" s="1"/>
      <c r="LA146" s="1"/>
      <c r="LB146" s="1"/>
      <c r="LC146" s="1"/>
      <c r="LD146" s="1"/>
      <c r="LE146" s="1"/>
      <c r="LF146" s="1"/>
      <c r="LG146" s="1"/>
      <c r="LH146" s="1"/>
      <c r="LI146" s="1"/>
      <c r="LJ146" s="1"/>
      <c r="LK146" s="1"/>
      <c r="LL146" s="1"/>
      <c r="LM146" s="1"/>
      <c r="LN146" s="1"/>
      <c r="LO146" s="1"/>
      <c r="LP146" s="1"/>
      <c r="LQ146" s="1"/>
      <c r="LR146" s="1"/>
      <c r="LS146" s="1"/>
    </row>
    <row r="147" spans="1:331" s="40" customFormat="1" x14ac:dyDescent="0.25">
      <c r="A147" s="40" t="s">
        <v>607</v>
      </c>
      <c r="B147" s="40" t="s">
        <v>608</v>
      </c>
      <c r="C147" s="96" t="s">
        <v>1648</v>
      </c>
      <c r="D147" s="40">
        <v>0</v>
      </c>
      <c r="H147" s="40" t="s">
        <v>108</v>
      </c>
      <c r="I147" s="40" t="s">
        <v>111</v>
      </c>
      <c r="J147" s="40" t="s">
        <v>609</v>
      </c>
      <c r="K147" s="40" t="s">
        <v>111</v>
      </c>
      <c r="L147" s="40">
        <v>0</v>
      </c>
      <c r="O147" s="40">
        <v>1</v>
      </c>
      <c r="P147" s="40" t="s">
        <v>610</v>
      </c>
      <c r="Q147" s="94" t="s">
        <v>2002</v>
      </c>
      <c r="R147" s="96"/>
      <c r="T147" s="40">
        <v>16.100000000000001</v>
      </c>
      <c r="W147" s="96">
        <v>16</v>
      </c>
      <c r="X147" s="96"/>
      <c r="Y147" s="96"/>
      <c r="Z147" s="40">
        <v>8</v>
      </c>
      <c r="AA147" s="94" t="b">
        <v>1</v>
      </c>
      <c r="AB147" s="17" t="s">
        <v>1890</v>
      </c>
      <c r="AC147" s="57" t="s">
        <v>1937</v>
      </c>
      <c r="AD147" s="1"/>
      <c r="AE147" s="57" t="s">
        <v>2001</v>
      </c>
      <c r="AF147" s="1"/>
      <c r="AG147" s="1"/>
      <c r="AH147" s="1"/>
      <c r="AI147" s="1"/>
      <c r="AJ147" s="1"/>
      <c r="AK147" s="1"/>
      <c r="AL147" s="1"/>
      <c r="AM147" s="1"/>
      <c r="AN147" s="1"/>
      <c r="AO147" s="1"/>
      <c r="AP147" s="1"/>
      <c r="AQ147" s="1"/>
      <c r="AR147" s="1"/>
      <c r="AS147" s="1"/>
      <c r="AT147" s="1"/>
      <c r="AU147" s="1"/>
      <c r="AV147" s="1"/>
      <c r="AW147" s="1"/>
      <c r="AX147" s="1"/>
      <c r="AY147" s="1"/>
      <c r="AZ147" s="1"/>
      <c r="BA147" s="1"/>
      <c r="BB147" s="1"/>
      <c r="BC147" s="1"/>
      <c r="BD147" s="1"/>
      <c r="BE147" s="1"/>
      <c r="BF147" s="1"/>
      <c r="BG147" s="1"/>
      <c r="BH147" s="1"/>
      <c r="BI147" s="1"/>
      <c r="BJ147" s="1"/>
      <c r="BK147" s="1"/>
      <c r="BL147" s="1"/>
      <c r="BM147" s="1"/>
      <c r="BN147" s="1"/>
      <c r="BO147" s="1"/>
      <c r="BP147" s="1"/>
      <c r="BQ147" s="1"/>
      <c r="BR147" s="1"/>
      <c r="BS147" s="1"/>
      <c r="BT147" s="1"/>
      <c r="BU147" s="1"/>
      <c r="BV147" s="1"/>
      <c r="BW147" s="1"/>
      <c r="BX147" s="1"/>
      <c r="BY147" s="1"/>
      <c r="BZ147" s="1"/>
      <c r="CA147" s="1"/>
      <c r="CB147" s="1"/>
      <c r="CC147" s="1"/>
      <c r="CD147" s="1"/>
      <c r="CE147" s="1"/>
      <c r="CF147" s="1"/>
      <c r="CG147" s="1"/>
      <c r="CH147" s="1"/>
      <c r="CI147" s="1"/>
      <c r="CJ147" s="1"/>
      <c r="CK147" s="1"/>
      <c r="CL147" s="1"/>
      <c r="CM147" s="1"/>
      <c r="CN147" s="1"/>
      <c r="CO147" s="1"/>
      <c r="CP147" s="1"/>
      <c r="CQ147" s="1"/>
      <c r="CR147" s="1"/>
      <c r="CS147" s="1"/>
      <c r="CT147" s="1"/>
      <c r="CU147" s="1"/>
      <c r="CV147" s="1"/>
      <c r="CW147" s="1"/>
      <c r="CX147" s="1"/>
      <c r="CY147" s="1"/>
      <c r="CZ147" s="1"/>
      <c r="DA147" s="1"/>
      <c r="DB147" s="1"/>
      <c r="DC147" s="1"/>
      <c r="DD147" s="1"/>
      <c r="DE147" s="1"/>
      <c r="DF147" s="1"/>
      <c r="DG147" s="1"/>
      <c r="DH147" s="1"/>
      <c r="DI147" s="1"/>
      <c r="DJ147" s="1"/>
      <c r="DK147" s="1"/>
      <c r="DL147" s="1"/>
      <c r="DM147" s="1"/>
      <c r="DN147" s="1"/>
      <c r="DO147" s="1"/>
      <c r="DP147" s="1"/>
      <c r="DQ147" s="1"/>
      <c r="DR147" s="1"/>
      <c r="DS147" s="1"/>
      <c r="DT147" s="1"/>
      <c r="DU147" s="1"/>
      <c r="DV147" s="1"/>
      <c r="DW147" s="1"/>
      <c r="DX147" s="1"/>
      <c r="DY147" s="1"/>
      <c r="DZ147" s="1"/>
      <c r="EA147" s="1"/>
      <c r="EB147" s="1"/>
      <c r="EC147" s="1"/>
      <c r="ED147" s="1"/>
      <c r="EE147" s="1"/>
      <c r="EF147" s="1"/>
      <c r="EG147" s="1"/>
      <c r="EH147" s="1"/>
      <c r="EI147" s="1"/>
      <c r="EJ147" s="1"/>
      <c r="EK147" s="1"/>
      <c r="EL147" s="1"/>
      <c r="EM147" s="1"/>
      <c r="EN147" s="1"/>
      <c r="EO147" s="1"/>
      <c r="EP147" s="1"/>
      <c r="EQ147" s="1"/>
      <c r="ER147" s="1"/>
      <c r="ES147" s="1"/>
      <c r="ET147" s="1"/>
      <c r="EU147" s="1"/>
      <c r="EV147" s="1"/>
      <c r="EW147" s="1"/>
      <c r="EX147" s="1"/>
      <c r="EY147" s="1"/>
      <c r="EZ147" s="1"/>
      <c r="FA147" s="1"/>
      <c r="FB147" s="1"/>
      <c r="FC147" s="1"/>
      <c r="FD147" s="1"/>
      <c r="FE147" s="1"/>
      <c r="FF147" s="1"/>
      <c r="FG147" s="1"/>
      <c r="FH147" s="1"/>
      <c r="FI147" s="1"/>
      <c r="FJ147" s="1"/>
      <c r="FK147" s="1"/>
      <c r="FL147" s="1"/>
      <c r="FM147" s="1"/>
      <c r="FN147" s="1"/>
      <c r="FO147" s="1"/>
      <c r="FP147" s="1"/>
      <c r="FQ147" s="1"/>
      <c r="FR147" s="1"/>
      <c r="FS147" s="1"/>
      <c r="FT147" s="1"/>
      <c r="FU147" s="1"/>
      <c r="FV147" s="1"/>
      <c r="FW147" s="1"/>
      <c r="FX147" s="1"/>
      <c r="FY147" s="1"/>
      <c r="FZ147" s="1"/>
      <c r="GA147" s="1"/>
      <c r="GB147" s="1"/>
      <c r="GC147" s="1"/>
      <c r="GD147" s="1"/>
      <c r="GE147" s="1"/>
      <c r="GF147" s="1"/>
      <c r="GG147" s="1"/>
      <c r="GH147" s="1"/>
      <c r="GI147" s="1"/>
      <c r="GJ147" s="1"/>
      <c r="GK147" s="1"/>
      <c r="GL147" s="1"/>
      <c r="GM147" s="1"/>
      <c r="GN147" s="1"/>
      <c r="GO147" s="1"/>
      <c r="GP147" s="1"/>
      <c r="GQ147" s="1"/>
      <c r="GR147" s="1"/>
      <c r="GS147" s="1"/>
      <c r="GT147" s="1"/>
      <c r="GU147" s="1"/>
      <c r="GV147" s="1"/>
      <c r="GW147" s="1"/>
      <c r="GX147" s="1"/>
      <c r="GY147" s="1"/>
      <c r="GZ147" s="1"/>
      <c r="HA147" s="1"/>
      <c r="HB147" s="1"/>
      <c r="HC147" s="1"/>
      <c r="HD147" s="1"/>
      <c r="HE147" s="1"/>
      <c r="HF147" s="1"/>
      <c r="HG147" s="1"/>
      <c r="HH147" s="1"/>
      <c r="HI147" s="1"/>
      <c r="HJ147" s="1"/>
      <c r="HK147" s="1"/>
      <c r="HL147" s="1"/>
      <c r="HM147" s="1"/>
      <c r="HN147" s="1"/>
      <c r="HO147" s="1"/>
      <c r="HP147" s="1"/>
      <c r="HQ147" s="1"/>
      <c r="HR147" s="1"/>
      <c r="HS147" s="1"/>
      <c r="HT147" s="1"/>
      <c r="HU147" s="1"/>
      <c r="HV147" s="1"/>
      <c r="HW147" s="1"/>
      <c r="HX147" s="1"/>
      <c r="HY147" s="1"/>
      <c r="HZ147" s="1"/>
      <c r="IA147" s="1"/>
      <c r="IB147" s="1"/>
      <c r="IC147" s="1"/>
      <c r="ID147" s="1"/>
      <c r="IE147" s="1"/>
      <c r="IF147" s="1"/>
      <c r="IG147" s="1"/>
      <c r="IH147" s="1"/>
      <c r="II147" s="1"/>
      <c r="IJ147" s="1"/>
      <c r="IK147" s="1"/>
      <c r="IL147" s="1"/>
      <c r="IM147" s="1"/>
      <c r="IN147" s="1"/>
      <c r="IO147" s="1"/>
      <c r="IP147" s="1"/>
      <c r="IQ147" s="1"/>
      <c r="IR147" s="1"/>
      <c r="IS147" s="1"/>
      <c r="IT147" s="1"/>
      <c r="IU147" s="1"/>
      <c r="IV147" s="1"/>
      <c r="IW147" s="1"/>
      <c r="IX147" s="1"/>
      <c r="IY147" s="1"/>
      <c r="IZ147" s="1"/>
      <c r="JA147" s="1"/>
      <c r="JB147" s="1"/>
      <c r="JC147" s="1"/>
      <c r="JD147" s="1"/>
      <c r="JE147" s="1"/>
      <c r="JF147" s="1"/>
      <c r="JG147" s="1"/>
      <c r="JH147" s="1"/>
      <c r="JI147" s="1"/>
      <c r="JJ147" s="1"/>
      <c r="JK147" s="1"/>
      <c r="JL147" s="1"/>
      <c r="JM147" s="1"/>
      <c r="JN147" s="1"/>
      <c r="JO147" s="1"/>
      <c r="JP147" s="1"/>
      <c r="JQ147" s="1"/>
      <c r="JR147" s="1"/>
      <c r="JS147" s="1"/>
      <c r="JT147" s="1"/>
      <c r="JU147" s="1"/>
      <c r="JV147" s="1"/>
      <c r="JW147" s="1"/>
      <c r="JX147" s="1"/>
      <c r="JY147" s="1"/>
      <c r="JZ147" s="1"/>
      <c r="KA147" s="1"/>
      <c r="KB147" s="1"/>
      <c r="KC147" s="1"/>
      <c r="KD147" s="1"/>
      <c r="KE147" s="1"/>
      <c r="KF147" s="1"/>
      <c r="KG147" s="1"/>
      <c r="KH147" s="1"/>
      <c r="KI147" s="1"/>
      <c r="KJ147" s="1"/>
      <c r="KK147" s="1"/>
      <c r="KL147" s="1"/>
      <c r="KM147" s="1"/>
      <c r="KN147" s="1"/>
      <c r="KO147" s="1"/>
      <c r="KP147" s="1"/>
      <c r="KQ147" s="1"/>
      <c r="KR147" s="1"/>
      <c r="KS147" s="1"/>
      <c r="KT147" s="1"/>
      <c r="KU147" s="1"/>
      <c r="KV147" s="1"/>
      <c r="KW147" s="1"/>
      <c r="KX147" s="1"/>
      <c r="KY147" s="1"/>
      <c r="KZ147" s="1"/>
      <c r="LA147" s="1"/>
      <c r="LB147" s="1"/>
      <c r="LC147" s="1"/>
      <c r="LD147" s="1"/>
      <c r="LE147" s="1"/>
      <c r="LF147" s="1"/>
      <c r="LG147" s="1"/>
      <c r="LH147" s="1"/>
      <c r="LI147" s="1"/>
      <c r="LJ147" s="1"/>
      <c r="LK147" s="1"/>
      <c r="LL147" s="1"/>
      <c r="LM147" s="1"/>
      <c r="LN147" s="1"/>
      <c r="LO147" s="1"/>
      <c r="LP147" s="1"/>
      <c r="LQ147" s="1"/>
      <c r="LR147" s="1"/>
      <c r="LS147" s="1"/>
    </row>
    <row r="148" spans="1:331" s="25" customFormat="1" x14ac:dyDescent="0.25">
      <c r="A148" s="25" t="s">
        <v>611</v>
      </c>
      <c r="B148" s="29" t="s">
        <v>612</v>
      </c>
      <c r="C148" s="94" t="s">
        <v>1648</v>
      </c>
      <c r="D148" s="25">
        <v>0</v>
      </c>
      <c r="H148" s="25" t="s">
        <v>310</v>
      </c>
      <c r="I148" s="25" t="s">
        <v>613</v>
      </c>
      <c r="J148" s="25" t="s">
        <v>614</v>
      </c>
      <c r="L148" s="25">
        <v>0</v>
      </c>
      <c r="O148" s="25">
        <v>1</v>
      </c>
      <c r="Q148" s="96" t="s">
        <v>1547</v>
      </c>
      <c r="R148" s="96"/>
      <c r="S148" s="25">
        <v>7</v>
      </c>
      <c r="U148" s="25">
        <v>9</v>
      </c>
      <c r="W148" s="96">
        <v>7</v>
      </c>
      <c r="X148" s="96"/>
      <c r="Y148" s="96"/>
      <c r="Z148" s="25">
        <v>5</v>
      </c>
      <c r="AA148" s="94" t="b">
        <v>1</v>
      </c>
      <c r="AB148" s="1"/>
      <c r="AC148" s="57" t="s">
        <v>1297</v>
      </c>
      <c r="AD148" s="1"/>
      <c r="AE148" s="57"/>
      <c r="AF148" s="1"/>
      <c r="AG148" s="1"/>
      <c r="AH148" s="1"/>
      <c r="AI148" s="1"/>
      <c r="AJ148" s="1"/>
      <c r="AK148" s="1"/>
      <c r="AL148" s="1"/>
      <c r="AM148" s="1"/>
      <c r="AN148" s="1"/>
      <c r="AO148" s="1"/>
      <c r="AP148" s="1"/>
      <c r="AQ148" s="1"/>
      <c r="AR148" s="1"/>
      <c r="AS148" s="1"/>
      <c r="AT148" s="1"/>
      <c r="AU148" s="1"/>
      <c r="AV148" s="1"/>
      <c r="AW148" s="1"/>
      <c r="AX148" s="1"/>
      <c r="AY148" s="1"/>
      <c r="AZ148" s="1"/>
      <c r="BA148" s="1"/>
      <c r="BB148" s="1"/>
      <c r="BC148" s="1"/>
      <c r="BD148" s="1"/>
      <c r="BE148" s="1"/>
      <c r="BF148" s="1"/>
      <c r="BG148" s="1"/>
      <c r="BH148" s="1"/>
      <c r="BI148" s="1"/>
      <c r="BJ148" s="1"/>
      <c r="BK148" s="1"/>
      <c r="BL148" s="1"/>
      <c r="BM148" s="1"/>
      <c r="BN148" s="1"/>
      <c r="BO148" s="1"/>
      <c r="BP148" s="1"/>
      <c r="BQ148" s="1"/>
      <c r="BR148" s="1"/>
      <c r="BS148" s="1"/>
      <c r="BT148" s="1"/>
      <c r="BU148" s="1"/>
      <c r="BV148" s="1"/>
      <c r="BW148" s="1"/>
      <c r="BX148" s="1"/>
      <c r="BY148" s="1"/>
      <c r="BZ148" s="1"/>
      <c r="CA148" s="1"/>
      <c r="CB148" s="1"/>
      <c r="CC148" s="1"/>
      <c r="CD148" s="1"/>
      <c r="CE148" s="1"/>
      <c r="CF148" s="1"/>
      <c r="CG148" s="1"/>
      <c r="CH148" s="1"/>
      <c r="CI148" s="1"/>
      <c r="CJ148" s="1"/>
      <c r="CK148" s="1"/>
      <c r="CL148" s="1"/>
      <c r="CM148" s="1"/>
      <c r="CN148" s="1"/>
      <c r="CO148" s="1"/>
      <c r="CP148" s="1"/>
      <c r="CQ148" s="1"/>
      <c r="CR148" s="1"/>
      <c r="CS148" s="1"/>
      <c r="CT148" s="1"/>
      <c r="CU148" s="1"/>
      <c r="CV148" s="1"/>
      <c r="CW148" s="1"/>
      <c r="CX148" s="1"/>
      <c r="CY148" s="1"/>
      <c r="CZ148" s="1"/>
      <c r="DA148" s="1"/>
      <c r="DB148" s="1"/>
      <c r="DC148" s="1"/>
      <c r="DD148" s="1"/>
      <c r="DE148" s="1"/>
      <c r="DF148" s="1"/>
      <c r="DG148" s="1"/>
      <c r="DH148" s="1"/>
      <c r="DI148" s="1"/>
      <c r="DJ148" s="1"/>
      <c r="DK148" s="1"/>
      <c r="DL148" s="1"/>
      <c r="DM148" s="1"/>
      <c r="DN148" s="1"/>
      <c r="DO148" s="1"/>
      <c r="DP148" s="1"/>
      <c r="DQ148" s="1"/>
      <c r="DR148" s="1"/>
      <c r="DS148" s="1"/>
      <c r="DT148" s="1"/>
      <c r="DU148" s="1"/>
      <c r="DV148" s="1"/>
      <c r="DW148" s="1"/>
      <c r="DX148" s="1"/>
      <c r="DY148" s="1"/>
      <c r="DZ148" s="1"/>
      <c r="EA148" s="1"/>
      <c r="EB148" s="1"/>
      <c r="EC148" s="1"/>
      <c r="ED148" s="1"/>
      <c r="EE148" s="1"/>
      <c r="EF148" s="1"/>
      <c r="EG148" s="1"/>
      <c r="EH148" s="1"/>
      <c r="EI148" s="1"/>
      <c r="EJ148" s="1"/>
      <c r="EK148" s="1"/>
      <c r="EL148" s="1"/>
      <c r="EM148" s="1"/>
      <c r="EN148" s="1"/>
      <c r="EO148" s="1"/>
      <c r="EP148" s="1"/>
      <c r="EQ148" s="1"/>
      <c r="ER148" s="1"/>
      <c r="ES148" s="1"/>
      <c r="ET148" s="1"/>
      <c r="EU148" s="1"/>
      <c r="EV148" s="1"/>
      <c r="EW148" s="1"/>
      <c r="EX148" s="1"/>
      <c r="EY148" s="1"/>
      <c r="EZ148" s="1"/>
      <c r="FA148" s="1"/>
      <c r="FB148" s="1"/>
      <c r="FC148" s="1"/>
      <c r="FD148" s="1"/>
      <c r="FE148" s="1"/>
      <c r="FF148" s="1"/>
      <c r="FG148" s="1"/>
      <c r="FH148" s="1"/>
      <c r="FI148" s="1"/>
      <c r="FJ148" s="1"/>
      <c r="FK148" s="1"/>
      <c r="FL148" s="1"/>
      <c r="FM148" s="1"/>
      <c r="FN148" s="1"/>
      <c r="FO148" s="1"/>
      <c r="FP148" s="1"/>
      <c r="FQ148" s="1"/>
      <c r="FR148" s="1"/>
      <c r="FS148" s="1"/>
      <c r="FT148" s="1"/>
      <c r="FU148" s="1"/>
      <c r="FV148" s="1"/>
      <c r="FW148" s="1"/>
      <c r="FX148" s="1"/>
      <c r="FY148" s="1"/>
      <c r="FZ148" s="1"/>
      <c r="GA148" s="1"/>
      <c r="GB148" s="1"/>
      <c r="GC148" s="1"/>
      <c r="GD148" s="1"/>
      <c r="GE148" s="1"/>
      <c r="GF148" s="1"/>
      <c r="GG148" s="1"/>
      <c r="GH148" s="1"/>
      <c r="GI148" s="1"/>
      <c r="GJ148" s="1"/>
      <c r="GK148" s="1"/>
      <c r="GL148" s="1"/>
      <c r="GM148" s="1"/>
      <c r="GN148" s="1"/>
      <c r="GO148" s="1"/>
      <c r="GP148" s="1"/>
      <c r="GQ148" s="1"/>
      <c r="GR148" s="1"/>
      <c r="GS148" s="1"/>
      <c r="GT148" s="1"/>
      <c r="GU148" s="1"/>
      <c r="GV148" s="1"/>
      <c r="GW148" s="1"/>
      <c r="GX148" s="1"/>
      <c r="GY148" s="1"/>
      <c r="GZ148" s="1"/>
      <c r="HA148" s="1"/>
      <c r="HB148" s="1"/>
      <c r="HC148" s="1"/>
      <c r="HD148" s="1"/>
      <c r="HE148" s="1"/>
      <c r="HF148" s="1"/>
      <c r="HG148" s="1"/>
      <c r="HH148" s="1"/>
      <c r="HI148" s="1"/>
      <c r="HJ148" s="1"/>
      <c r="HK148" s="1"/>
      <c r="HL148" s="1"/>
      <c r="HM148" s="1"/>
      <c r="HN148" s="1"/>
      <c r="HO148" s="1"/>
      <c r="HP148" s="1"/>
      <c r="HQ148" s="1"/>
      <c r="HR148" s="1"/>
      <c r="HS148" s="1"/>
      <c r="HT148" s="1"/>
      <c r="HU148" s="1"/>
      <c r="HV148" s="1"/>
      <c r="HW148" s="1"/>
      <c r="HX148" s="1"/>
      <c r="HY148" s="1"/>
      <c r="HZ148" s="1"/>
      <c r="IA148" s="1"/>
      <c r="IB148" s="1"/>
      <c r="IC148" s="1"/>
      <c r="ID148" s="1"/>
      <c r="IE148" s="1"/>
      <c r="IF148" s="1"/>
      <c r="IG148" s="1"/>
      <c r="IH148" s="1"/>
      <c r="II148" s="1"/>
      <c r="IJ148" s="1"/>
      <c r="IK148" s="1"/>
      <c r="IL148" s="1"/>
      <c r="IM148" s="1"/>
      <c r="IN148" s="1"/>
      <c r="IO148" s="1"/>
      <c r="IP148" s="1"/>
      <c r="IQ148" s="1"/>
      <c r="IR148" s="1"/>
      <c r="IS148" s="1"/>
      <c r="IT148" s="1"/>
      <c r="IU148" s="1"/>
      <c r="IV148" s="1"/>
      <c r="IW148" s="1"/>
      <c r="IX148" s="1"/>
      <c r="IY148" s="1"/>
      <c r="IZ148" s="1"/>
      <c r="JA148" s="1"/>
      <c r="JB148" s="1"/>
      <c r="JC148" s="1"/>
      <c r="JD148" s="1"/>
      <c r="JE148" s="1"/>
      <c r="JF148" s="1"/>
      <c r="JG148" s="1"/>
      <c r="JH148" s="1"/>
      <c r="JI148" s="1"/>
      <c r="JJ148" s="1"/>
      <c r="JK148" s="1"/>
      <c r="JL148" s="1"/>
      <c r="JM148" s="1"/>
      <c r="JN148" s="1"/>
      <c r="JO148" s="1"/>
      <c r="JP148" s="1"/>
      <c r="JQ148" s="1"/>
      <c r="JR148" s="1"/>
      <c r="JS148" s="1"/>
      <c r="JT148" s="1"/>
      <c r="JU148" s="1"/>
      <c r="JV148" s="1"/>
      <c r="JW148" s="1"/>
      <c r="JX148" s="1"/>
      <c r="JY148" s="1"/>
      <c r="JZ148" s="1"/>
      <c r="KA148" s="1"/>
      <c r="KB148" s="1"/>
      <c r="KC148" s="1"/>
      <c r="KD148" s="1"/>
      <c r="KE148" s="1"/>
      <c r="KF148" s="1"/>
      <c r="KG148" s="1"/>
      <c r="KH148" s="1"/>
      <c r="KI148" s="1"/>
      <c r="KJ148" s="1"/>
      <c r="KK148" s="1"/>
      <c r="KL148" s="1"/>
      <c r="KM148" s="1"/>
      <c r="KN148" s="1"/>
      <c r="KO148" s="1"/>
      <c r="KP148" s="1"/>
      <c r="KQ148" s="1"/>
      <c r="KR148" s="1"/>
      <c r="KS148" s="1"/>
      <c r="KT148" s="1"/>
      <c r="KU148" s="1"/>
      <c r="KV148" s="1"/>
      <c r="KW148" s="1"/>
      <c r="KX148" s="1"/>
      <c r="KY148" s="1"/>
      <c r="KZ148" s="1"/>
      <c r="LA148" s="1"/>
      <c r="LB148" s="1"/>
      <c r="LC148" s="1"/>
      <c r="LD148" s="1"/>
      <c r="LE148" s="1"/>
      <c r="LF148" s="1"/>
      <c r="LG148" s="1"/>
      <c r="LH148" s="1"/>
      <c r="LI148" s="1"/>
      <c r="LJ148" s="1"/>
      <c r="LK148" s="1"/>
      <c r="LL148" s="1"/>
      <c r="LM148" s="1"/>
      <c r="LN148" s="1"/>
      <c r="LO148" s="1"/>
      <c r="LP148" s="1"/>
      <c r="LQ148" s="1"/>
      <c r="LR148" s="1"/>
      <c r="LS148" s="1"/>
    </row>
    <row r="149" spans="1:331" s="25" customFormat="1" x14ac:dyDescent="0.25">
      <c r="A149" s="25" t="s">
        <v>615</v>
      </c>
      <c r="B149" s="29" t="s">
        <v>616</v>
      </c>
      <c r="C149" s="94" t="s">
        <v>1648</v>
      </c>
      <c r="D149" s="25">
        <v>0</v>
      </c>
      <c r="H149" s="25" t="s">
        <v>617</v>
      </c>
      <c r="I149" s="25" t="s">
        <v>618</v>
      </c>
      <c r="J149" s="25" t="s">
        <v>617</v>
      </c>
      <c r="K149" s="25" t="s">
        <v>618</v>
      </c>
      <c r="L149" s="25">
        <v>0</v>
      </c>
      <c r="O149" s="25">
        <v>0</v>
      </c>
      <c r="Q149" s="96" t="s">
        <v>1548</v>
      </c>
      <c r="R149" s="96"/>
      <c r="S149" s="25">
        <v>6</v>
      </c>
      <c r="T149" s="25">
        <v>6</v>
      </c>
      <c r="U149" s="25">
        <v>7</v>
      </c>
      <c r="V149" s="25">
        <v>7</v>
      </c>
      <c r="W149" s="96">
        <v>6</v>
      </c>
      <c r="X149" s="96"/>
      <c r="Y149" s="96"/>
      <c r="Z149" s="25">
        <v>5</v>
      </c>
      <c r="AA149" s="94" t="b">
        <v>1</v>
      </c>
      <c r="AB149" s="1"/>
      <c r="AC149" s="57" t="s">
        <v>1341</v>
      </c>
      <c r="AD149" s="1"/>
      <c r="AE149" s="57"/>
      <c r="AF149" s="1"/>
      <c r="AG149" s="1"/>
      <c r="AH149" s="1"/>
      <c r="AI149" s="1"/>
      <c r="AJ149" s="1"/>
      <c r="AK149" s="1"/>
      <c r="AL149" s="1"/>
      <c r="AM149" s="1"/>
      <c r="AN149" s="1"/>
      <c r="AO149" s="1"/>
      <c r="AP149" s="1"/>
      <c r="AQ149" s="1"/>
      <c r="AR149" s="1"/>
      <c r="AS149" s="1"/>
      <c r="AT149" s="1"/>
      <c r="AU149" s="1"/>
      <c r="AV149" s="1"/>
      <c r="AW149" s="1"/>
      <c r="AX149" s="1"/>
      <c r="AY149" s="1"/>
      <c r="AZ149" s="1"/>
      <c r="BA149" s="1"/>
      <c r="BB149" s="1"/>
      <c r="BC149" s="1"/>
      <c r="BD149" s="1"/>
      <c r="BE149" s="1"/>
      <c r="BF149" s="1"/>
      <c r="BG149" s="1"/>
      <c r="BH149" s="1"/>
      <c r="BI149" s="1"/>
      <c r="BJ149" s="1"/>
      <c r="BK149" s="1"/>
      <c r="BL149" s="1"/>
      <c r="BM149" s="1"/>
      <c r="BN149" s="1"/>
      <c r="BO149" s="1"/>
      <c r="BP149" s="1"/>
      <c r="BQ149" s="1"/>
      <c r="BR149" s="1"/>
      <c r="BS149" s="1"/>
      <c r="BT149" s="1"/>
      <c r="BU149" s="1"/>
      <c r="BV149" s="1"/>
      <c r="BW149" s="1"/>
      <c r="BX149" s="1"/>
      <c r="BY149" s="1"/>
      <c r="BZ149" s="1"/>
      <c r="CA149" s="1"/>
      <c r="CB149" s="1"/>
      <c r="CC149" s="1"/>
      <c r="CD149" s="1"/>
      <c r="CE149" s="1"/>
      <c r="CF149" s="1"/>
      <c r="CG149" s="1"/>
      <c r="CH149" s="1"/>
      <c r="CI149" s="1"/>
      <c r="CJ149" s="1"/>
      <c r="CK149" s="1"/>
      <c r="CL149" s="1"/>
      <c r="CM149" s="1"/>
      <c r="CN149" s="1"/>
      <c r="CO149" s="1"/>
      <c r="CP149" s="1"/>
      <c r="CQ149" s="1"/>
      <c r="CR149" s="1"/>
      <c r="CS149" s="1"/>
      <c r="CT149" s="1"/>
      <c r="CU149" s="1"/>
      <c r="CV149" s="1"/>
      <c r="CW149" s="1"/>
      <c r="CX149" s="1"/>
      <c r="CY149" s="1"/>
      <c r="CZ149" s="1"/>
      <c r="DA149" s="1"/>
      <c r="DB149" s="1"/>
      <c r="DC149" s="1"/>
      <c r="DD149" s="1"/>
      <c r="DE149" s="1"/>
      <c r="DF149" s="1"/>
      <c r="DG149" s="1"/>
      <c r="DH149" s="1"/>
      <c r="DI149" s="1"/>
      <c r="DJ149" s="1"/>
      <c r="DK149" s="1"/>
      <c r="DL149" s="1"/>
      <c r="DM149" s="1"/>
      <c r="DN149" s="1"/>
      <c r="DO149" s="1"/>
      <c r="DP149" s="1"/>
      <c r="DQ149" s="1"/>
      <c r="DR149" s="1"/>
      <c r="DS149" s="1"/>
      <c r="DT149" s="1"/>
      <c r="DU149" s="1"/>
      <c r="DV149" s="1"/>
      <c r="DW149" s="1"/>
      <c r="DX149" s="1"/>
      <c r="DY149" s="1"/>
      <c r="DZ149" s="1"/>
      <c r="EA149" s="1"/>
      <c r="EB149" s="1"/>
      <c r="EC149" s="1"/>
      <c r="ED149" s="1"/>
      <c r="EE149" s="1"/>
      <c r="EF149" s="1"/>
      <c r="EG149" s="1"/>
      <c r="EH149" s="1"/>
      <c r="EI149" s="1"/>
      <c r="EJ149" s="1"/>
      <c r="EK149" s="1"/>
      <c r="EL149" s="1"/>
      <c r="EM149" s="1"/>
      <c r="EN149" s="1"/>
      <c r="EO149" s="1"/>
      <c r="EP149" s="1"/>
      <c r="EQ149" s="1"/>
      <c r="ER149" s="1"/>
      <c r="ES149" s="1"/>
      <c r="ET149" s="1"/>
      <c r="EU149" s="1"/>
      <c r="EV149" s="1"/>
      <c r="EW149" s="1"/>
      <c r="EX149" s="1"/>
      <c r="EY149" s="1"/>
      <c r="EZ149" s="1"/>
      <c r="FA149" s="1"/>
      <c r="FB149" s="1"/>
      <c r="FC149" s="1"/>
      <c r="FD149" s="1"/>
      <c r="FE149" s="1"/>
      <c r="FF149" s="1"/>
      <c r="FG149" s="1"/>
      <c r="FH149" s="1"/>
      <c r="FI149" s="1"/>
      <c r="FJ149" s="1"/>
      <c r="FK149" s="1"/>
      <c r="FL149" s="1"/>
      <c r="FM149" s="1"/>
      <c r="FN149" s="1"/>
      <c r="FO149" s="1"/>
      <c r="FP149" s="1"/>
      <c r="FQ149" s="1"/>
      <c r="FR149" s="1"/>
      <c r="FS149" s="1"/>
      <c r="FT149" s="1"/>
      <c r="FU149" s="1"/>
      <c r="FV149" s="1"/>
      <c r="FW149" s="1"/>
      <c r="FX149" s="1"/>
      <c r="FY149" s="1"/>
      <c r="FZ149" s="1"/>
      <c r="GA149" s="1"/>
      <c r="GB149" s="1"/>
      <c r="GC149" s="1"/>
      <c r="GD149" s="1"/>
      <c r="GE149" s="1"/>
      <c r="GF149" s="1"/>
      <c r="GG149" s="1"/>
      <c r="GH149" s="1"/>
      <c r="GI149" s="1"/>
      <c r="GJ149" s="1"/>
      <c r="GK149" s="1"/>
      <c r="GL149" s="1"/>
      <c r="GM149" s="1"/>
      <c r="GN149" s="1"/>
      <c r="GO149" s="1"/>
      <c r="GP149" s="1"/>
      <c r="GQ149" s="1"/>
      <c r="GR149" s="1"/>
      <c r="GS149" s="1"/>
      <c r="GT149" s="1"/>
      <c r="GU149" s="1"/>
      <c r="GV149" s="1"/>
      <c r="GW149" s="1"/>
      <c r="GX149" s="1"/>
      <c r="GY149" s="1"/>
      <c r="GZ149" s="1"/>
      <c r="HA149" s="1"/>
      <c r="HB149" s="1"/>
      <c r="HC149" s="1"/>
      <c r="HD149" s="1"/>
      <c r="HE149" s="1"/>
      <c r="HF149" s="1"/>
      <c r="HG149" s="1"/>
      <c r="HH149" s="1"/>
      <c r="HI149" s="1"/>
      <c r="HJ149" s="1"/>
      <c r="HK149" s="1"/>
      <c r="HL149" s="1"/>
      <c r="HM149" s="1"/>
      <c r="HN149" s="1"/>
      <c r="HO149" s="1"/>
      <c r="HP149" s="1"/>
      <c r="HQ149" s="1"/>
      <c r="HR149" s="1"/>
      <c r="HS149" s="1"/>
      <c r="HT149" s="1"/>
      <c r="HU149" s="1"/>
      <c r="HV149" s="1"/>
      <c r="HW149" s="1"/>
      <c r="HX149" s="1"/>
      <c r="HY149" s="1"/>
      <c r="HZ149" s="1"/>
      <c r="IA149" s="1"/>
      <c r="IB149" s="1"/>
      <c r="IC149" s="1"/>
      <c r="ID149" s="1"/>
      <c r="IE149" s="1"/>
      <c r="IF149" s="1"/>
      <c r="IG149" s="1"/>
      <c r="IH149" s="1"/>
      <c r="II149" s="1"/>
      <c r="IJ149" s="1"/>
      <c r="IK149" s="1"/>
      <c r="IL149" s="1"/>
      <c r="IM149" s="1"/>
      <c r="IN149" s="1"/>
      <c r="IO149" s="1"/>
      <c r="IP149" s="1"/>
      <c r="IQ149" s="1"/>
      <c r="IR149" s="1"/>
      <c r="IS149" s="1"/>
      <c r="IT149" s="1"/>
      <c r="IU149" s="1"/>
      <c r="IV149" s="1"/>
      <c r="IW149" s="1"/>
      <c r="IX149" s="1"/>
      <c r="IY149" s="1"/>
      <c r="IZ149" s="1"/>
      <c r="JA149" s="1"/>
      <c r="JB149" s="1"/>
      <c r="JC149" s="1"/>
      <c r="JD149" s="1"/>
      <c r="JE149" s="1"/>
      <c r="JF149" s="1"/>
      <c r="JG149" s="1"/>
      <c r="JH149" s="1"/>
      <c r="JI149" s="1"/>
      <c r="JJ149" s="1"/>
      <c r="JK149" s="1"/>
      <c r="JL149" s="1"/>
      <c r="JM149" s="1"/>
      <c r="JN149" s="1"/>
      <c r="JO149" s="1"/>
      <c r="JP149" s="1"/>
      <c r="JQ149" s="1"/>
      <c r="JR149" s="1"/>
      <c r="JS149" s="1"/>
      <c r="JT149" s="1"/>
      <c r="JU149" s="1"/>
      <c r="JV149" s="1"/>
      <c r="JW149" s="1"/>
      <c r="JX149" s="1"/>
      <c r="JY149" s="1"/>
      <c r="JZ149" s="1"/>
      <c r="KA149" s="1"/>
      <c r="KB149" s="1"/>
      <c r="KC149" s="1"/>
      <c r="KD149" s="1"/>
      <c r="KE149" s="1"/>
      <c r="KF149" s="1"/>
      <c r="KG149" s="1"/>
      <c r="KH149" s="1"/>
      <c r="KI149" s="1"/>
      <c r="KJ149" s="1"/>
      <c r="KK149" s="1"/>
      <c r="KL149" s="1"/>
      <c r="KM149" s="1"/>
      <c r="KN149" s="1"/>
      <c r="KO149" s="1"/>
      <c r="KP149" s="1"/>
      <c r="KQ149" s="1"/>
      <c r="KR149" s="1"/>
      <c r="KS149" s="1"/>
      <c r="KT149" s="1"/>
      <c r="KU149" s="1"/>
      <c r="KV149" s="1"/>
      <c r="KW149" s="1"/>
      <c r="KX149" s="1"/>
      <c r="KY149" s="1"/>
      <c r="KZ149" s="1"/>
      <c r="LA149" s="1"/>
      <c r="LB149" s="1"/>
      <c r="LC149" s="1"/>
      <c r="LD149" s="1"/>
      <c r="LE149" s="1"/>
      <c r="LF149" s="1"/>
      <c r="LG149" s="1"/>
      <c r="LH149" s="1"/>
      <c r="LI149" s="1"/>
      <c r="LJ149" s="1"/>
      <c r="LK149" s="1"/>
      <c r="LL149" s="1"/>
      <c r="LM149" s="1"/>
      <c r="LN149" s="1"/>
      <c r="LO149" s="1"/>
      <c r="LP149" s="1"/>
      <c r="LQ149" s="1"/>
      <c r="LR149" s="1"/>
      <c r="LS149" s="1"/>
    </row>
    <row r="150" spans="1:331" s="45" customFormat="1" x14ac:dyDescent="0.25">
      <c r="A150" s="45" t="s">
        <v>619</v>
      </c>
      <c r="C150" s="96" t="s">
        <v>1648</v>
      </c>
      <c r="D150" s="45">
        <v>0</v>
      </c>
      <c r="H150" s="45" t="s">
        <v>597</v>
      </c>
      <c r="I150" s="45" t="s">
        <v>598</v>
      </c>
      <c r="J150" s="45" t="s">
        <v>597</v>
      </c>
      <c r="K150" s="45" t="s">
        <v>1644</v>
      </c>
      <c r="L150" s="45">
        <v>0</v>
      </c>
      <c r="O150" s="45">
        <v>1</v>
      </c>
      <c r="P150" s="45" t="s">
        <v>600</v>
      </c>
      <c r="Q150" s="96" t="s">
        <v>1544</v>
      </c>
      <c r="R150" s="96"/>
      <c r="T150" s="45">
        <v>6</v>
      </c>
      <c r="W150" s="96"/>
      <c r="X150" s="96"/>
      <c r="Y150" s="96"/>
      <c r="Z150" s="45">
        <v>-1</v>
      </c>
      <c r="AA150" s="94" t="b">
        <v>0</v>
      </c>
      <c r="AB150" s="1"/>
      <c r="AC150" s="57" t="s">
        <v>2000</v>
      </c>
      <c r="AD150" s="1"/>
      <c r="AE150" s="57"/>
      <c r="AF150" s="1"/>
      <c r="AG150" s="1"/>
      <c r="AH150" s="1"/>
      <c r="AI150" s="1"/>
      <c r="AJ150" s="1"/>
      <c r="AK150" s="1"/>
      <c r="AL150" s="1"/>
      <c r="AM150" s="1"/>
      <c r="AN150" s="1"/>
      <c r="AO150" s="1"/>
      <c r="AP150" s="1"/>
      <c r="AQ150" s="1"/>
      <c r="AR150" s="1"/>
      <c r="AS150" s="1"/>
      <c r="AT150" s="1"/>
      <c r="AU150" s="1"/>
      <c r="AV150" s="1"/>
      <c r="AW150" s="1"/>
      <c r="AX150" s="1"/>
      <c r="AY150" s="1"/>
      <c r="AZ150" s="1"/>
      <c r="BA150" s="1"/>
      <c r="BB150" s="1"/>
      <c r="BC150" s="1"/>
      <c r="BD150" s="1"/>
      <c r="BE150" s="1"/>
      <c r="BF150" s="1"/>
      <c r="BG150" s="1"/>
      <c r="BH150" s="1"/>
      <c r="BI150" s="1"/>
      <c r="BJ150" s="1"/>
      <c r="BK150" s="1"/>
      <c r="BL150" s="1"/>
      <c r="BM150" s="1"/>
      <c r="BN150" s="1"/>
      <c r="BO150" s="1"/>
      <c r="BP150" s="1"/>
      <c r="BQ150" s="1"/>
      <c r="BR150" s="1"/>
      <c r="BS150" s="1"/>
      <c r="BT150" s="1"/>
      <c r="BU150" s="1"/>
      <c r="BV150" s="1"/>
      <c r="BW150" s="1"/>
      <c r="BX150" s="1"/>
      <c r="BY150" s="1"/>
      <c r="BZ150" s="1"/>
      <c r="CA150" s="1"/>
      <c r="CB150" s="1"/>
      <c r="CC150" s="1"/>
      <c r="CD150" s="1"/>
      <c r="CE150" s="1"/>
      <c r="CF150" s="1"/>
      <c r="CG150" s="1"/>
      <c r="CH150" s="1"/>
      <c r="CI150" s="1"/>
      <c r="CJ150" s="1"/>
      <c r="CK150" s="1"/>
      <c r="CL150" s="1"/>
      <c r="CM150" s="1"/>
      <c r="CN150" s="1"/>
      <c r="CO150" s="1"/>
      <c r="CP150" s="1"/>
      <c r="CQ150" s="1"/>
      <c r="CR150" s="1"/>
      <c r="CS150" s="1"/>
      <c r="CT150" s="1"/>
      <c r="CU150" s="1"/>
      <c r="CV150" s="1"/>
      <c r="CW150" s="1"/>
      <c r="CX150" s="1"/>
      <c r="CY150" s="1"/>
      <c r="CZ150" s="1"/>
      <c r="DA150" s="1"/>
      <c r="DB150" s="1"/>
      <c r="DC150" s="1"/>
      <c r="DD150" s="1"/>
      <c r="DE150" s="1"/>
      <c r="DF150" s="1"/>
      <c r="DG150" s="1"/>
      <c r="DH150" s="1"/>
      <c r="DI150" s="1"/>
      <c r="DJ150" s="1"/>
      <c r="DK150" s="1"/>
      <c r="DL150" s="1"/>
      <c r="DM150" s="1"/>
      <c r="DN150" s="1"/>
      <c r="DO150" s="1"/>
      <c r="DP150" s="1"/>
      <c r="DQ150" s="1"/>
      <c r="DR150" s="1"/>
      <c r="DS150" s="1"/>
      <c r="DT150" s="1"/>
      <c r="DU150" s="1"/>
      <c r="DV150" s="1"/>
      <c r="DW150" s="1"/>
      <c r="DX150" s="1"/>
      <c r="DY150" s="1"/>
      <c r="DZ150" s="1"/>
      <c r="EA150" s="1"/>
      <c r="EB150" s="1"/>
      <c r="EC150" s="1"/>
      <c r="ED150" s="1"/>
      <c r="EE150" s="1"/>
      <c r="EF150" s="1"/>
      <c r="EG150" s="1"/>
      <c r="EH150" s="1"/>
      <c r="EI150" s="1"/>
      <c r="EJ150" s="1"/>
      <c r="EK150" s="1"/>
      <c r="EL150" s="1"/>
      <c r="EM150" s="1"/>
      <c r="EN150" s="1"/>
      <c r="EO150" s="1"/>
      <c r="EP150" s="1"/>
      <c r="EQ150" s="1"/>
      <c r="ER150" s="1"/>
      <c r="ES150" s="1"/>
      <c r="ET150" s="1"/>
      <c r="EU150" s="1"/>
      <c r="EV150" s="1"/>
      <c r="EW150" s="1"/>
      <c r="EX150" s="1"/>
      <c r="EY150" s="1"/>
      <c r="EZ150" s="1"/>
      <c r="FA150" s="1"/>
      <c r="FB150" s="1"/>
      <c r="FC150" s="1"/>
      <c r="FD150" s="1"/>
      <c r="FE150" s="1"/>
      <c r="FF150" s="1"/>
      <c r="FG150" s="1"/>
      <c r="FH150" s="1"/>
      <c r="FI150" s="1"/>
      <c r="FJ150" s="1"/>
      <c r="FK150" s="1"/>
      <c r="FL150" s="1"/>
      <c r="FM150" s="1"/>
      <c r="FN150" s="1"/>
      <c r="FO150" s="1"/>
      <c r="FP150" s="1"/>
      <c r="FQ150" s="1"/>
      <c r="FR150" s="1"/>
      <c r="FS150" s="1"/>
      <c r="FT150" s="1"/>
      <c r="FU150" s="1"/>
      <c r="FV150" s="1"/>
      <c r="FW150" s="1"/>
      <c r="FX150" s="1"/>
      <c r="FY150" s="1"/>
      <c r="FZ150" s="1"/>
      <c r="GA150" s="1"/>
      <c r="GB150" s="1"/>
      <c r="GC150" s="1"/>
      <c r="GD150" s="1"/>
      <c r="GE150" s="1"/>
      <c r="GF150" s="1"/>
      <c r="GG150" s="1"/>
      <c r="GH150" s="1"/>
      <c r="GI150" s="1"/>
      <c r="GJ150" s="1"/>
      <c r="GK150" s="1"/>
      <c r="GL150" s="1"/>
      <c r="GM150" s="1"/>
      <c r="GN150" s="1"/>
      <c r="GO150" s="1"/>
      <c r="GP150" s="1"/>
      <c r="GQ150" s="1"/>
      <c r="GR150" s="1"/>
      <c r="GS150" s="1"/>
      <c r="GT150" s="1"/>
      <c r="GU150" s="1"/>
      <c r="GV150" s="1"/>
      <c r="GW150" s="1"/>
      <c r="GX150" s="1"/>
      <c r="GY150" s="1"/>
      <c r="GZ150" s="1"/>
      <c r="HA150" s="1"/>
      <c r="HB150" s="1"/>
      <c r="HC150" s="1"/>
      <c r="HD150" s="1"/>
      <c r="HE150" s="1"/>
      <c r="HF150" s="1"/>
      <c r="HG150" s="1"/>
      <c r="HH150" s="1"/>
      <c r="HI150" s="1"/>
      <c r="HJ150" s="1"/>
      <c r="HK150" s="1"/>
      <c r="HL150" s="1"/>
      <c r="HM150" s="1"/>
      <c r="HN150" s="1"/>
      <c r="HO150" s="1"/>
      <c r="HP150" s="1"/>
      <c r="HQ150" s="1"/>
      <c r="HR150" s="1"/>
      <c r="HS150" s="1"/>
      <c r="HT150" s="1"/>
      <c r="HU150" s="1"/>
      <c r="HV150" s="1"/>
      <c r="HW150" s="1"/>
      <c r="HX150" s="1"/>
      <c r="HY150" s="1"/>
      <c r="HZ150" s="1"/>
      <c r="IA150" s="1"/>
      <c r="IB150" s="1"/>
      <c r="IC150" s="1"/>
      <c r="ID150" s="1"/>
      <c r="IE150" s="1"/>
      <c r="IF150" s="1"/>
      <c r="IG150" s="1"/>
      <c r="IH150" s="1"/>
      <c r="II150" s="1"/>
      <c r="IJ150" s="1"/>
      <c r="IK150" s="1"/>
      <c r="IL150" s="1"/>
      <c r="IM150" s="1"/>
      <c r="IN150" s="1"/>
      <c r="IO150" s="1"/>
      <c r="IP150" s="1"/>
      <c r="IQ150" s="1"/>
      <c r="IR150" s="1"/>
      <c r="IS150" s="1"/>
      <c r="IT150" s="1"/>
      <c r="IU150" s="1"/>
      <c r="IV150" s="1"/>
      <c r="IW150" s="1"/>
      <c r="IX150" s="1"/>
      <c r="IY150" s="1"/>
      <c r="IZ150" s="1"/>
      <c r="JA150" s="1"/>
      <c r="JB150" s="1"/>
      <c r="JC150" s="1"/>
      <c r="JD150" s="1"/>
      <c r="JE150" s="1"/>
      <c r="JF150" s="1"/>
      <c r="JG150" s="1"/>
      <c r="JH150" s="1"/>
      <c r="JI150" s="1"/>
      <c r="JJ150" s="1"/>
      <c r="JK150" s="1"/>
      <c r="JL150" s="1"/>
      <c r="JM150" s="1"/>
      <c r="JN150" s="1"/>
      <c r="JO150" s="1"/>
      <c r="JP150" s="1"/>
      <c r="JQ150" s="1"/>
      <c r="JR150" s="1"/>
      <c r="JS150" s="1"/>
      <c r="JT150" s="1"/>
      <c r="JU150" s="1"/>
      <c r="JV150" s="1"/>
      <c r="JW150" s="1"/>
      <c r="JX150" s="1"/>
      <c r="JY150" s="1"/>
      <c r="JZ150" s="1"/>
      <c r="KA150" s="1"/>
      <c r="KB150" s="1"/>
      <c r="KC150" s="1"/>
      <c r="KD150" s="1"/>
      <c r="KE150" s="1"/>
      <c r="KF150" s="1"/>
      <c r="KG150" s="1"/>
      <c r="KH150" s="1"/>
      <c r="KI150" s="1"/>
      <c r="KJ150" s="1"/>
      <c r="KK150" s="1"/>
      <c r="KL150" s="1"/>
      <c r="KM150" s="1"/>
      <c r="KN150" s="1"/>
      <c r="KO150" s="1"/>
      <c r="KP150" s="1"/>
      <c r="KQ150" s="1"/>
      <c r="KR150" s="1"/>
      <c r="KS150" s="1"/>
      <c r="KT150" s="1"/>
      <c r="KU150" s="1"/>
      <c r="KV150" s="1"/>
      <c r="KW150" s="1"/>
      <c r="KX150" s="1"/>
      <c r="KY150" s="1"/>
      <c r="KZ150" s="1"/>
      <c r="LA150" s="1"/>
      <c r="LB150" s="1"/>
      <c r="LC150" s="1"/>
      <c r="LD150" s="1"/>
      <c r="LE150" s="1"/>
      <c r="LF150" s="1"/>
      <c r="LG150" s="1"/>
      <c r="LH150" s="1"/>
      <c r="LI150" s="1"/>
      <c r="LJ150" s="1"/>
      <c r="LK150" s="1"/>
      <c r="LL150" s="1"/>
      <c r="LM150" s="1"/>
      <c r="LN150" s="1"/>
      <c r="LO150" s="1"/>
      <c r="LP150" s="1"/>
      <c r="LQ150" s="1"/>
      <c r="LR150" s="1"/>
      <c r="LS150" s="1"/>
    </row>
    <row r="151" spans="1:331" s="30" customFormat="1" x14ac:dyDescent="0.25">
      <c r="A151" s="30" t="s">
        <v>620</v>
      </c>
      <c r="B151" s="30" t="s">
        <v>621</v>
      </c>
      <c r="C151" s="96" t="s">
        <v>1648</v>
      </c>
      <c r="D151" s="30">
        <v>1</v>
      </c>
      <c r="E151" s="30" t="s">
        <v>622</v>
      </c>
      <c r="H151" s="30" t="s">
        <v>623</v>
      </c>
      <c r="I151" s="30" t="s">
        <v>624</v>
      </c>
      <c r="J151" s="30" t="s">
        <v>625</v>
      </c>
      <c r="K151" s="30" t="s">
        <v>1682</v>
      </c>
      <c r="L151" s="30">
        <v>0</v>
      </c>
      <c r="O151" s="30">
        <v>0</v>
      </c>
      <c r="Q151" s="96" t="s">
        <v>1549</v>
      </c>
      <c r="R151" s="96"/>
      <c r="W151" s="96">
        <v>0</v>
      </c>
      <c r="X151" s="96"/>
      <c r="Y151" s="96"/>
      <c r="Z151" s="30">
        <v>6</v>
      </c>
      <c r="AA151" s="94" t="b">
        <v>1</v>
      </c>
      <c r="AB151" s="1" t="s">
        <v>1890</v>
      </c>
      <c r="AC151" s="57" t="s">
        <v>1925</v>
      </c>
      <c r="AD151" s="1"/>
      <c r="AE151" s="57"/>
      <c r="AF151" s="1"/>
      <c r="AG151" s="1"/>
      <c r="AH151" s="1"/>
      <c r="AI151" s="1"/>
      <c r="AJ151" s="1"/>
      <c r="AK151" s="1"/>
      <c r="AL151" s="1"/>
      <c r="AM151" s="1"/>
      <c r="AN151" s="1"/>
      <c r="AO151" s="1"/>
      <c r="AP151" s="1"/>
      <c r="AQ151" s="1"/>
      <c r="AR151" s="1"/>
      <c r="AS151" s="1"/>
      <c r="AT151" s="1"/>
      <c r="AU151" s="1"/>
      <c r="AV151" s="1"/>
      <c r="AW151" s="1"/>
      <c r="AX151" s="1"/>
      <c r="AY151" s="1"/>
      <c r="AZ151" s="1"/>
      <c r="BA151" s="1"/>
      <c r="BB151" s="1"/>
      <c r="BC151" s="1"/>
      <c r="BD151" s="1"/>
      <c r="BE151" s="1"/>
      <c r="BF151" s="1"/>
      <c r="BG151" s="1"/>
      <c r="BH151" s="1"/>
      <c r="BI151" s="1"/>
      <c r="BJ151" s="1"/>
      <c r="BK151" s="1"/>
      <c r="BL151" s="1"/>
      <c r="BM151" s="1"/>
      <c r="BN151" s="1"/>
      <c r="BO151" s="1"/>
      <c r="BP151" s="1"/>
      <c r="BQ151" s="1"/>
      <c r="BR151" s="1"/>
      <c r="BS151" s="1"/>
      <c r="BT151" s="1"/>
      <c r="BU151" s="1"/>
      <c r="BV151" s="1"/>
      <c r="BW151" s="1"/>
      <c r="BX151" s="1"/>
      <c r="BY151" s="1"/>
      <c r="BZ151" s="1"/>
      <c r="CA151" s="1"/>
      <c r="CB151" s="1"/>
      <c r="CC151" s="1"/>
      <c r="CD151" s="1"/>
      <c r="CE151" s="1"/>
      <c r="CF151" s="1"/>
      <c r="CG151" s="1"/>
      <c r="CH151" s="1"/>
      <c r="CI151" s="1"/>
      <c r="CJ151" s="1"/>
      <c r="CK151" s="1"/>
      <c r="CL151" s="1"/>
      <c r="CM151" s="1"/>
      <c r="CN151" s="1"/>
      <c r="CO151" s="1"/>
      <c r="CP151" s="1"/>
      <c r="CQ151" s="1"/>
      <c r="CR151" s="1"/>
      <c r="CS151" s="1"/>
      <c r="CT151" s="1"/>
      <c r="CU151" s="1"/>
      <c r="CV151" s="1"/>
      <c r="CW151" s="1"/>
      <c r="CX151" s="1"/>
      <c r="CY151" s="1"/>
      <c r="CZ151" s="1"/>
      <c r="DA151" s="1"/>
      <c r="DB151" s="1"/>
      <c r="DC151" s="1"/>
      <c r="DD151" s="1"/>
      <c r="DE151" s="1"/>
      <c r="DF151" s="1"/>
      <c r="DG151" s="1"/>
      <c r="DH151" s="1"/>
      <c r="DI151" s="1"/>
      <c r="DJ151" s="1"/>
      <c r="DK151" s="1"/>
      <c r="DL151" s="1"/>
      <c r="DM151" s="1"/>
      <c r="DN151" s="1"/>
      <c r="DO151" s="1"/>
      <c r="DP151" s="1"/>
      <c r="DQ151" s="1"/>
      <c r="DR151" s="1"/>
      <c r="DS151" s="1"/>
      <c r="DT151" s="1"/>
      <c r="DU151" s="1"/>
      <c r="DV151" s="1"/>
      <c r="DW151" s="1"/>
      <c r="DX151" s="1"/>
      <c r="DY151" s="1"/>
      <c r="DZ151" s="1"/>
      <c r="EA151" s="1"/>
      <c r="EB151" s="1"/>
      <c r="EC151" s="1"/>
      <c r="ED151" s="1"/>
      <c r="EE151" s="1"/>
      <c r="EF151" s="1"/>
      <c r="EG151" s="1"/>
      <c r="EH151" s="1"/>
      <c r="EI151" s="1"/>
      <c r="EJ151" s="1"/>
      <c r="EK151" s="1"/>
      <c r="EL151" s="1"/>
      <c r="EM151" s="1"/>
      <c r="EN151" s="1"/>
      <c r="EO151" s="1"/>
      <c r="EP151" s="1"/>
      <c r="EQ151" s="1"/>
      <c r="ER151" s="1"/>
      <c r="ES151" s="1"/>
      <c r="ET151" s="1"/>
      <c r="EU151" s="1"/>
      <c r="EV151" s="1"/>
      <c r="EW151" s="1"/>
      <c r="EX151" s="1"/>
      <c r="EY151" s="1"/>
      <c r="EZ151" s="1"/>
      <c r="FA151" s="1"/>
      <c r="FB151" s="1"/>
      <c r="FC151" s="1"/>
      <c r="FD151" s="1"/>
      <c r="FE151" s="1"/>
      <c r="FF151" s="1"/>
      <c r="FG151" s="1"/>
      <c r="FH151" s="1"/>
      <c r="FI151" s="1"/>
      <c r="FJ151" s="1"/>
      <c r="FK151" s="1"/>
      <c r="FL151" s="1"/>
      <c r="FM151" s="1"/>
      <c r="FN151" s="1"/>
      <c r="FO151" s="1"/>
      <c r="FP151" s="1"/>
      <c r="FQ151" s="1"/>
      <c r="FR151" s="1"/>
      <c r="FS151" s="1"/>
      <c r="FT151" s="1"/>
      <c r="FU151" s="1"/>
      <c r="FV151" s="1"/>
      <c r="FW151" s="1"/>
      <c r="FX151" s="1"/>
      <c r="FY151" s="1"/>
      <c r="FZ151" s="1"/>
      <c r="GA151" s="1"/>
      <c r="GB151" s="1"/>
      <c r="GC151" s="1"/>
      <c r="GD151" s="1"/>
      <c r="GE151" s="1"/>
      <c r="GF151" s="1"/>
      <c r="GG151" s="1"/>
      <c r="GH151" s="1"/>
      <c r="GI151" s="1"/>
      <c r="GJ151" s="1"/>
      <c r="GK151" s="1"/>
      <c r="GL151" s="1"/>
      <c r="GM151" s="1"/>
      <c r="GN151" s="1"/>
      <c r="GO151" s="1"/>
      <c r="GP151" s="1"/>
      <c r="GQ151" s="1"/>
      <c r="GR151" s="1"/>
      <c r="GS151" s="1"/>
      <c r="GT151" s="1"/>
      <c r="GU151" s="1"/>
      <c r="GV151" s="1"/>
      <c r="GW151" s="1"/>
      <c r="GX151" s="1"/>
      <c r="GY151" s="1"/>
      <c r="GZ151" s="1"/>
      <c r="HA151" s="1"/>
      <c r="HB151" s="1"/>
      <c r="HC151" s="1"/>
      <c r="HD151" s="1"/>
      <c r="HE151" s="1"/>
      <c r="HF151" s="1"/>
      <c r="HG151" s="1"/>
      <c r="HH151" s="1"/>
      <c r="HI151" s="1"/>
      <c r="HJ151" s="1"/>
      <c r="HK151" s="1"/>
      <c r="HL151" s="1"/>
      <c r="HM151" s="1"/>
      <c r="HN151" s="1"/>
      <c r="HO151" s="1"/>
      <c r="HP151" s="1"/>
      <c r="HQ151" s="1"/>
      <c r="HR151" s="1"/>
      <c r="HS151" s="1"/>
      <c r="HT151" s="1"/>
      <c r="HU151" s="1"/>
      <c r="HV151" s="1"/>
      <c r="HW151" s="1"/>
      <c r="HX151" s="1"/>
      <c r="HY151" s="1"/>
      <c r="HZ151" s="1"/>
      <c r="IA151" s="1"/>
      <c r="IB151" s="1"/>
      <c r="IC151" s="1"/>
      <c r="ID151" s="1"/>
      <c r="IE151" s="1"/>
      <c r="IF151" s="1"/>
      <c r="IG151" s="1"/>
      <c r="IH151" s="1"/>
      <c r="II151" s="1"/>
      <c r="IJ151" s="1"/>
      <c r="IK151" s="1"/>
      <c r="IL151" s="1"/>
      <c r="IM151" s="1"/>
      <c r="IN151" s="1"/>
      <c r="IO151" s="1"/>
      <c r="IP151" s="1"/>
      <c r="IQ151" s="1"/>
      <c r="IR151" s="1"/>
      <c r="IS151" s="1"/>
      <c r="IT151" s="1"/>
      <c r="IU151" s="1"/>
      <c r="IV151" s="1"/>
      <c r="IW151" s="1"/>
      <c r="IX151" s="1"/>
      <c r="IY151" s="1"/>
      <c r="IZ151" s="1"/>
      <c r="JA151" s="1"/>
      <c r="JB151" s="1"/>
      <c r="JC151" s="1"/>
      <c r="JD151" s="1"/>
      <c r="JE151" s="1"/>
      <c r="JF151" s="1"/>
      <c r="JG151" s="1"/>
      <c r="JH151" s="1"/>
      <c r="JI151" s="1"/>
      <c r="JJ151" s="1"/>
      <c r="JK151" s="1"/>
      <c r="JL151" s="1"/>
      <c r="JM151" s="1"/>
      <c r="JN151" s="1"/>
      <c r="JO151" s="1"/>
      <c r="JP151" s="1"/>
      <c r="JQ151" s="1"/>
      <c r="JR151" s="1"/>
      <c r="JS151" s="1"/>
      <c r="JT151" s="1"/>
      <c r="JU151" s="1"/>
      <c r="JV151" s="1"/>
      <c r="JW151" s="1"/>
      <c r="JX151" s="1"/>
      <c r="JY151" s="1"/>
      <c r="JZ151" s="1"/>
      <c r="KA151" s="1"/>
      <c r="KB151" s="1"/>
      <c r="KC151" s="1"/>
      <c r="KD151" s="1"/>
      <c r="KE151" s="1"/>
      <c r="KF151" s="1"/>
      <c r="KG151" s="1"/>
      <c r="KH151" s="1"/>
      <c r="KI151" s="1"/>
      <c r="KJ151" s="1"/>
      <c r="KK151" s="1"/>
      <c r="KL151" s="1"/>
      <c r="KM151" s="1"/>
      <c r="KN151" s="1"/>
      <c r="KO151" s="1"/>
      <c r="KP151" s="1"/>
      <c r="KQ151" s="1"/>
      <c r="KR151" s="1"/>
      <c r="KS151" s="1"/>
      <c r="KT151" s="1"/>
      <c r="KU151" s="1"/>
      <c r="KV151" s="1"/>
      <c r="KW151" s="1"/>
      <c r="KX151" s="1"/>
      <c r="KY151" s="1"/>
      <c r="KZ151" s="1"/>
      <c r="LA151" s="1"/>
      <c r="LB151" s="1"/>
      <c r="LC151" s="1"/>
      <c r="LD151" s="1"/>
      <c r="LE151" s="1"/>
      <c r="LF151" s="1"/>
      <c r="LG151" s="1"/>
      <c r="LH151" s="1"/>
      <c r="LI151" s="1"/>
      <c r="LJ151" s="1"/>
      <c r="LK151" s="1"/>
      <c r="LL151" s="1"/>
      <c r="LM151" s="1"/>
      <c r="LN151" s="1"/>
      <c r="LO151" s="1"/>
      <c r="LP151" s="1"/>
      <c r="LQ151" s="1"/>
      <c r="LR151" s="1"/>
      <c r="LS151" s="1"/>
    </row>
    <row r="152" spans="1:331" s="40" customFormat="1" x14ac:dyDescent="0.25">
      <c r="A152" s="40" t="s">
        <v>626</v>
      </c>
      <c r="B152" s="44" t="s">
        <v>627</v>
      </c>
      <c r="C152" s="94" t="s">
        <v>1648</v>
      </c>
      <c r="D152" s="40">
        <v>0</v>
      </c>
      <c r="H152" s="40" t="s">
        <v>628</v>
      </c>
      <c r="I152" s="40" t="s">
        <v>629</v>
      </c>
      <c r="J152" s="40" t="s">
        <v>630</v>
      </c>
      <c r="K152" s="40" t="s">
        <v>629</v>
      </c>
      <c r="L152" s="40">
        <v>0</v>
      </c>
      <c r="O152" s="40">
        <v>1</v>
      </c>
      <c r="P152" s="40" t="s">
        <v>599</v>
      </c>
      <c r="Q152" s="96" t="s">
        <v>853</v>
      </c>
      <c r="R152" s="96"/>
      <c r="S152" s="40">
        <v>11.8</v>
      </c>
      <c r="U152" s="40">
        <v>8</v>
      </c>
      <c r="W152" s="96">
        <v>12</v>
      </c>
      <c r="X152" s="96"/>
      <c r="Y152" s="96"/>
      <c r="Z152" s="40">
        <v>8</v>
      </c>
      <c r="AA152" s="94" t="b">
        <v>1</v>
      </c>
      <c r="AB152" s="1"/>
      <c r="AC152" s="57" t="s">
        <v>1912</v>
      </c>
      <c r="AD152" s="1"/>
      <c r="AE152" s="57"/>
      <c r="AF152" s="1"/>
      <c r="AG152" s="1"/>
      <c r="AH152" s="1"/>
      <c r="AI152" s="1"/>
      <c r="AJ152" s="1"/>
      <c r="AK152" s="1"/>
      <c r="AL152" s="1"/>
      <c r="AM152" s="1"/>
      <c r="AN152" s="1"/>
      <c r="AO152" s="1"/>
      <c r="AP152" s="1"/>
      <c r="AQ152" s="1"/>
      <c r="AR152" s="1"/>
      <c r="AS152" s="1"/>
      <c r="AT152" s="1"/>
      <c r="AU152" s="1"/>
      <c r="AV152" s="1"/>
      <c r="AW152" s="1"/>
      <c r="AX152" s="1"/>
      <c r="AY152" s="1"/>
      <c r="AZ152" s="1"/>
      <c r="BA152" s="1"/>
      <c r="BB152" s="1"/>
      <c r="BC152" s="1"/>
      <c r="BD152" s="1"/>
      <c r="BE152" s="1"/>
      <c r="BF152" s="1"/>
      <c r="BG152" s="1"/>
      <c r="BH152" s="1"/>
      <c r="BI152" s="1"/>
      <c r="BJ152" s="1"/>
      <c r="BK152" s="1"/>
      <c r="BL152" s="1"/>
      <c r="BM152" s="1"/>
      <c r="BN152" s="1"/>
      <c r="BO152" s="1"/>
      <c r="BP152" s="1"/>
      <c r="BQ152" s="1"/>
      <c r="BR152" s="1"/>
      <c r="BS152" s="1"/>
      <c r="BT152" s="1"/>
      <c r="BU152" s="1"/>
      <c r="BV152" s="1"/>
      <c r="BW152" s="1"/>
      <c r="BX152" s="1"/>
      <c r="BY152" s="1"/>
      <c r="BZ152" s="1"/>
      <c r="CA152" s="1"/>
      <c r="CB152" s="1"/>
      <c r="CC152" s="1"/>
      <c r="CD152" s="1"/>
      <c r="CE152" s="1"/>
      <c r="CF152" s="1"/>
      <c r="CG152" s="1"/>
      <c r="CH152" s="1"/>
      <c r="CI152" s="1"/>
      <c r="CJ152" s="1"/>
      <c r="CK152" s="1"/>
      <c r="CL152" s="1"/>
      <c r="CM152" s="1"/>
      <c r="CN152" s="1"/>
      <c r="CO152" s="1"/>
      <c r="CP152" s="1"/>
      <c r="CQ152" s="1"/>
      <c r="CR152" s="1"/>
      <c r="CS152" s="1"/>
      <c r="CT152" s="1"/>
      <c r="CU152" s="1"/>
      <c r="CV152" s="1"/>
      <c r="CW152" s="1"/>
      <c r="CX152" s="1"/>
      <c r="CY152" s="1"/>
      <c r="CZ152" s="1"/>
      <c r="DA152" s="1"/>
      <c r="DB152" s="1"/>
      <c r="DC152" s="1"/>
      <c r="DD152" s="1"/>
      <c r="DE152" s="1"/>
      <c r="DF152" s="1"/>
      <c r="DG152" s="1"/>
      <c r="DH152" s="1"/>
      <c r="DI152" s="1"/>
      <c r="DJ152" s="1"/>
      <c r="DK152" s="1"/>
      <c r="DL152" s="1"/>
      <c r="DM152" s="1"/>
      <c r="DN152" s="1"/>
      <c r="DO152" s="1"/>
      <c r="DP152" s="1"/>
      <c r="DQ152" s="1"/>
      <c r="DR152" s="1"/>
      <c r="DS152" s="1"/>
      <c r="DT152" s="1"/>
      <c r="DU152" s="1"/>
      <c r="DV152" s="1"/>
      <c r="DW152" s="1"/>
      <c r="DX152" s="1"/>
      <c r="DY152" s="1"/>
      <c r="DZ152" s="1"/>
      <c r="EA152" s="1"/>
      <c r="EB152" s="1"/>
      <c r="EC152" s="1"/>
      <c r="ED152" s="1"/>
      <c r="EE152" s="1"/>
      <c r="EF152" s="1"/>
      <c r="EG152" s="1"/>
      <c r="EH152" s="1"/>
      <c r="EI152" s="1"/>
      <c r="EJ152" s="1"/>
      <c r="EK152" s="1"/>
      <c r="EL152" s="1"/>
      <c r="EM152" s="1"/>
      <c r="EN152" s="1"/>
      <c r="EO152" s="1"/>
      <c r="EP152" s="1"/>
      <c r="EQ152" s="1"/>
      <c r="ER152" s="1"/>
      <c r="ES152" s="1"/>
      <c r="ET152" s="1"/>
      <c r="EU152" s="1"/>
      <c r="EV152" s="1"/>
      <c r="EW152" s="1"/>
      <c r="EX152" s="1"/>
      <c r="EY152" s="1"/>
      <c r="EZ152" s="1"/>
      <c r="FA152" s="1"/>
      <c r="FB152" s="1"/>
      <c r="FC152" s="1"/>
      <c r="FD152" s="1"/>
      <c r="FE152" s="1"/>
      <c r="FF152" s="1"/>
      <c r="FG152" s="1"/>
      <c r="FH152" s="1"/>
      <c r="FI152" s="1"/>
      <c r="FJ152" s="1"/>
      <c r="FK152" s="1"/>
      <c r="FL152" s="1"/>
      <c r="FM152" s="1"/>
      <c r="FN152" s="1"/>
      <c r="FO152" s="1"/>
      <c r="FP152" s="1"/>
      <c r="FQ152" s="1"/>
      <c r="FR152" s="1"/>
      <c r="FS152" s="1"/>
      <c r="FT152" s="1"/>
      <c r="FU152" s="1"/>
      <c r="FV152" s="1"/>
      <c r="FW152" s="1"/>
      <c r="FX152" s="1"/>
      <c r="FY152" s="1"/>
      <c r="FZ152" s="1"/>
      <c r="GA152" s="1"/>
      <c r="GB152" s="1"/>
      <c r="GC152" s="1"/>
      <c r="GD152" s="1"/>
      <c r="GE152" s="1"/>
      <c r="GF152" s="1"/>
      <c r="GG152" s="1"/>
      <c r="GH152" s="1"/>
      <c r="GI152" s="1"/>
      <c r="GJ152" s="1"/>
      <c r="GK152" s="1"/>
      <c r="GL152" s="1"/>
      <c r="GM152" s="1"/>
      <c r="GN152" s="1"/>
      <c r="GO152" s="1"/>
      <c r="GP152" s="1"/>
      <c r="GQ152" s="1"/>
      <c r="GR152" s="1"/>
      <c r="GS152" s="1"/>
      <c r="GT152" s="1"/>
      <c r="GU152" s="1"/>
      <c r="GV152" s="1"/>
      <c r="GW152" s="1"/>
      <c r="GX152" s="1"/>
      <c r="GY152" s="1"/>
      <c r="GZ152" s="1"/>
      <c r="HA152" s="1"/>
      <c r="HB152" s="1"/>
      <c r="HC152" s="1"/>
      <c r="HD152" s="1"/>
      <c r="HE152" s="1"/>
      <c r="HF152" s="1"/>
      <c r="HG152" s="1"/>
      <c r="HH152" s="1"/>
      <c r="HI152" s="1"/>
      <c r="HJ152" s="1"/>
      <c r="HK152" s="1"/>
      <c r="HL152" s="1"/>
      <c r="HM152" s="1"/>
      <c r="HN152" s="1"/>
      <c r="HO152" s="1"/>
      <c r="HP152" s="1"/>
      <c r="HQ152" s="1"/>
      <c r="HR152" s="1"/>
      <c r="HS152" s="1"/>
      <c r="HT152" s="1"/>
      <c r="HU152" s="1"/>
      <c r="HV152" s="1"/>
      <c r="HW152" s="1"/>
      <c r="HX152" s="1"/>
      <c r="HY152" s="1"/>
      <c r="HZ152" s="1"/>
      <c r="IA152" s="1"/>
      <c r="IB152" s="1"/>
      <c r="IC152" s="1"/>
      <c r="ID152" s="1"/>
      <c r="IE152" s="1"/>
      <c r="IF152" s="1"/>
      <c r="IG152" s="1"/>
      <c r="IH152" s="1"/>
      <c r="II152" s="1"/>
      <c r="IJ152" s="1"/>
      <c r="IK152" s="1"/>
      <c r="IL152" s="1"/>
      <c r="IM152" s="1"/>
      <c r="IN152" s="1"/>
      <c r="IO152" s="1"/>
      <c r="IP152" s="1"/>
      <c r="IQ152" s="1"/>
      <c r="IR152" s="1"/>
      <c r="IS152" s="1"/>
      <c r="IT152" s="1"/>
      <c r="IU152" s="1"/>
      <c r="IV152" s="1"/>
      <c r="IW152" s="1"/>
      <c r="IX152" s="1"/>
      <c r="IY152" s="1"/>
      <c r="IZ152" s="1"/>
      <c r="JA152" s="1"/>
      <c r="JB152" s="1"/>
      <c r="JC152" s="1"/>
      <c r="JD152" s="1"/>
      <c r="JE152" s="1"/>
      <c r="JF152" s="1"/>
      <c r="JG152" s="1"/>
      <c r="JH152" s="1"/>
      <c r="JI152" s="1"/>
      <c r="JJ152" s="1"/>
      <c r="JK152" s="1"/>
      <c r="JL152" s="1"/>
      <c r="JM152" s="1"/>
      <c r="JN152" s="1"/>
      <c r="JO152" s="1"/>
      <c r="JP152" s="1"/>
      <c r="JQ152" s="1"/>
      <c r="JR152" s="1"/>
      <c r="JS152" s="1"/>
      <c r="JT152" s="1"/>
      <c r="JU152" s="1"/>
      <c r="JV152" s="1"/>
      <c r="JW152" s="1"/>
      <c r="JX152" s="1"/>
      <c r="JY152" s="1"/>
      <c r="JZ152" s="1"/>
      <c r="KA152" s="1"/>
      <c r="KB152" s="1"/>
      <c r="KC152" s="1"/>
      <c r="KD152" s="1"/>
      <c r="KE152" s="1"/>
      <c r="KF152" s="1"/>
      <c r="KG152" s="1"/>
      <c r="KH152" s="1"/>
      <c r="KI152" s="1"/>
      <c r="KJ152" s="1"/>
      <c r="KK152" s="1"/>
      <c r="KL152" s="1"/>
      <c r="KM152" s="1"/>
      <c r="KN152" s="1"/>
      <c r="KO152" s="1"/>
      <c r="KP152" s="1"/>
      <c r="KQ152" s="1"/>
      <c r="KR152" s="1"/>
      <c r="KS152" s="1"/>
      <c r="KT152" s="1"/>
      <c r="KU152" s="1"/>
      <c r="KV152" s="1"/>
      <c r="KW152" s="1"/>
      <c r="KX152" s="1"/>
      <c r="KY152" s="1"/>
      <c r="KZ152" s="1"/>
      <c r="LA152" s="1"/>
      <c r="LB152" s="1"/>
      <c r="LC152" s="1"/>
      <c r="LD152" s="1"/>
      <c r="LE152" s="1"/>
      <c r="LF152" s="1"/>
      <c r="LG152" s="1"/>
      <c r="LH152" s="1"/>
      <c r="LI152" s="1"/>
      <c r="LJ152" s="1"/>
      <c r="LK152" s="1"/>
      <c r="LL152" s="1"/>
      <c r="LM152" s="1"/>
      <c r="LN152" s="1"/>
      <c r="LO152" s="1"/>
      <c r="LP152" s="1"/>
      <c r="LQ152" s="1"/>
      <c r="LR152" s="1"/>
      <c r="LS152" s="1"/>
    </row>
    <row r="153" spans="1:331" s="3" customFormat="1" x14ac:dyDescent="0.25">
      <c r="A153" s="3" t="s">
        <v>631</v>
      </c>
      <c r="B153" s="5" t="s">
        <v>632</v>
      </c>
      <c r="C153" s="94" t="s">
        <v>1648</v>
      </c>
      <c r="D153" s="3">
        <v>0</v>
      </c>
      <c r="H153" s="3" t="s">
        <v>633</v>
      </c>
      <c r="I153" s="3" t="s">
        <v>634</v>
      </c>
      <c r="J153" s="3" t="s">
        <v>635</v>
      </c>
      <c r="K153" s="3" t="s">
        <v>1683</v>
      </c>
      <c r="L153" s="3">
        <v>1</v>
      </c>
      <c r="M153" s="3" t="s">
        <v>636</v>
      </c>
      <c r="O153" s="3">
        <v>0</v>
      </c>
      <c r="Q153" s="96" t="s">
        <v>1550</v>
      </c>
      <c r="R153" s="96"/>
      <c r="S153" s="3">
        <v>7</v>
      </c>
      <c r="U153" s="3">
        <v>8</v>
      </c>
      <c r="W153" s="96">
        <v>7</v>
      </c>
      <c r="X153" s="96"/>
      <c r="Y153" s="96"/>
      <c r="Z153" s="3">
        <v>1</v>
      </c>
      <c r="AA153" s="94" t="b">
        <v>1</v>
      </c>
      <c r="AB153" s="1"/>
      <c r="AC153" s="57" t="s">
        <v>1913</v>
      </c>
      <c r="AD153" s="1"/>
      <c r="AE153" s="57"/>
      <c r="AF153" s="1"/>
      <c r="AG153" s="1"/>
      <c r="AH153" s="1"/>
      <c r="AI153" s="1"/>
      <c r="AJ153" s="1"/>
      <c r="AK153" s="1"/>
      <c r="AL153" s="1"/>
      <c r="AM153" s="1"/>
      <c r="AN153" s="1"/>
      <c r="AO153" s="1"/>
      <c r="AP153" s="1"/>
      <c r="AQ153" s="1"/>
      <c r="AR153" s="1"/>
      <c r="AS153" s="1"/>
      <c r="AT153" s="1"/>
      <c r="AU153" s="1"/>
      <c r="AV153" s="1"/>
      <c r="AW153" s="1"/>
      <c r="AX153" s="1"/>
      <c r="AY153" s="1"/>
      <c r="AZ153" s="1"/>
      <c r="BA153" s="1"/>
      <c r="BB153" s="1"/>
      <c r="BC153" s="1"/>
      <c r="BD153" s="1"/>
      <c r="BE153" s="1"/>
      <c r="BF153" s="1"/>
      <c r="BG153" s="1"/>
      <c r="BH153" s="1"/>
      <c r="BI153" s="1"/>
      <c r="BJ153" s="1"/>
      <c r="BK153" s="1"/>
      <c r="BL153" s="1"/>
      <c r="BM153" s="1"/>
      <c r="BN153" s="1"/>
      <c r="BO153" s="1"/>
      <c r="BP153" s="1"/>
      <c r="BQ153" s="1"/>
      <c r="BR153" s="1"/>
      <c r="BS153" s="1"/>
      <c r="BT153" s="1"/>
      <c r="BU153" s="1"/>
      <c r="BV153" s="1"/>
      <c r="BW153" s="1"/>
      <c r="BX153" s="1"/>
      <c r="BY153" s="1"/>
      <c r="BZ153" s="1"/>
      <c r="CA153" s="1"/>
      <c r="CB153" s="1"/>
      <c r="CC153" s="1"/>
      <c r="CD153" s="1"/>
      <c r="CE153" s="1"/>
      <c r="CF153" s="1"/>
      <c r="CG153" s="1"/>
      <c r="CH153" s="1"/>
      <c r="CI153" s="1"/>
      <c r="CJ153" s="1"/>
      <c r="CK153" s="1"/>
      <c r="CL153" s="1"/>
      <c r="CM153" s="1"/>
      <c r="CN153" s="1"/>
      <c r="CO153" s="1"/>
      <c r="CP153" s="1"/>
      <c r="CQ153" s="1"/>
      <c r="CR153" s="1"/>
      <c r="CS153" s="1"/>
      <c r="CT153" s="1"/>
      <c r="CU153" s="1"/>
      <c r="CV153" s="1"/>
      <c r="CW153" s="1"/>
      <c r="CX153" s="1"/>
      <c r="CY153" s="1"/>
      <c r="CZ153" s="1"/>
      <c r="DA153" s="1"/>
      <c r="DB153" s="1"/>
      <c r="DC153" s="1"/>
      <c r="DD153" s="1"/>
      <c r="DE153" s="1"/>
      <c r="DF153" s="1"/>
      <c r="DG153" s="1"/>
      <c r="DH153" s="1"/>
      <c r="DI153" s="1"/>
      <c r="DJ153" s="1"/>
      <c r="DK153" s="1"/>
      <c r="DL153" s="1"/>
      <c r="DM153" s="1"/>
      <c r="DN153" s="1"/>
      <c r="DO153" s="1"/>
      <c r="DP153" s="1"/>
      <c r="DQ153" s="1"/>
      <c r="DR153" s="1"/>
      <c r="DS153" s="1"/>
      <c r="DT153" s="1"/>
      <c r="DU153" s="1"/>
      <c r="DV153" s="1"/>
      <c r="DW153" s="1"/>
      <c r="DX153" s="1"/>
      <c r="DY153" s="1"/>
      <c r="DZ153" s="1"/>
      <c r="EA153" s="1"/>
      <c r="EB153" s="1"/>
      <c r="EC153" s="1"/>
      <c r="ED153" s="1"/>
      <c r="EE153" s="1"/>
      <c r="EF153" s="1"/>
      <c r="EG153" s="1"/>
      <c r="EH153" s="1"/>
      <c r="EI153" s="1"/>
      <c r="EJ153" s="1"/>
      <c r="EK153" s="1"/>
      <c r="EL153" s="1"/>
      <c r="EM153" s="1"/>
      <c r="EN153" s="1"/>
      <c r="EO153" s="1"/>
      <c r="EP153" s="1"/>
      <c r="EQ153" s="1"/>
      <c r="ER153" s="1"/>
      <c r="ES153" s="1"/>
      <c r="ET153" s="1"/>
      <c r="EU153" s="1"/>
      <c r="EV153" s="1"/>
      <c r="EW153" s="1"/>
      <c r="EX153" s="1"/>
      <c r="EY153" s="1"/>
      <c r="EZ153" s="1"/>
      <c r="FA153" s="1"/>
      <c r="FB153" s="1"/>
      <c r="FC153" s="1"/>
      <c r="FD153" s="1"/>
      <c r="FE153" s="1"/>
      <c r="FF153" s="1"/>
      <c r="FG153" s="1"/>
      <c r="FH153" s="1"/>
      <c r="FI153" s="1"/>
      <c r="FJ153" s="1"/>
      <c r="FK153" s="1"/>
      <c r="FL153" s="1"/>
      <c r="FM153" s="1"/>
      <c r="FN153" s="1"/>
      <c r="FO153" s="1"/>
      <c r="FP153" s="1"/>
      <c r="FQ153" s="1"/>
      <c r="FR153" s="1"/>
      <c r="FS153" s="1"/>
      <c r="FT153" s="1"/>
      <c r="FU153" s="1"/>
      <c r="FV153" s="1"/>
      <c r="FW153" s="1"/>
      <c r="FX153" s="1"/>
      <c r="FY153" s="1"/>
      <c r="FZ153" s="1"/>
      <c r="GA153" s="1"/>
      <c r="GB153" s="1"/>
      <c r="GC153" s="1"/>
      <c r="GD153" s="1"/>
      <c r="GE153" s="1"/>
      <c r="GF153" s="1"/>
      <c r="GG153" s="1"/>
      <c r="GH153" s="1"/>
      <c r="GI153" s="1"/>
      <c r="GJ153" s="1"/>
      <c r="GK153" s="1"/>
      <c r="GL153" s="1"/>
      <c r="GM153" s="1"/>
      <c r="GN153" s="1"/>
      <c r="GO153" s="1"/>
      <c r="GP153" s="1"/>
      <c r="GQ153" s="1"/>
      <c r="GR153" s="1"/>
      <c r="GS153" s="1"/>
      <c r="GT153" s="1"/>
      <c r="GU153" s="1"/>
      <c r="GV153" s="1"/>
      <c r="GW153" s="1"/>
      <c r="GX153" s="1"/>
      <c r="GY153" s="1"/>
      <c r="GZ153" s="1"/>
      <c r="HA153" s="1"/>
      <c r="HB153" s="1"/>
      <c r="HC153" s="1"/>
      <c r="HD153" s="1"/>
      <c r="HE153" s="1"/>
      <c r="HF153" s="1"/>
      <c r="HG153" s="1"/>
      <c r="HH153" s="1"/>
      <c r="HI153" s="1"/>
      <c r="HJ153" s="1"/>
      <c r="HK153" s="1"/>
      <c r="HL153" s="1"/>
      <c r="HM153" s="1"/>
      <c r="HN153" s="1"/>
      <c r="HO153" s="1"/>
      <c r="HP153" s="1"/>
      <c r="HQ153" s="1"/>
      <c r="HR153" s="1"/>
      <c r="HS153" s="1"/>
      <c r="HT153" s="1"/>
      <c r="HU153" s="1"/>
      <c r="HV153" s="1"/>
      <c r="HW153" s="1"/>
      <c r="HX153" s="1"/>
      <c r="HY153" s="1"/>
      <c r="HZ153" s="1"/>
      <c r="IA153" s="1"/>
      <c r="IB153" s="1"/>
      <c r="IC153" s="1"/>
      <c r="ID153" s="1"/>
      <c r="IE153" s="1"/>
      <c r="IF153" s="1"/>
      <c r="IG153" s="1"/>
      <c r="IH153" s="1"/>
      <c r="II153" s="1"/>
      <c r="IJ153" s="1"/>
      <c r="IK153" s="1"/>
      <c r="IL153" s="1"/>
      <c r="IM153" s="1"/>
      <c r="IN153" s="1"/>
      <c r="IO153" s="1"/>
      <c r="IP153" s="1"/>
      <c r="IQ153" s="1"/>
      <c r="IR153" s="1"/>
      <c r="IS153" s="1"/>
      <c r="IT153" s="1"/>
      <c r="IU153" s="1"/>
      <c r="IV153" s="1"/>
      <c r="IW153" s="1"/>
      <c r="IX153" s="1"/>
      <c r="IY153" s="1"/>
      <c r="IZ153" s="1"/>
      <c r="JA153" s="1"/>
      <c r="JB153" s="1"/>
      <c r="JC153" s="1"/>
      <c r="JD153" s="1"/>
      <c r="JE153" s="1"/>
      <c r="JF153" s="1"/>
      <c r="JG153" s="1"/>
      <c r="JH153" s="1"/>
      <c r="JI153" s="1"/>
      <c r="JJ153" s="1"/>
      <c r="JK153" s="1"/>
      <c r="JL153" s="1"/>
      <c r="JM153" s="1"/>
      <c r="JN153" s="1"/>
      <c r="JO153" s="1"/>
      <c r="JP153" s="1"/>
      <c r="JQ153" s="1"/>
      <c r="JR153" s="1"/>
      <c r="JS153" s="1"/>
      <c r="JT153" s="1"/>
      <c r="JU153" s="1"/>
      <c r="JV153" s="1"/>
      <c r="JW153" s="1"/>
      <c r="JX153" s="1"/>
      <c r="JY153" s="1"/>
      <c r="JZ153" s="1"/>
      <c r="KA153" s="1"/>
      <c r="KB153" s="1"/>
      <c r="KC153" s="1"/>
      <c r="KD153" s="1"/>
      <c r="KE153" s="1"/>
      <c r="KF153" s="1"/>
      <c r="KG153" s="1"/>
      <c r="KH153" s="1"/>
      <c r="KI153" s="1"/>
      <c r="KJ153" s="1"/>
      <c r="KK153" s="1"/>
      <c r="KL153" s="1"/>
      <c r="KM153" s="1"/>
      <c r="KN153" s="1"/>
      <c r="KO153" s="1"/>
      <c r="KP153" s="1"/>
      <c r="KQ153" s="1"/>
      <c r="KR153" s="1"/>
      <c r="KS153" s="1"/>
      <c r="KT153" s="1"/>
      <c r="KU153" s="1"/>
      <c r="KV153" s="1"/>
      <c r="KW153" s="1"/>
      <c r="KX153" s="1"/>
      <c r="KY153" s="1"/>
      <c r="KZ153" s="1"/>
      <c r="LA153" s="1"/>
      <c r="LB153" s="1"/>
      <c r="LC153" s="1"/>
      <c r="LD153" s="1"/>
      <c r="LE153" s="1"/>
      <c r="LF153" s="1"/>
      <c r="LG153" s="1"/>
      <c r="LH153" s="1"/>
      <c r="LI153" s="1"/>
      <c r="LJ153" s="1"/>
      <c r="LK153" s="1"/>
      <c r="LL153" s="1"/>
      <c r="LM153" s="1"/>
      <c r="LN153" s="1"/>
      <c r="LO153" s="1"/>
      <c r="LP153" s="1"/>
      <c r="LQ153" s="1"/>
      <c r="LR153" s="1"/>
      <c r="LS153" s="1"/>
    </row>
    <row r="154" spans="1:331" s="25" customFormat="1" x14ac:dyDescent="0.25">
      <c r="A154" s="25" t="s">
        <v>637</v>
      </c>
      <c r="B154" s="29" t="s">
        <v>638</v>
      </c>
      <c r="C154" s="94" t="s">
        <v>1648</v>
      </c>
      <c r="D154" s="25">
        <v>0</v>
      </c>
      <c r="H154" s="25" t="s">
        <v>639</v>
      </c>
      <c r="I154" s="25" t="s">
        <v>640</v>
      </c>
      <c r="J154" s="25" t="s">
        <v>639</v>
      </c>
      <c r="K154" s="25" t="s">
        <v>1684</v>
      </c>
      <c r="L154" s="25">
        <v>0</v>
      </c>
      <c r="O154" s="25">
        <v>0</v>
      </c>
      <c r="Q154" s="96" t="s">
        <v>1551</v>
      </c>
      <c r="R154" s="96"/>
      <c r="T154" s="25">
        <v>3</v>
      </c>
      <c r="V154" s="25">
        <v>3</v>
      </c>
      <c r="W154" s="96">
        <v>3</v>
      </c>
      <c r="X154" s="96"/>
      <c r="Y154" s="96"/>
      <c r="Z154" s="25">
        <v>5</v>
      </c>
      <c r="AA154" s="94" t="b">
        <v>1</v>
      </c>
      <c r="AB154" s="1"/>
      <c r="AC154" s="57" t="s">
        <v>1342</v>
      </c>
      <c r="AD154" s="1"/>
      <c r="AE154" s="57"/>
      <c r="AF154" s="1"/>
      <c r="AG154" s="1"/>
      <c r="AH154" s="1"/>
      <c r="AI154" s="1"/>
      <c r="AJ154" s="1"/>
      <c r="AK154" s="1"/>
      <c r="AL154" s="1"/>
      <c r="AM154" s="1"/>
      <c r="AN154" s="1"/>
      <c r="AO154" s="1"/>
      <c r="AP154" s="1"/>
      <c r="AQ154" s="1"/>
      <c r="AR154" s="1"/>
      <c r="AS154" s="1"/>
      <c r="AT154" s="1"/>
      <c r="AU154" s="1"/>
      <c r="AV154" s="1"/>
      <c r="AW154" s="1"/>
      <c r="AX154" s="1"/>
      <c r="AY154" s="1"/>
      <c r="AZ154" s="1"/>
      <c r="BA154" s="1"/>
      <c r="BB154" s="1"/>
      <c r="BC154" s="1"/>
      <c r="BD154" s="1"/>
      <c r="BE154" s="1"/>
      <c r="BF154" s="1"/>
      <c r="BG154" s="1"/>
      <c r="BH154" s="1"/>
      <c r="BI154" s="1"/>
      <c r="BJ154" s="1"/>
      <c r="BK154" s="1"/>
      <c r="BL154" s="1"/>
      <c r="BM154" s="1"/>
      <c r="BN154" s="1"/>
      <c r="BO154" s="1"/>
      <c r="BP154" s="1"/>
      <c r="BQ154" s="1"/>
      <c r="BR154" s="1"/>
      <c r="BS154" s="1"/>
      <c r="BT154" s="1"/>
      <c r="BU154" s="1"/>
      <c r="BV154" s="1"/>
      <c r="BW154" s="1"/>
      <c r="BX154" s="1"/>
      <c r="BY154" s="1"/>
      <c r="BZ154" s="1"/>
      <c r="CA154" s="1"/>
      <c r="CB154" s="1"/>
      <c r="CC154" s="1"/>
      <c r="CD154" s="1"/>
      <c r="CE154" s="1"/>
      <c r="CF154" s="1"/>
      <c r="CG154" s="1"/>
      <c r="CH154" s="1"/>
      <c r="CI154" s="1"/>
      <c r="CJ154" s="1"/>
      <c r="CK154" s="1"/>
      <c r="CL154" s="1"/>
      <c r="CM154" s="1"/>
      <c r="CN154" s="1"/>
      <c r="CO154" s="1"/>
      <c r="CP154" s="1"/>
      <c r="CQ154" s="1"/>
      <c r="CR154" s="1"/>
      <c r="CS154" s="1"/>
      <c r="CT154" s="1"/>
      <c r="CU154" s="1"/>
      <c r="CV154" s="1"/>
      <c r="CW154" s="1"/>
      <c r="CX154" s="1"/>
      <c r="CY154" s="1"/>
      <c r="CZ154" s="1"/>
      <c r="DA154" s="1"/>
      <c r="DB154" s="1"/>
      <c r="DC154" s="1"/>
      <c r="DD154" s="1"/>
      <c r="DE154" s="1"/>
      <c r="DF154" s="1"/>
      <c r="DG154" s="1"/>
      <c r="DH154" s="1"/>
      <c r="DI154" s="1"/>
      <c r="DJ154" s="1"/>
      <c r="DK154" s="1"/>
      <c r="DL154" s="1"/>
      <c r="DM154" s="1"/>
      <c r="DN154" s="1"/>
      <c r="DO154" s="1"/>
      <c r="DP154" s="1"/>
      <c r="DQ154" s="1"/>
      <c r="DR154" s="1"/>
      <c r="DS154" s="1"/>
      <c r="DT154" s="1"/>
      <c r="DU154" s="1"/>
      <c r="DV154" s="1"/>
      <c r="DW154" s="1"/>
      <c r="DX154" s="1"/>
      <c r="DY154" s="1"/>
      <c r="DZ154" s="1"/>
      <c r="EA154" s="1"/>
      <c r="EB154" s="1"/>
      <c r="EC154" s="1"/>
      <c r="ED154" s="1"/>
      <c r="EE154" s="1"/>
      <c r="EF154" s="1"/>
      <c r="EG154" s="1"/>
      <c r="EH154" s="1"/>
      <c r="EI154" s="1"/>
      <c r="EJ154" s="1"/>
      <c r="EK154" s="1"/>
      <c r="EL154" s="1"/>
      <c r="EM154" s="1"/>
      <c r="EN154" s="1"/>
      <c r="EO154" s="1"/>
      <c r="EP154" s="1"/>
      <c r="EQ154" s="1"/>
      <c r="ER154" s="1"/>
      <c r="ES154" s="1"/>
      <c r="ET154" s="1"/>
      <c r="EU154" s="1"/>
      <c r="EV154" s="1"/>
      <c r="EW154" s="1"/>
      <c r="EX154" s="1"/>
      <c r="EY154" s="1"/>
      <c r="EZ154" s="1"/>
      <c r="FA154" s="1"/>
      <c r="FB154" s="1"/>
      <c r="FC154" s="1"/>
      <c r="FD154" s="1"/>
      <c r="FE154" s="1"/>
      <c r="FF154" s="1"/>
      <c r="FG154" s="1"/>
      <c r="FH154" s="1"/>
      <c r="FI154" s="1"/>
      <c r="FJ154" s="1"/>
      <c r="FK154" s="1"/>
      <c r="FL154" s="1"/>
      <c r="FM154" s="1"/>
      <c r="FN154" s="1"/>
      <c r="FO154" s="1"/>
      <c r="FP154" s="1"/>
      <c r="FQ154" s="1"/>
      <c r="FR154" s="1"/>
      <c r="FS154" s="1"/>
      <c r="FT154" s="1"/>
      <c r="FU154" s="1"/>
      <c r="FV154" s="1"/>
      <c r="FW154" s="1"/>
      <c r="FX154" s="1"/>
      <c r="FY154" s="1"/>
      <c r="FZ154" s="1"/>
      <c r="GA154" s="1"/>
      <c r="GB154" s="1"/>
      <c r="GC154" s="1"/>
      <c r="GD154" s="1"/>
      <c r="GE154" s="1"/>
      <c r="GF154" s="1"/>
      <c r="GG154" s="1"/>
      <c r="GH154" s="1"/>
      <c r="GI154" s="1"/>
      <c r="GJ154" s="1"/>
      <c r="GK154" s="1"/>
      <c r="GL154" s="1"/>
      <c r="GM154" s="1"/>
      <c r="GN154" s="1"/>
      <c r="GO154" s="1"/>
      <c r="GP154" s="1"/>
      <c r="GQ154" s="1"/>
      <c r="GR154" s="1"/>
      <c r="GS154" s="1"/>
      <c r="GT154" s="1"/>
      <c r="GU154" s="1"/>
      <c r="GV154" s="1"/>
      <c r="GW154" s="1"/>
      <c r="GX154" s="1"/>
      <c r="GY154" s="1"/>
      <c r="GZ154" s="1"/>
      <c r="HA154" s="1"/>
      <c r="HB154" s="1"/>
      <c r="HC154" s="1"/>
      <c r="HD154" s="1"/>
      <c r="HE154" s="1"/>
      <c r="HF154" s="1"/>
      <c r="HG154" s="1"/>
      <c r="HH154" s="1"/>
      <c r="HI154" s="1"/>
      <c r="HJ154" s="1"/>
      <c r="HK154" s="1"/>
      <c r="HL154" s="1"/>
      <c r="HM154" s="1"/>
      <c r="HN154" s="1"/>
      <c r="HO154" s="1"/>
      <c r="HP154" s="1"/>
      <c r="HQ154" s="1"/>
      <c r="HR154" s="1"/>
      <c r="HS154" s="1"/>
      <c r="HT154" s="1"/>
      <c r="HU154" s="1"/>
      <c r="HV154" s="1"/>
      <c r="HW154" s="1"/>
      <c r="HX154" s="1"/>
      <c r="HY154" s="1"/>
      <c r="HZ154" s="1"/>
      <c r="IA154" s="1"/>
      <c r="IB154" s="1"/>
      <c r="IC154" s="1"/>
      <c r="ID154" s="1"/>
      <c r="IE154" s="1"/>
      <c r="IF154" s="1"/>
      <c r="IG154" s="1"/>
      <c r="IH154" s="1"/>
      <c r="II154" s="1"/>
      <c r="IJ154" s="1"/>
      <c r="IK154" s="1"/>
      <c r="IL154" s="1"/>
      <c r="IM154" s="1"/>
      <c r="IN154" s="1"/>
      <c r="IO154" s="1"/>
      <c r="IP154" s="1"/>
      <c r="IQ154" s="1"/>
      <c r="IR154" s="1"/>
      <c r="IS154" s="1"/>
      <c r="IT154" s="1"/>
      <c r="IU154" s="1"/>
      <c r="IV154" s="1"/>
      <c r="IW154" s="1"/>
      <c r="IX154" s="1"/>
      <c r="IY154" s="1"/>
      <c r="IZ154" s="1"/>
      <c r="JA154" s="1"/>
      <c r="JB154" s="1"/>
      <c r="JC154" s="1"/>
      <c r="JD154" s="1"/>
      <c r="JE154" s="1"/>
      <c r="JF154" s="1"/>
      <c r="JG154" s="1"/>
      <c r="JH154" s="1"/>
      <c r="JI154" s="1"/>
      <c r="JJ154" s="1"/>
      <c r="JK154" s="1"/>
      <c r="JL154" s="1"/>
      <c r="JM154" s="1"/>
      <c r="JN154" s="1"/>
      <c r="JO154" s="1"/>
      <c r="JP154" s="1"/>
      <c r="JQ154" s="1"/>
      <c r="JR154" s="1"/>
      <c r="JS154" s="1"/>
      <c r="JT154" s="1"/>
      <c r="JU154" s="1"/>
      <c r="JV154" s="1"/>
      <c r="JW154" s="1"/>
      <c r="JX154" s="1"/>
      <c r="JY154" s="1"/>
      <c r="JZ154" s="1"/>
      <c r="KA154" s="1"/>
      <c r="KB154" s="1"/>
      <c r="KC154" s="1"/>
      <c r="KD154" s="1"/>
      <c r="KE154" s="1"/>
      <c r="KF154" s="1"/>
      <c r="KG154" s="1"/>
      <c r="KH154" s="1"/>
      <c r="KI154" s="1"/>
      <c r="KJ154" s="1"/>
      <c r="KK154" s="1"/>
      <c r="KL154" s="1"/>
      <c r="KM154" s="1"/>
      <c r="KN154" s="1"/>
      <c r="KO154" s="1"/>
      <c r="KP154" s="1"/>
      <c r="KQ154" s="1"/>
      <c r="KR154" s="1"/>
      <c r="KS154" s="1"/>
      <c r="KT154" s="1"/>
      <c r="KU154" s="1"/>
      <c r="KV154" s="1"/>
      <c r="KW154" s="1"/>
      <c r="KX154" s="1"/>
      <c r="KY154" s="1"/>
      <c r="KZ154" s="1"/>
      <c r="LA154" s="1"/>
      <c r="LB154" s="1"/>
      <c r="LC154" s="1"/>
      <c r="LD154" s="1"/>
      <c r="LE154" s="1"/>
      <c r="LF154" s="1"/>
      <c r="LG154" s="1"/>
      <c r="LH154" s="1"/>
      <c r="LI154" s="1"/>
      <c r="LJ154" s="1"/>
      <c r="LK154" s="1"/>
      <c r="LL154" s="1"/>
      <c r="LM154" s="1"/>
      <c r="LN154" s="1"/>
      <c r="LO154" s="1"/>
      <c r="LP154" s="1"/>
      <c r="LQ154" s="1"/>
      <c r="LR154" s="1"/>
      <c r="LS154" s="1"/>
    </row>
    <row r="155" spans="1:331" s="35" customFormat="1" x14ac:dyDescent="0.25">
      <c r="A155" s="35" t="s">
        <v>641</v>
      </c>
      <c r="B155" s="39" t="s">
        <v>642</v>
      </c>
      <c r="C155" s="94" t="s">
        <v>1648</v>
      </c>
      <c r="D155" s="35">
        <v>1</v>
      </c>
      <c r="E155" s="35" t="s">
        <v>643</v>
      </c>
      <c r="H155" s="35" t="s">
        <v>644</v>
      </c>
      <c r="I155" s="35" t="s">
        <v>428</v>
      </c>
      <c r="J155" s="35" t="s">
        <v>645</v>
      </c>
      <c r="K155" s="35" t="s">
        <v>428</v>
      </c>
      <c r="L155" s="35">
        <v>0</v>
      </c>
      <c r="O155" s="35">
        <v>1</v>
      </c>
      <c r="Q155" s="96"/>
      <c r="R155" s="96" t="s">
        <v>646</v>
      </c>
      <c r="T155" s="35">
        <v>12</v>
      </c>
      <c r="V155" s="35">
        <v>12</v>
      </c>
      <c r="W155" s="96">
        <v>12</v>
      </c>
      <c r="X155" s="96"/>
      <c r="Y155" s="96"/>
      <c r="Z155" s="35">
        <v>7</v>
      </c>
      <c r="AA155" s="94" t="b">
        <v>1</v>
      </c>
      <c r="AB155" s="1"/>
      <c r="AC155" s="57" t="s">
        <v>1292</v>
      </c>
      <c r="AD155" s="1"/>
      <c r="AE155" s="57"/>
      <c r="AF155" s="1"/>
      <c r="AG155" s="1"/>
      <c r="AH155" s="1"/>
      <c r="AI155" s="1"/>
      <c r="AJ155" s="1"/>
      <c r="AK155" s="1"/>
      <c r="AL155" s="1"/>
      <c r="AM155" s="1"/>
      <c r="AN155" s="1"/>
      <c r="AO155" s="1"/>
      <c r="AP155" s="1"/>
      <c r="AQ155" s="1"/>
      <c r="AR155" s="1"/>
      <c r="AS155" s="1"/>
      <c r="AT155" s="1"/>
      <c r="AU155" s="1"/>
      <c r="AV155" s="1"/>
      <c r="AW155" s="1"/>
      <c r="AX155" s="1"/>
      <c r="AY155" s="1"/>
      <c r="AZ155" s="1"/>
      <c r="BA155" s="1"/>
      <c r="BB155" s="1"/>
      <c r="BC155" s="1"/>
      <c r="BD155" s="1"/>
      <c r="BE155" s="1"/>
      <c r="BF155" s="1"/>
      <c r="BG155" s="1"/>
      <c r="BH155" s="1"/>
      <c r="BI155" s="1"/>
      <c r="BJ155" s="1"/>
      <c r="BK155" s="1"/>
      <c r="BL155" s="1"/>
      <c r="BM155" s="1"/>
      <c r="BN155" s="1"/>
      <c r="BO155" s="1"/>
      <c r="BP155" s="1"/>
      <c r="BQ155" s="1"/>
      <c r="BR155" s="1"/>
      <c r="BS155" s="1"/>
      <c r="BT155" s="1"/>
      <c r="BU155" s="1"/>
      <c r="BV155" s="1"/>
      <c r="BW155" s="1"/>
      <c r="BX155" s="1"/>
      <c r="BY155" s="1"/>
      <c r="BZ155" s="1"/>
      <c r="CA155" s="1"/>
      <c r="CB155" s="1"/>
      <c r="CC155" s="1"/>
      <c r="CD155" s="1"/>
      <c r="CE155" s="1"/>
      <c r="CF155" s="1"/>
      <c r="CG155" s="1"/>
      <c r="CH155" s="1"/>
      <c r="CI155" s="1"/>
      <c r="CJ155" s="1"/>
      <c r="CK155" s="1"/>
      <c r="CL155" s="1"/>
      <c r="CM155" s="1"/>
      <c r="CN155" s="1"/>
      <c r="CO155" s="1"/>
      <c r="CP155" s="1"/>
      <c r="CQ155" s="1"/>
      <c r="CR155" s="1"/>
      <c r="CS155" s="1"/>
      <c r="CT155" s="1"/>
      <c r="CU155" s="1"/>
      <c r="CV155" s="1"/>
      <c r="CW155" s="1"/>
      <c r="CX155" s="1"/>
      <c r="CY155" s="1"/>
      <c r="CZ155" s="1"/>
      <c r="DA155" s="1"/>
      <c r="DB155" s="1"/>
      <c r="DC155" s="1"/>
      <c r="DD155" s="1"/>
      <c r="DE155" s="1"/>
      <c r="DF155" s="1"/>
      <c r="DG155" s="1"/>
      <c r="DH155" s="1"/>
      <c r="DI155" s="1"/>
      <c r="DJ155" s="1"/>
      <c r="DK155" s="1"/>
      <c r="DL155" s="1"/>
      <c r="DM155" s="1"/>
      <c r="DN155" s="1"/>
      <c r="DO155" s="1"/>
      <c r="DP155" s="1"/>
      <c r="DQ155" s="1"/>
      <c r="DR155" s="1"/>
      <c r="DS155" s="1"/>
      <c r="DT155" s="1"/>
      <c r="DU155" s="1"/>
      <c r="DV155" s="1"/>
      <c r="DW155" s="1"/>
      <c r="DX155" s="1"/>
      <c r="DY155" s="1"/>
      <c r="DZ155" s="1"/>
      <c r="EA155" s="1"/>
      <c r="EB155" s="1"/>
      <c r="EC155" s="1"/>
      <c r="ED155" s="1"/>
      <c r="EE155" s="1"/>
      <c r="EF155" s="1"/>
      <c r="EG155" s="1"/>
      <c r="EH155" s="1"/>
      <c r="EI155" s="1"/>
      <c r="EJ155" s="1"/>
      <c r="EK155" s="1"/>
      <c r="EL155" s="1"/>
      <c r="EM155" s="1"/>
      <c r="EN155" s="1"/>
      <c r="EO155" s="1"/>
      <c r="EP155" s="1"/>
      <c r="EQ155" s="1"/>
      <c r="ER155" s="1"/>
      <c r="ES155" s="1"/>
      <c r="ET155" s="1"/>
      <c r="EU155" s="1"/>
      <c r="EV155" s="1"/>
      <c r="EW155" s="1"/>
      <c r="EX155" s="1"/>
      <c r="EY155" s="1"/>
      <c r="EZ155" s="1"/>
      <c r="FA155" s="1"/>
      <c r="FB155" s="1"/>
      <c r="FC155" s="1"/>
      <c r="FD155" s="1"/>
      <c r="FE155" s="1"/>
      <c r="FF155" s="1"/>
      <c r="FG155" s="1"/>
      <c r="FH155" s="1"/>
      <c r="FI155" s="1"/>
      <c r="FJ155" s="1"/>
      <c r="FK155" s="1"/>
      <c r="FL155" s="1"/>
      <c r="FM155" s="1"/>
      <c r="FN155" s="1"/>
      <c r="FO155" s="1"/>
      <c r="FP155" s="1"/>
      <c r="FQ155" s="1"/>
      <c r="FR155" s="1"/>
      <c r="FS155" s="1"/>
      <c r="FT155" s="1"/>
      <c r="FU155" s="1"/>
      <c r="FV155" s="1"/>
      <c r="FW155" s="1"/>
      <c r="FX155" s="1"/>
      <c r="FY155" s="1"/>
      <c r="FZ155" s="1"/>
      <c r="GA155" s="1"/>
      <c r="GB155" s="1"/>
      <c r="GC155" s="1"/>
      <c r="GD155" s="1"/>
      <c r="GE155" s="1"/>
      <c r="GF155" s="1"/>
      <c r="GG155" s="1"/>
      <c r="GH155" s="1"/>
      <c r="GI155" s="1"/>
      <c r="GJ155" s="1"/>
      <c r="GK155" s="1"/>
      <c r="GL155" s="1"/>
      <c r="GM155" s="1"/>
      <c r="GN155" s="1"/>
      <c r="GO155" s="1"/>
      <c r="GP155" s="1"/>
      <c r="GQ155" s="1"/>
      <c r="GR155" s="1"/>
      <c r="GS155" s="1"/>
      <c r="GT155" s="1"/>
      <c r="GU155" s="1"/>
      <c r="GV155" s="1"/>
      <c r="GW155" s="1"/>
      <c r="GX155" s="1"/>
      <c r="GY155" s="1"/>
      <c r="GZ155" s="1"/>
      <c r="HA155" s="1"/>
      <c r="HB155" s="1"/>
      <c r="HC155" s="1"/>
      <c r="HD155" s="1"/>
      <c r="HE155" s="1"/>
      <c r="HF155" s="1"/>
      <c r="HG155" s="1"/>
      <c r="HH155" s="1"/>
      <c r="HI155" s="1"/>
      <c r="HJ155" s="1"/>
      <c r="HK155" s="1"/>
      <c r="HL155" s="1"/>
      <c r="HM155" s="1"/>
      <c r="HN155" s="1"/>
      <c r="HO155" s="1"/>
      <c r="HP155" s="1"/>
      <c r="HQ155" s="1"/>
      <c r="HR155" s="1"/>
      <c r="HS155" s="1"/>
      <c r="HT155" s="1"/>
      <c r="HU155" s="1"/>
      <c r="HV155" s="1"/>
      <c r="HW155" s="1"/>
      <c r="HX155" s="1"/>
      <c r="HY155" s="1"/>
      <c r="HZ155" s="1"/>
      <c r="IA155" s="1"/>
      <c r="IB155" s="1"/>
      <c r="IC155" s="1"/>
      <c r="ID155" s="1"/>
      <c r="IE155" s="1"/>
      <c r="IF155" s="1"/>
      <c r="IG155" s="1"/>
      <c r="IH155" s="1"/>
      <c r="II155" s="1"/>
      <c r="IJ155" s="1"/>
      <c r="IK155" s="1"/>
      <c r="IL155" s="1"/>
      <c r="IM155" s="1"/>
      <c r="IN155" s="1"/>
      <c r="IO155" s="1"/>
      <c r="IP155" s="1"/>
      <c r="IQ155" s="1"/>
      <c r="IR155" s="1"/>
      <c r="IS155" s="1"/>
      <c r="IT155" s="1"/>
      <c r="IU155" s="1"/>
      <c r="IV155" s="1"/>
      <c r="IW155" s="1"/>
      <c r="IX155" s="1"/>
      <c r="IY155" s="1"/>
      <c r="IZ155" s="1"/>
      <c r="JA155" s="1"/>
      <c r="JB155" s="1"/>
      <c r="JC155" s="1"/>
      <c r="JD155" s="1"/>
      <c r="JE155" s="1"/>
      <c r="JF155" s="1"/>
      <c r="JG155" s="1"/>
      <c r="JH155" s="1"/>
      <c r="JI155" s="1"/>
      <c r="JJ155" s="1"/>
      <c r="JK155" s="1"/>
      <c r="JL155" s="1"/>
      <c r="JM155" s="1"/>
      <c r="JN155" s="1"/>
      <c r="JO155" s="1"/>
      <c r="JP155" s="1"/>
      <c r="JQ155" s="1"/>
      <c r="JR155" s="1"/>
      <c r="JS155" s="1"/>
      <c r="JT155" s="1"/>
      <c r="JU155" s="1"/>
      <c r="JV155" s="1"/>
      <c r="JW155" s="1"/>
      <c r="JX155" s="1"/>
      <c r="JY155" s="1"/>
      <c r="JZ155" s="1"/>
      <c r="KA155" s="1"/>
      <c r="KB155" s="1"/>
      <c r="KC155" s="1"/>
      <c r="KD155" s="1"/>
      <c r="KE155" s="1"/>
      <c r="KF155" s="1"/>
      <c r="KG155" s="1"/>
      <c r="KH155" s="1"/>
      <c r="KI155" s="1"/>
      <c r="KJ155" s="1"/>
      <c r="KK155" s="1"/>
      <c r="KL155" s="1"/>
      <c r="KM155" s="1"/>
      <c r="KN155" s="1"/>
      <c r="KO155" s="1"/>
      <c r="KP155" s="1"/>
      <c r="KQ155" s="1"/>
      <c r="KR155" s="1"/>
      <c r="KS155" s="1"/>
      <c r="KT155" s="1"/>
      <c r="KU155" s="1"/>
      <c r="KV155" s="1"/>
      <c r="KW155" s="1"/>
      <c r="KX155" s="1"/>
      <c r="KY155" s="1"/>
      <c r="KZ155" s="1"/>
      <c r="LA155" s="1"/>
      <c r="LB155" s="1"/>
      <c r="LC155" s="1"/>
      <c r="LD155" s="1"/>
      <c r="LE155" s="1"/>
      <c r="LF155" s="1"/>
      <c r="LG155" s="1"/>
      <c r="LH155" s="1"/>
      <c r="LI155" s="1"/>
      <c r="LJ155" s="1"/>
      <c r="LK155" s="1"/>
      <c r="LL155" s="1"/>
      <c r="LM155" s="1"/>
      <c r="LN155" s="1"/>
      <c r="LO155" s="1"/>
      <c r="LP155" s="1"/>
      <c r="LQ155" s="1"/>
      <c r="LR155" s="1"/>
      <c r="LS155" s="1"/>
    </row>
    <row r="156" spans="1:331" s="72" customFormat="1" x14ac:dyDescent="0.25">
      <c r="A156" s="72" t="s">
        <v>647</v>
      </c>
      <c r="B156" s="75" t="s">
        <v>648</v>
      </c>
      <c r="C156" s="94" t="s">
        <v>1648</v>
      </c>
      <c r="D156" s="72">
        <v>0</v>
      </c>
      <c r="H156" s="72" t="s">
        <v>649</v>
      </c>
      <c r="I156" s="72" t="s">
        <v>650</v>
      </c>
      <c r="J156" s="72" t="s">
        <v>433</v>
      </c>
      <c r="K156" s="72" t="s">
        <v>650</v>
      </c>
      <c r="L156" s="72">
        <v>0</v>
      </c>
      <c r="O156" s="72">
        <v>1</v>
      </c>
      <c r="P156" s="72" t="s">
        <v>651</v>
      </c>
      <c r="Q156" s="96"/>
      <c r="R156" s="96" t="s">
        <v>652</v>
      </c>
      <c r="S156" s="72">
        <v>14</v>
      </c>
      <c r="U156" s="72">
        <v>12</v>
      </c>
      <c r="W156" s="96">
        <v>14</v>
      </c>
      <c r="X156" s="96"/>
      <c r="Y156" s="96"/>
      <c r="Z156" s="72">
        <v>14</v>
      </c>
      <c r="AA156" s="94" t="b">
        <v>1</v>
      </c>
      <c r="AB156" s="1"/>
      <c r="AC156" s="57" t="s">
        <v>1385</v>
      </c>
      <c r="AD156" s="1"/>
      <c r="AE156" s="57"/>
      <c r="AF156" s="1"/>
      <c r="AG156" s="1"/>
      <c r="AH156" s="1"/>
      <c r="AI156" s="1"/>
      <c r="AJ156" s="1"/>
      <c r="AK156" s="1"/>
      <c r="AL156" s="1"/>
      <c r="AM156" s="1"/>
      <c r="AN156" s="1"/>
      <c r="AO156" s="1"/>
      <c r="AP156" s="1"/>
      <c r="AQ156" s="1"/>
      <c r="AR156" s="1"/>
      <c r="AS156" s="1"/>
      <c r="AT156" s="1"/>
      <c r="AU156" s="1"/>
      <c r="AV156" s="1"/>
      <c r="AW156" s="1"/>
      <c r="AX156" s="1"/>
      <c r="AY156" s="1"/>
      <c r="AZ156" s="1"/>
      <c r="BA156" s="1"/>
      <c r="BB156" s="1"/>
      <c r="BC156" s="1"/>
      <c r="BD156" s="1"/>
      <c r="BE156" s="1"/>
      <c r="BF156" s="1"/>
      <c r="BG156" s="1"/>
      <c r="BH156" s="1"/>
      <c r="BI156" s="1"/>
      <c r="BJ156" s="1"/>
      <c r="BK156" s="1"/>
      <c r="BL156" s="1"/>
      <c r="BM156" s="1"/>
      <c r="BN156" s="1"/>
      <c r="BO156" s="1"/>
      <c r="BP156" s="1"/>
      <c r="BQ156" s="1"/>
      <c r="BR156" s="1"/>
      <c r="BS156" s="1"/>
      <c r="BT156" s="1"/>
      <c r="BU156" s="1"/>
      <c r="BV156" s="1"/>
    </row>
    <row r="157" spans="1:331" s="25" customFormat="1" x14ac:dyDescent="0.25">
      <c r="A157" s="25" t="s">
        <v>653</v>
      </c>
      <c r="B157" s="29" t="s">
        <v>654</v>
      </c>
      <c r="C157" s="94" t="s">
        <v>1648</v>
      </c>
      <c r="D157" s="25">
        <v>0</v>
      </c>
      <c r="H157" s="25" t="s">
        <v>440</v>
      </c>
      <c r="I157" s="25" t="s">
        <v>433</v>
      </c>
      <c r="J157" s="25" t="s">
        <v>440</v>
      </c>
      <c r="K157" s="25" t="s">
        <v>433</v>
      </c>
      <c r="L157" s="25">
        <v>0</v>
      </c>
      <c r="O157" s="25">
        <v>0</v>
      </c>
      <c r="Q157" s="96" t="s">
        <v>1520</v>
      </c>
      <c r="R157" s="96"/>
      <c r="S157" s="25">
        <v>8</v>
      </c>
      <c r="U157" s="25">
        <v>8</v>
      </c>
      <c r="W157" s="96">
        <v>8</v>
      </c>
      <c r="X157" s="96"/>
      <c r="Y157" s="96"/>
      <c r="Z157" s="25">
        <v>5</v>
      </c>
      <c r="AA157" s="94" t="b">
        <v>1</v>
      </c>
      <c r="AB157" s="1"/>
      <c r="AC157" s="57" t="s">
        <v>1357</v>
      </c>
      <c r="AD157" s="1"/>
      <c r="AE157" s="57"/>
      <c r="AF157" s="1"/>
      <c r="AG157" s="1"/>
      <c r="AH157" s="1"/>
      <c r="AI157" s="1"/>
      <c r="AJ157" s="1"/>
      <c r="AK157" s="1"/>
      <c r="AL157" s="1"/>
      <c r="AM157" s="1"/>
      <c r="AN157" s="1"/>
      <c r="AO157" s="1"/>
      <c r="AP157" s="1"/>
      <c r="AQ157" s="1"/>
      <c r="AR157" s="1"/>
      <c r="AS157" s="1"/>
      <c r="AT157" s="1"/>
      <c r="AU157" s="1"/>
      <c r="AV157" s="1"/>
      <c r="AW157" s="1"/>
      <c r="AX157" s="1"/>
      <c r="AY157" s="1"/>
      <c r="AZ157" s="1"/>
      <c r="BA157" s="1"/>
      <c r="BB157" s="1"/>
      <c r="BC157" s="1"/>
      <c r="BD157" s="1"/>
      <c r="BE157" s="1"/>
      <c r="BF157" s="1"/>
      <c r="BG157" s="1"/>
      <c r="BH157" s="1"/>
      <c r="BI157" s="1"/>
      <c r="BJ157" s="1"/>
      <c r="BK157" s="1"/>
      <c r="BL157" s="1"/>
      <c r="BM157" s="1"/>
      <c r="BN157" s="1"/>
      <c r="BO157" s="1"/>
      <c r="BP157" s="1"/>
      <c r="BQ157" s="1"/>
      <c r="BR157" s="1"/>
      <c r="BS157" s="1"/>
      <c r="BT157" s="1"/>
      <c r="BU157" s="1"/>
      <c r="BV157" s="1"/>
      <c r="BW157" s="1"/>
      <c r="BX157" s="1"/>
      <c r="BY157" s="1"/>
      <c r="BZ157" s="1"/>
      <c r="CA157" s="1"/>
      <c r="CB157" s="1"/>
      <c r="CC157" s="1"/>
      <c r="CD157" s="1"/>
      <c r="CE157" s="1"/>
      <c r="CF157" s="1"/>
      <c r="CG157" s="1"/>
      <c r="CH157" s="1"/>
      <c r="CI157" s="1"/>
      <c r="CJ157" s="1"/>
      <c r="CK157" s="1"/>
      <c r="CL157" s="1"/>
      <c r="CM157" s="1"/>
      <c r="CN157" s="1"/>
      <c r="CO157" s="1"/>
      <c r="CP157" s="1"/>
      <c r="CQ157" s="1"/>
      <c r="CR157" s="1"/>
      <c r="CS157" s="1"/>
      <c r="CT157" s="1"/>
      <c r="CU157" s="1"/>
      <c r="CV157" s="1"/>
      <c r="CW157" s="1"/>
      <c r="CX157" s="1"/>
      <c r="CY157" s="1"/>
      <c r="CZ157" s="1"/>
      <c r="DA157" s="1"/>
      <c r="DB157" s="1"/>
      <c r="DC157" s="1"/>
      <c r="DD157" s="1"/>
      <c r="DE157" s="1"/>
      <c r="DF157" s="1"/>
      <c r="DG157" s="1"/>
      <c r="DH157" s="1"/>
      <c r="DI157" s="1"/>
      <c r="DJ157" s="1"/>
      <c r="DK157" s="1"/>
      <c r="DL157" s="1"/>
      <c r="DM157" s="1"/>
      <c r="DN157" s="1"/>
      <c r="DO157" s="1"/>
      <c r="DP157" s="1"/>
      <c r="DQ157" s="1"/>
      <c r="DR157" s="1"/>
      <c r="DS157" s="1"/>
      <c r="DT157" s="1"/>
      <c r="DU157" s="1"/>
      <c r="DV157" s="1"/>
      <c r="DW157" s="1"/>
      <c r="DX157" s="1"/>
      <c r="DY157" s="1"/>
      <c r="DZ157" s="1"/>
      <c r="EA157" s="1"/>
      <c r="EB157" s="1"/>
      <c r="EC157" s="1"/>
      <c r="ED157" s="1"/>
      <c r="EE157" s="1"/>
      <c r="EF157" s="1"/>
      <c r="EG157" s="1"/>
      <c r="EH157" s="1"/>
      <c r="EI157" s="1"/>
      <c r="EJ157" s="1"/>
      <c r="EK157" s="1"/>
      <c r="EL157" s="1"/>
      <c r="EM157" s="1"/>
      <c r="EN157" s="1"/>
      <c r="EO157" s="1"/>
      <c r="EP157" s="1"/>
      <c r="EQ157" s="1"/>
      <c r="ER157" s="1"/>
      <c r="ES157" s="1"/>
      <c r="ET157" s="1"/>
      <c r="EU157" s="1"/>
      <c r="EV157" s="1"/>
      <c r="EW157" s="1"/>
      <c r="EX157" s="1"/>
      <c r="EY157" s="1"/>
      <c r="EZ157" s="1"/>
      <c r="FA157" s="1"/>
      <c r="FB157" s="1"/>
      <c r="FC157" s="1"/>
      <c r="FD157" s="1"/>
      <c r="FE157" s="1"/>
      <c r="FF157" s="1"/>
      <c r="FG157" s="1"/>
      <c r="FH157" s="1"/>
      <c r="FI157" s="1"/>
      <c r="FJ157" s="1"/>
      <c r="FK157" s="1"/>
      <c r="FL157" s="1"/>
      <c r="FM157" s="1"/>
      <c r="FN157" s="1"/>
      <c r="FO157" s="1"/>
      <c r="FP157" s="1"/>
      <c r="FQ157" s="1"/>
      <c r="FR157" s="1"/>
      <c r="FS157" s="1"/>
      <c r="FT157" s="1"/>
      <c r="FU157" s="1"/>
      <c r="FV157" s="1"/>
      <c r="FW157" s="1"/>
      <c r="FX157" s="1"/>
      <c r="FY157" s="1"/>
      <c r="FZ157" s="1"/>
      <c r="GA157" s="1"/>
      <c r="GB157" s="1"/>
      <c r="GC157" s="1"/>
      <c r="GD157" s="1"/>
      <c r="GE157" s="1"/>
      <c r="GF157" s="1"/>
      <c r="GG157" s="1"/>
      <c r="GH157" s="1"/>
      <c r="GI157" s="1"/>
      <c r="GJ157" s="1"/>
      <c r="GK157" s="1"/>
      <c r="GL157" s="1"/>
      <c r="GM157" s="1"/>
      <c r="GN157" s="1"/>
      <c r="GO157" s="1"/>
      <c r="GP157" s="1"/>
      <c r="GQ157" s="1"/>
      <c r="GR157" s="1"/>
      <c r="GS157" s="1"/>
      <c r="GT157" s="1"/>
      <c r="GU157" s="1"/>
      <c r="GV157" s="1"/>
      <c r="GW157" s="1"/>
      <c r="GX157" s="1"/>
      <c r="GY157" s="1"/>
      <c r="GZ157" s="1"/>
      <c r="HA157" s="1"/>
      <c r="HB157" s="1"/>
      <c r="HC157" s="1"/>
      <c r="HD157" s="1"/>
      <c r="HE157" s="1"/>
      <c r="HF157" s="1"/>
      <c r="HG157" s="1"/>
      <c r="HH157" s="1"/>
      <c r="HI157" s="1"/>
      <c r="HJ157" s="1"/>
      <c r="HK157" s="1"/>
      <c r="HL157" s="1"/>
      <c r="HM157" s="1"/>
      <c r="HN157" s="1"/>
      <c r="HO157" s="1"/>
      <c r="HP157" s="1"/>
      <c r="HQ157" s="1"/>
      <c r="HR157" s="1"/>
      <c r="HS157" s="1"/>
      <c r="HT157" s="1"/>
      <c r="HU157" s="1"/>
      <c r="HV157" s="1"/>
      <c r="HW157" s="1"/>
      <c r="HX157" s="1"/>
      <c r="HY157" s="1"/>
      <c r="HZ157" s="1"/>
      <c r="IA157" s="1"/>
      <c r="IB157" s="1"/>
      <c r="IC157" s="1"/>
      <c r="ID157" s="1"/>
      <c r="IE157" s="1"/>
      <c r="IF157" s="1"/>
      <c r="IG157" s="1"/>
      <c r="IH157" s="1"/>
      <c r="II157" s="1"/>
      <c r="IJ157" s="1"/>
      <c r="IK157" s="1"/>
      <c r="IL157" s="1"/>
      <c r="IM157" s="1"/>
      <c r="IN157" s="1"/>
      <c r="IO157" s="1"/>
      <c r="IP157" s="1"/>
      <c r="IQ157" s="1"/>
      <c r="IR157" s="1"/>
      <c r="IS157" s="1"/>
      <c r="IT157" s="1"/>
      <c r="IU157" s="1"/>
      <c r="IV157" s="1"/>
      <c r="IW157" s="1"/>
      <c r="IX157" s="1"/>
      <c r="IY157" s="1"/>
      <c r="IZ157" s="1"/>
      <c r="JA157" s="1"/>
      <c r="JB157" s="1"/>
      <c r="JC157" s="1"/>
      <c r="JD157" s="1"/>
      <c r="JE157" s="1"/>
      <c r="JF157" s="1"/>
      <c r="JG157" s="1"/>
      <c r="JH157" s="1"/>
      <c r="JI157" s="1"/>
      <c r="JJ157" s="1"/>
      <c r="JK157" s="1"/>
      <c r="JL157" s="1"/>
      <c r="JM157" s="1"/>
      <c r="JN157" s="1"/>
      <c r="JO157" s="1"/>
      <c r="JP157" s="1"/>
      <c r="JQ157" s="1"/>
      <c r="JR157" s="1"/>
      <c r="JS157" s="1"/>
      <c r="JT157" s="1"/>
      <c r="JU157" s="1"/>
      <c r="JV157" s="1"/>
      <c r="JW157" s="1"/>
      <c r="JX157" s="1"/>
      <c r="JY157" s="1"/>
      <c r="JZ157" s="1"/>
      <c r="KA157" s="1"/>
      <c r="KB157" s="1"/>
      <c r="KC157" s="1"/>
      <c r="KD157" s="1"/>
      <c r="KE157" s="1"/>
      <c r="KF157" s="1"/>
      <c r="KG157" s="1"/>
      <c r="KH157" s="1"/>
      <c r="KI157" s="1"/>
      <c r="KJ157" s="1"/>
      <c r="KK157" s="1"/>
      <c r="KL157" s="1"/>
      <c r="KM157" s="1"/>
      <c r="KN157" s="1"/>
      <c r="KO157" s="1"/>
      <c r="KP157" s="1"/>
      <c r="KQ157" s="1"/>
      <c r="KR157" s="1"/>
      <c r="KS157" s="1"/>
      <c r="KT157" s="1"/>
      <c r="KU157" s="1"/>
      <c r="KV157" s="1"/>
      <c r="KW157" s="1"/>
      <c r="KX157" s="1"/>
      <c r="KY157" s="1"/>
      <c r="KZ157" s="1"/>
      <c r="LA157" s="1"/>
      <c r="LB157" s="1"/>
      <c r="LC157" s="1"/>
      <c r="LD157" s="1"/>
      <c r="LE157" s="1"/>
      <c r="LF157" s="1"/>
      <c r="LG157" s="1"/>
      <c r="LH157" s="1"/>
      <c r="LI157" s="1"/>
      <c r="LJ157" s="1"/>
      <c r="LK157" s="1"/>
      <c r="LL157" s="1"/>
      <c r="LM157" s="1"/>
      <c r="LN157" s="1"/>
      <c r="LO157" s="1"/>
      <c r="LP157" s="1"/>
      <c r="LQ157" s="1"/>
      <c r="LR157" s="1"/>
      <c r="LS157" s="1"/>
    </row>
    <row r="158" spans="1:331" s="25" customFormat="1" x14ac:dyDescent="0.25">
      <c r="A158" s="25" t="s">
        <v>655</v>
      </c>
      <c r="B158" s="29" t="s">
        <v>656</v>
      </c>
      <c r="C158" s="94" t="s">
        <v>1648</v>
      </c>
      <c r="D158" s="25">
        <v>0</v>
      </c>
      <c r="H158" s="25" t="s">
        <v>649</v>
      </c>
      <c r="I158" s="25" t="s">
        <v>644</v>
      </c>
      <c r="J158" s="25" t="s">
        <v>433</v>
      </c>
      <c r="K158" s="25" t="s">
        <v>1685</v>
      </c>
      <c r="L158" s="25">
        <v>0</v>
      </c>
      <c r="O158" s="25">
        <v>0</v>
      </c>
      <c r="Q158" s="96" t="s">
        <v>1552</v>
      </c>
      <c r="R158" s="96"/>
      <c r="S158" s="25">
        <v>7</v>
      </c>
      <c r="U158" s="25">
        <v>6</v>
      </c>
      <c r="W158" s="96">
        <v>7</v>
      </c>
      <c r="X158" s="96"/>
      <c r="Y158" s="96"/>
      <c r="Z158" s="25">
        <v>5</v>
      </c>
      <c r="AA158" s="94" t="b">
        <v>1</v>
      </c>
      <c r="AB158" s="1"/>
      <c r="AC158" s="57" t="s">
        <v>1359</v>
      </c>
      <c r="AD158" s="1"/>
      <c r="AE158" s="57"/>
      <c r="AF158" s="1"/>
      <c r="AG158" s="1"/>
      <c r="AH158" s="1"/>
      <c r="AI158" s="1"/>
      <c r="AJ158" s="1"/>
      <c r="AK158" s="1"/>
      <c r="AL158" s="1"/>
      <c r="AM158" s="1"/>
      <c r="AN158" s="1"/>
      <c r="AO158" s="1"/>
      <c r="AP158" s="1"/>
      <c r="AQ158" s="1"/>
      <c r="AR158" s="1"/>
      <c r="AS158" s="1"/>
      <c r="AT158" s="1"/>
      <c r="AU158" s="1"/>
      <c r="AV158" s="1"/>
      <c r="AW158" s="1"/>
      <c r="AX158" s="1"/>
      <c r="AY158" s="1"/>
      <c r="AZ158" s="1"/>
      <c r="BA158" s="1"/>
      <c r="BB158" s="1"/>
      <c r="BC158" s="1"/>
      <c r="BD158" s="1"/>
      <c r="BE158" s="1"/>
      <c r="BF158" s="1"/>
      <c r="BG158" s="1"/>
      <c r="BH158" s="1"/>
      <c r="BI158" s="1"/>
      <c r="BJ158" s="1"/>
      <c r="BK158" s="1"/>
      <c r="BL158" s="1"/>
      <c r="BM158" s="1"/>
      <c r="BN158" s="1"/>
      <c r="BO158" s="1"/>
      <c r="BP158" s="1"/>
      <c r="BQ158" s="1"/>
      <c r="BR158" s="1"/>
      <c r="BS158" s="1"/>
      <c r="BT158" s="1"/>
      <c r="BU158" s="1"/>
      <c r="BV158" s="1"/>
      <c r="BW158" s="1"/>
      <c r="BX158" s="1"/>
      <c r="BY158" s="1"/>
      <c r="BZ158" s="1"/>
      <c r="CA158" s="1"/>
      <c r="CB158" s="1"/>
      <c r="CC158" s="1"/>
      <c r="CD158" s="1"/>
      <c r="CE158" s="1"/>
      <c r="CF158" s="1"/>
      <c r="CG158" s="1"/>
      <c r="CH158" s="1"/>
      <c r="CI158" s="1"/>
      <c r="CJ158" s="1"/>
      <c r="CK158" s="1"/>
      <c r="CL158" s="1"/>
      <c r="CM158" s="1"/>
      <c r="CN158" s="1"/>
      <c r="CO158" s="1"/>
      <c r="CP158" s="1"/>
      <c r="CQ158" s="1"/>
      <c r="CR158" s="1"/>
      <c r="CS158" s="1"/>
      <c r="CT158" s="1"/>
      <c r="CU158" s="1"/>
      <c r="CV158" s="1"/>
      <c r="CW158" s="1"/>
      <c r="CX158" s="1"/>
      <c r="CY158" s="1"/>
      <c r="CZ158" s="1"/>
      <c r="DA158" s="1"/>
      <c r="DB158" s="1"/>
      <c r="DC158" s="1"/>
      <c r="DD158" s="1"/>
      <c r="DE158" s="1"/>
      <c r="DF158" s="1"/>
      <c r="DG158" s="1"/>
      <c r="DH158" s="1"/>
      <c r="DI158" s="1"/>
      <c r="DJ158" s="1"/>
      <c r="DK158" s="1"/>
      <c r="DL158" s="1"/>
      <c r="DM158" s="1"/>
      <c r="DN158" s="1"/>
      <c r="DO158" s="1"/>
      <c r="DP158" s="1"/>
      <c r="DQ158" s="1"/>
      <c r="DR158" s="1"/>
      <c r="DS158" s="1"/>
      <c r="DT158" s="1"/>
      <c r="DU158" s="1"/>
      <c r="DV158" s="1"/>
      <c r="DW158" s="1"/>
      <c r="DX158" s="1"/>
      <c r="DY158" s="1"/>
      <c r="DZ158" s="1"/>
      <c r="EA158" s="1"/>
      <c r="EB158" s="1"/>
      <c r="EC158" s="1"/>
      <c r="ED158" s="1"/>
      <c r="EE158" s="1"/>
      <c r="EF158" s="1"/>
      <c r="EG158" s="1"/>
      <c r="EH158" s="1"/>
      <c r="EI158" s="1"/>
      <c r="EJ158" s="1"/>
      <c r="EK158" s="1"/>
      <c r="EL158" s="1"/>
      <c r="EM158" s="1"/>
      <c r="EN158" s="1"/>
      <c r="EO158" s="1"/>
      <c r="EP158" s="1"/>
      <c r="EQ158" s="1"/>
      <c r="ER158" s="1"/>
      <c r="ES158" s="1"/>
      <c r="ET158" s="1"/>
      <c r="EU158" s="1"/>
      <c r="EV158" s="1"/>
      <c r="EW158" s="1"/>
      <c r="EX158" s="1"/>
      <c r="EY158" s="1"/>
      <c r="EZ158" s="1"/>
      <c r="FA158" s="1"/>
      <c r="FB158" s="1"/>
      <c r="FC158" s="1"/>
      <c r="FD158" s="1"/>
      <c r="FE158" s="1"/>
      <c r="FF158" s="1"/>
      <c r="FG158" s="1"/>
      <c r="FH158" s="1"/>
      <c r="FI158" s="1"/>
      <c r="FJ158" s="1"/>
      <c r="FK158" s="1"/>
      <c r="FL158" s="1"/>
      <c r="FM158" s="1"/>
      <c r="FN158" s="1"/>
      <c r="FO158" s="1"/>
      <c r="FP158" s="1"/>
      <c r="FQ158" s="1"/>
      <c r="FR158" s="1"/>
      <c r="FS158" s="1"/>
      <c r="FT158" s="1"/>
      <c r="FU158" s="1"/>
      <c r="FV158" s="1"/>
      <c r="FW158" s="1"/>
      <c r="FX158" s="1"/>
      <c r="FY158" s="1"/>
      <c r="FZ158" s="1"/>
      <c r="GA158" s="1"/>
      <c r="GB158" s="1"/>
      <c r="GC158" s="1"/>
      <c r="GD158" s="1"/>
      <c r="GE158" s="1"/>
      <c r="GF158" s="1"/>
      <c r="GG158" s="1"/>
      <c r="GH158" s="1"/>
      <c r="GI158" s="1"/>
      <c r="GJ158" s="1"/>
      <c r="GK158" s="1"/>
      <c r="GL158" s="1"/>
      <c r="GM158" s="1"/>
      <c r="GN158" s="1"/>
      <c r="GO158" s="1"/>
      <c r="GP158" s="1"/>
      <c r="GQ158" s="1"/>
      <c r="GR158" s="1"/>
      <c r="GS158" s="1"/>
      <c r="GT158" s="1"/>
      <c r="GU158" s="1"/>
      <c r="GV158" s="1"/>
      <c r="GW158" s="1"/>
      <c r="GX158" s="1"/>
      <c r="GY158" s="1"/>
      <c r="GZ158" s="1"/>
      <c r="HA158" s="1"/>
      <c r="HB158" s="1"/>
      <c r="HC158" s="1"/>
      <c r="HD158" s="1"/>
      <c r="HE158" s="1"/>
      <c r="HF158" s="1"/>
      <c r="HG158" s="1"/>
      <c r="HH158" s="1"/>
      <c r="HI158" s="1"/>
      <c r="HJ158" s="1"/>
      <c r="HK158" s="1"/>
      <c r="HL158" s="1"/>
      <c r="HM158" s="1"/>
      <c r="HN158" s="1"/>
      <c r="HO158" s="1"/>
      <c r="HP158" s="1"/>
      <c r="HQ158" s="1"/>
      <c r="HR158" s="1"/>
      <c r="HS158" s="1"/>
      <c r="HT158" s="1"/>
      <c r="HU158" s="1"/>
      <c r="HV158" s="1"/>
      <c r="HW158" s="1"/>
      <c r="HX158" s="1"/>
      <c r="HY158" s="1"/>
      <c r="HZ158" s="1"/>
      <c r="IA158" s="1"/>
      <c r="IB158" s="1"/>
      <c r="IC158" s="1"/>
      <c r="ID158" s="1"/>
      <c r="IE158" s="1"/>
      <c r="IF158" s="1"/>
      <c r="IG158" s="1"/>
      <c r="IH158" s="1"/>
      <c r="II158" s="1"/>
      <c r="IJ158" s="1"/>
      <c r="IK158" s="1"/>
      <c r="IL158" s="1"/>
      <c r="IM158" s="1"/>
      <c r="IN158" s="1"/>
      <c r="IO158" s="1"/>
      <c r="IP158" s="1"/>
      <c r="IQ158" s="1"/>
      <c r="IR158" s="1"/>
      <c r="IS158" s="1"/>
      <c r="IT158" s="1"/>
      <c r="IU158" s="1"/>
      <c r="IV158" s="1"/>
      <c r="IW158" s="1"/>
      <c r="IX158" s="1"/>
      <c r="IY158" s="1"/>
      <c r="IZ158" s="1"/>
      <c r="JA158" s="1"/>
      <c r="JB158" s="1"/>
      <c r="JC158" s="1"/>
      <c r="JD158" s="1"/>
      <c r="JE158" s="1"/>
      <c r="JF158" s="1"/>
      <c r="JG158" s="1"/>
      <c r="JH158" s="1"/>
      <c r="JI158" s="1"/>
      <c r="JJ158" s="1"/>
      <c r="JK158" s="1"/>
      <c r="JL158" s="1"/>
      <c r="JM158" s="1"/>
      <c r="JN158" s="1"/>
      <c r="JO158" s="1"/>
      <c r="JP158" s="1"/>
      <c r="JQ158" s="1"/>
      <c r="JR158" s="1"/>
      <c r="JS158" s="1"/>
      <c r="JT158" s="1"/>
      <c r="JU158" s="1"/>
      <c r="JV158" s="1"/>
      <c r="JW158" s="1"/>
      <c r="JX158" s="1"/>
      <c r="JY158" s="1"/>
      <c r="JZ158" s="1"/>
      <c r="KA158" s="1"/>
      <c r="KB158" s="1"/>
      <c r="KC158" s="1"/>
      <c r="KD158" s="1"/>
      <c r="KE158" s="1"/>
      <c r="KF158" s="1"/>
      <c r="KG158" s="1"/>
      <c r="KH158" s="1"/>
      <c r="KI158" s="1"/>
      <c r="KJ158" s="1"/>
      <c r="KK158" s="1"/>
      <c r="KL158" s="1"/>
      <c r="KM158" s="1"/>
      <c r="KN158" s="1"/>
      <c r="KO158" s="1"/>
      <c r="KP158" s="1"/>
      <c r="KQ158" s="1"/>
      <c r="KR158" s="1"/>
      <c r="KS158" s="1"/>
      <c r="KT158" s="1"/>
      <c r="KU158" s="1"/>
      <c r="KV158" s="1"/>
      <c r="KW158" s="1"/>
      <c r="KX158" s="1"/>
      <c r="KY158" s="1"/>
      <c r="KZ158" s="1"/>
      <c r="LA158" s="1"/>
      <c r="LB158" s="1"/>
      <c r="LC158" s="1"/>
      <c r="LD158" s="1"/>
      <c r="LE158" s="1"/>
      <c r="LF158" s="1"/>
      <c r="LG158" s="1"/>
      <c r="LH158" s="1"/>
      <c r="LI158" s="1"/>
      <c r="LJ158" s="1"/>
      <c r="LK158" s="1"/>
      <c r="LL158" s="1"/>
      <c r="LM158" s="1"/>
      <c r="LN158" s="1"/>
      <c r="LO158" s="1"/>
      <c r="LP158" s="1"/>
      <c r="LQ158" s="1"/>
      <c r="LR158" s="1"/>
      <c r="LS158" s="1"/>
    </row>
    <row r="159" spans="1:331" s="59" customFormat="1" x14ac:dyDescent="0.25">
      <c r="A159" s="59" t="s">
        <v>657</v>
      </c>
      <c r="B159" s="61" t="s">
        <v>658</v>
      </c>
      <c r="C159" s="94" t="s">
        <v>1648</v>
      </c>
      <c r="D159" s="59">
        <v>0</v>
      </c>
      <c r="H159" s="59" t="s">
        <v>659</v>
      </c>
      <c r="I159" s="59" t="s">
        <v>660</v>
      </c>
      <c r="J159" s="59" t="s">
        <v>659</v>
      </c>
      <c r="K159" s="59" t="s">
        <v>1686</v>
      </c>
      <c r="L159" s="59">
        <v>1</v>
      </c>
      <c r="M159" s="59" t="s">
        <v>661</v>
      </c>
      <c r="O159" s="59">
        <v>1</v>
      </c>
      <c r="Q159" s="96"/>
      <c r="R159" s="96" t="s">
        <v>662</v>
      </c>
      <c r="T159" s="59">
        <v>22</v>
      </c>
      <c r="V159" s="59">
        <v>20</v>
      </c>
      <c r="W159" s="96">
        <v>22</v>
      </c>
      <c r="X159" s="96"/>
      <c r="Y159" s="96"/>
      <c r="Z159" s="59">
        <v>11</v>
      </c>
      <c r="AA159" s="94" t="b">
        <v>1</v>
      </c>
      <c r="AB159" s="1"/>
      <c r="AC159" s="57" t="s">
        <v>1369</v>
      </c>
      <c r="AD159" s="1"/>
      <c r="AE159" s="57"/>
      <c r="AF159" s="1"/>
      <c r="AG159" s="1"/>
      <c r="AH159" s="1"/>
      <c r="AI159" s="1"/>
      <c r="AJ159" s="1"/>
      <c r="AK159" s="1"/>
      <c r="AL159" s="1"/>
      <c r="AM159" s="1"/>
      <c r="AN159" s="1"/>
      <c r="AO159" s="1"/>
      <c r="AP159" s="1"/>
      <c r="AQ159" s="1"/>
      <c r="AR159" s="1"/>
      <c r="AS159" s="1"/>
      <c r="AT159" s="1"/>
      <c r="AU159" s="1"/>
      <c r="AV159" s="1"/>
      <c r="AW159" s="1"/>
      <c r="AX159" s="1"/>
      <c r="AY159" s="1"/>
      <c r="AZ159" s="1"/>
      <c r="BA159" s="1"/>
      <c r="BB159" s="1"/>
      <c r="BC159" s="1"/>
      <c r="BD159" s="1"/>
      <c r="BE159" s="1"/>
      <c r="BF159" s="1"/>
      <c r="BG159" s="1"/>
      <c r="BH159" s="1"/>
      <c r="BI159" s="1"/>
      <c r="BJ159" s="1"/>
      <c r="BK159" s="1"/>
      <c r="BL159" s="1"/>
      <c r="BM159" s="1"/>
      <c r="BN159" s="1"/>
      <c r="BO159" s="1"/>
      <c r="BP159" s="1"/>
      <c r="BQ159" s="1"/>
      <c r="BR159" s="1"/>
      <c r="BS159" s="1"/>
      <c r="BT159" s="1"/>
      <c r="BU159" s="1"/>
      <c r="BV159" s="1"/>
      <c r="BW159" s="1"/>
      <c r="BX159" s="1"/>
      <c r="BY159" s="1"/>
      <c r="BZ159" s="1"/>
      <c r="CA159" s="1"/>
      <c r="CB159" s="1"/>
      <c r="CC159" s="1"/>
      <c r="CD159" s="1"/>
      <c r="CE159" s="1"/>
      <c r="CF159" s="1"/>
      <c r="CG159" s="1"/>
      <c r="CH159" s="1"/>
      <c r="CI159" s="1"/>
      <c r="CJ159" s="1"/>
      <c r="CK159" s="1"/>
      <c r="CL159" s="1"/>
      <c r="CM159" s="1"/>
      <c r="CN159" s="1"/>
      <c r="CO159" s="1"/>
      <c r="CP159" s="1"/>
      <c r="CQ159" s="1"/>
      <c r="CR159" s="1"/>
      <c r="CS159" s="1"/>
      <c r="CT159" s="1"/>
      <c r="CU159" s="1"/>
      <c r="CV159" s="1"/>
      <c r="CW159" s="1"/>
      <c r="CX159" s="1"/>
      <c r="CY159" s="1"/>
      <c r="CZ159" s="1"/>
      <c r="DA159" s="1"/>
      <c r="DB159" s="1"/>
      <c r="DC159" s="1"/>
      <c r="DD159" s="1"/>
      <c r="DE159" s="1"/>
      <c r="DF159" s="1"/>
      <c r="DG159" s="1"/>
      <c r="DH159" s="1"/>
      <c r="DI159" s="1"/>
      <c r="DJ159" s="1"/>
      <c r="DK159" s="1"/>
      <c r="DL159" s="1"/>
      <c r="DM159" s="1"/>
      <c r="DN159" s="1"/>
      <c r="DO159" s="1"/>
      <c r="DP159" s="1"/>
      <c r="DQ159" s="1"/>
      <c r="DR159" s="1"/>
      <c r="DS159" s="1"/>
      <c r="DT159" s="1"/>
      <c r="DU159" s="1"/>
      <c r="DV159" s="1"/>
      <c r="DW159" s="1"/>
      <c r="DX159" s="1"/>
      <c r="DY159" s="1"/>
      <c r="DZ159" s="1"/>
      <c r="EA159" s="1"/>
      <c r="EB159" s="1"/>
      <c r="EC159" s="1"/>
      <c r="ED159" s="1"/>
      <c r="EE159" s="1"/>
      <c r="EF159" s="1"/>
      <c r="EG159" s="1"/>
      <c r="EH159" s="1"/>
      <c r="EI159" s="1"/>
      <c r="EJ159" s="1"/>
      <c r="EK159" s="1"/>
      <c r="EL159" s="1"/>
      <c r="EM159" s="1"/>
      <c r="EN159" s="1"/>
      <c r="EO159" s="1"/>
      <c r="EP159" s="1"/>
      <c r="EQ159" s="1"/>
      <c r="ER159" s="1"/>
      <c r="ES159" s="1"/>
      <c r="ET159" s="1"/>
      <c r="EU159" s="1"/>
      <c r="EV159" s="1"/>
      <c r="EW159" s="1"/>
      <c r="EX159" s="1"/>
      <c r="EY159" s="1"/>
      <c r="EZ159" s="1"/>
      <c r="FA159" s="1"/>
      <c r="FB159" s="1"/>
      <c r="FC159" s="1"/>
      <c r="FD159" s="1"/>
      <c r="FE159" s="1"/>
      <c r="FF159" s="1"/>
      <c r="FG159" s="1"/>
      <c r="FH159" s="1"/>
      <c r="FI159" s="1"/>
      <c r="FJ159" s="1"/>
      <c r="FK159" s="1"/>
      <c r="FL159" s="1"/>
      <c r="FM159" s="1"/>
      <c r="FN159" s="1"/>
      <c r="FO159" s="1"/>
      <c r="FP159" s="1"/>
      <c r="FQ159" s="1"/>
      <c r="FR159" s="1"/>
      <c r="FS159" s="1"/>
      <c r="FT159" s="1"/>
      <c r="FU159" s="1"/>
      <c r="FV159" s="1"/>
      <c r="FW159" s="1"/>
      <c r="FX159" s="1"/>
      <c r="FY159" s="1"/>
      <c r="FZ159" s="1"/>
      <c r="GA159" s="1"/>
      <c r="GB159" s="1"/>
      <c r="GC159" s="1"/>
      <c r="GD159" s="1"/>
      <c r="GE159" s="1"/>
      <c r="GF159" s="1"/>
      <c r="GG159" s="1"/>
      <c r="GH159" s="1"/>
      <c r="GI159" s="1"/>
      <c r="GJ159" s="1"/>
      <c r="GK159" s="1"/>
      <c r="GL159" s="1"/>
      <c r="GM159" s="1"/>
      <c r="GN159" s="1"/>
      <c r="GO159" s="1"/>
      <c r="GP159" s="1"/>
      <c r="GQ159" s="1"/>
      <c r="GR159" s="1"/>
      <c r="GS159" s="1"/>
      <c r="GT159" s="1"/>
      <c r="GU159" s="1"/>
      <c r="GV159" s="1"/>
      <c r="GW159" s="1"/>
      <c r="GX159" s="1"/>
      <c r="GY159" s="1"/>
      <c r="GZ159" s="1"/>
      <c r="HA159" s="1"/>
      <c r="HB159" s="1"/>
      <c r="HC159" s="1"/>
      <c r="HD159" s="1"/>
      <c r="HE159" s="1"/>
      <c r="HF159" s="1"/>
      <c r="HG159" s="1"/>
      <c r="HH159" s="1"/>
      <c r="HI159" s="1"/>
      <c r="HJ159" s="1"/>
      <c r="HK159" s="1"/>
      <c r="HL159" s="1"/>
      <c r="HM159" s="1"/>
      <c r="HN159" s="1"/>
      <c r="HO159" s="1"/>
      <c r="HP159" s="1"/>
      <c r="HQ159" s="1"/>
      <c r="HR159" s="1"/>
      <c r="HS159" s="1"/>
      <c r="HT159" s="1"/>
      <c r="HU159" s="1"/>
      <c r="HV159" s="1"/>
      <c r="HW159" s="1"/>
      <c r="HX159" s="1"/>
      <c r="HY159" s="1"/>
      <c r="HZ159" s="1"/>
      <c r="IA159" s="1"/>
      <c r="IB159" s="1"/>
      <c r="IC159" s="1"/>
      <c r="ID159" s="1"/>
      <c r="IE159" s="1"/>
      <c r="IF159" s="1"/>
      <c r="IG159" s="1"/>
      <c r="IH159" s="1"/>
      <c r="II159" s="1"/>
      <c r="IJ159" s="1"/>
      <c r="IK159" s="1"/>
      <c r="IL159" s="1"/>
      <c r="IM159" s="1"/>
      <c r="IN159" s="1"/>
      <c r="IO159" s="1"/>
      <c r="IP159" s="1"/>
      <c r="IQ159" s="1"/>
      <c r="IR159" s="1"/>
      <c r="IS159" s="1"/>
      <c r="IT159" s="1"/>
      <c r="IU159" s="1"/>
      <c r="IV159" s="1"/>
      <c r="IW159" s="1"/>
      <c r="IX159" s="1"/>
      <c r="IY159" s="1"/>
      <c r="IZ159" s="1"/>
      <c r="JA159" s="1"/>
      <c r="JB159" s="1"/>
      <c r="JC159" s="1"/>
      <c r="JD159" s="1"/>
      <c r="JE159" s="1"/>
      <c r="JF159" s="1"/>
      <c r="JG159" s="1"/>
      <c r="JH159" s="1"/>
      <c r="JI159" s="1"/>
      <c r="JJ159" s="1"/>
      <c r="JK159" s="1"/>
      <c r="JL159" s="1"/>
      <c r="JM159" s="1"/>
      <c r="JN159" s="1"/>
      <c r="JO159" s="1"/>
      <c r="JP159" s="1"/>
      <c r="JQ159" s="1"/>
      <c r="JR159" s="1"/>
      <c r="JS159" s="1"/>
      <c r="JT159" s="1"/>
      <c r="JU159" s="1"/>
      <c r="JV159" s="1"/>
      <c r="JW159" s="1"/>
      <c r="JX159" s="1"/>
      <c r="JY159" s="1"/>
      <c r="JZ159" s="1"/>
      <c r="KA159" s="1"/>
      <c r="KB159" s="1"/>
      <c r="KC159" s="1"/>
      <c r="KD159" s="1"/>
      <c r="KE159" s="1"/>
      <c r="KF159" s="1"/>
      <c r="KG159" s="1"/>
      <c r="KH159" s="1"/>
      <c r="KI159" s="1"/>
      <c r="KJ159" s="1"/>
      <c r="KK159" s="1"/>
      <c r="KL159" s="1"/>
      <c r="KM159" s="1"/>
      <c r="KN159" s="1"/>
      <c r="KO159" s="1"/>
      <c r="KP159" s="1"/>
      <c r="KQ159" s="1"/>
      <c r="KR159" s="1"/>
      <c r="KS159" s="1"/>
      <c r="KT159" s="1"/>
      <c r="KU159" s="1"/>
      <c r="KV159" s="1"/>
      <c r="KW159" s="1"/>
      <c r="KX159" s="1"/>
      <c r="KY159" s="1"/>
      <c r="KZ159" s="1"/>
      <c r="LA159" s="1"/>
      <c r="LB159" s="1"/>
      <c r="LC159" s="1"/>
      <c r="LD159" s="1"/>
      <c r="LE159" s="1"/>
      <c r="LF159" s="1"/>
      <c r="LG159" s="1"/>
      <c r="LH159" s="1"/>
      <c r="LI159" s="1"/>
      <c r="LJ159" s="1"/>
      <c r="LK159" s="1"/>
      <c r="LL159" s="1"/>
      <c r="LM159" s="1"/>
      <c r="LN159" s="1"/>
      <c r="LO159" s="1"/>
      <c r="LP159" s="1"/>
      <c r="LQ159" s="1"/>
      <c r="LR159" s="1"/>
      <c r="LS159" s="1"/>
    </row>
    <row r="160" spans="1:331" s="25" customFormat="1" x14ac:dyDescent="0.25">
      <c r="A160" s="25" t="s">
        <v>663</v>
      </c>
      <c r="B160" s="29" t="s">
        <v>664</v>
      </c>
      <c r="C160" s="94" t="s">
        <v>1648</v>
      </c>
      <c r="D160" s="25">
        <v>0</v>
      </c>
      <c r="H160" s="25" t="s">
        <v>665</v>
      </c>
      <c r="I160" s="25" t="s">
        <v>227</v>
      </c>
      <c r="J160" s="25" t="s">
        <v>665</v>
      </c>
      <c r="K160" s="25" t="s">
        <v>227</v>
      </c>
      <c r="L160" s="25">
        <v>0</v>
      </c>
      <c r="O160" s="25">
        <v>1</v>
      </c>
      <c r="Q160" s="96" t="s">
        <v>226</v>
      </c>
      <c r="R160" s="96"/>
      <c r="T160" s="25">
        <v>11</v>
      </c>
      <c r="V160" s="25">
        <v>11</v>
      </c>
      <c r="W160" s="96">
        <v>11</v>
      </c>
      <c r="X160" s="96"/>
      <c r="Y160" s="96"/>
      <c r="Z160" s="25">
        <v>5</v>
      </c>
      <c r="AA160" s="94" t="b">
        <v>1</v>
      </c>
      <c r="AB160" s="1"/>
      <c r="AC160" s="57" t="s">
        <v>1355</v>
      </c>
      <c r="AD160" s="1"/>
      <c r="AE160" s="57"/>
      <c r="AF160" s="1"/>
      <c r="AG160" s="1"/>
      <c r="AH160" s="1"/>
      <c r="AI160" s="1"/>
      <c r="AJ160" s="1"/>
      <c r="AK160" s="1"/>
      <c r="AL160" s="1"/>
      <c r="AM160" s="1"/>
      <c r="AN160" s="1"/>
      <c r="AO160" s="1"/>
      <c r="AP160" s="1"/>
      <c r="AQ160" s="1"/>
      <c r="AR160" s="1"/>
      <c r="AS160" s="1"/>
      <c r="AT160" s="1"/>
      <c r="AU160" s="1"/>
      <c r="AV160" s="1"/>
      <c r="AW160" s="1"/>
      <c r="AX160" s="1"/>
      <c r="AY160" s="1"/>
      <c r="AZ160" s="1"/>
      <c r="BA160" s="1"/>
      <c r="BB160" s="1"/>
      <c r="BC160" s="1"/>
      <c r="BD160" s="1"/>
      <c r="BE160" s="1"/>
      <c r="BF160" s="1"/>
      <c r="BG160" s="1"/>
      <c r="BH160" s="1"/>
      <c r="BI160" s="1"/>
      <c r="BJ160" s="1"/>
      <c r="BK160" s="1"/>
      <c r="BL160" s="1"/>
      <c r="BM160" s="1"/>
      <c r="BN160" s="1"/>
      <c r="BO160" s="1"/>
      <c r="BP160" s="1"/>
      <c r="BQ160" s="1"/>
      <c r="BR160" s="1"/>
      <c r="BS160" s="1"/>
      <c r="BT160" s="1"/>
      <c r="BU160" s="1"/>
      <c r="BV160" s="1"/>
      <c r="BW160" s="1"/>
      <c r="BX160" s="1"/>
      <c r="BY160" s="1"/>
      <c r="BZ160" s="1"/>
      <c r="CA160" s="1"/>
      <c r="CB160" s="1"/>
      <c r="CC160" s="1"/>
      <c r="CD160" s="1"/>
      <c r="CE160" s="1"/>
      <c r="CF160" s="1"/>
      <c r="CG160" s="1"/>
      <c r="CH160" s="1"/>
      <c r="CI160" s="1"/>
      <c r="CJ160" s="1"/>
      <c r="CK160" s="1"/>
      <c r="CL160" s="1"/>
      <c r="CM160" s="1"/>
      <c r="CN160" s="1"/>
      <c r="CO160" s="1"/>
      <c r="CP160" s="1"/>
      <c r="CQ160" s="1"/>
      <c r="CR160" s="1"/>
      <c r="CS160" s="1"/>
      <c r="CT160" s="1"/>
      <c r="CU160" s="1"/>
      <c r="CV160" s="1"/>
      <c r="CW160" s="1"/>
      <c r="CX160" s="1"/>
      <c r="CY160" s="1"/>
      <c r="CZ160" s="1"/>
      <c r="DA160" s="1"/>
      <c r="DB160" s="1"/>
      <c r="DC160" s="1"/>
      <c r="DD160" s="1"/>
      <c r="DE160" s="1"/>
      <c r="DF160" s="1"/>
      <c r="DG160" s="1"/>
      <c r="DH160" s="1"/>
      <c r="DI160" s="1"/>
      <c r="DJ160" s="1"/>
      <c r="DK160" s="1"/>
      <c r="DL160" s="1"/>
      <c r="DM160" s="1"/>
      <c r="DN160" s="1"/>
      <c r="DO160" s="1"/>
      <c r="DP160" s="1"/>
      <c r="DQ160" s="1"/>
      <c r="DR160" s="1"/>
      <c r="DS160" s="1"/>
      <c r="DT160" s="1"/>
      <c r="DU160" s="1"/>
      <c r="DV160" s="1"/>
      <c r="DW160" s="1"/>
      <c r="DX160" s="1"/>
      <c r="DY160" s="1"/>
      <c r="DZ160" s="1"/>
      <c r="EA160" s="1"/>
      <c r="EB160" s="1"/>
      <c r="EC160" s="1"/>
      <c r="ED160" s="1"/>
      <c r="EE160" s="1"/>
      <c r="EF160" s="1"/>
      <c r="EG160" s="1"/>
      <c r="EH160" s="1"/>
      <c r="EI160" s="1"/>
      <c r="EJ160" s="1"/>
      <c r="EK160" s="1"/>
      <c r="EL160" s="1"/>
      <c r="EM160" s="1"/>
      <c r="EN160" s="1"/>
      <c r="EO160" s="1"/>
      <c r="EP160" s="1"/>
      <c r="EQ160" s="1"/>
      <c r="ER160" s="1"/>
      <c r="ES160" s="1"/>
      <c r="ET160" s="1"/>
      <c r="EU160" s="1"/>
      <c r="EV160" s="1"/>
      <c r="EW160" s="1"/>
      <c r="EX160" s="1"/>
      <c r="EY160" s="1"/>
      <c r="EZ160" s="1"/>
      <c r="FA160" s="1"/>
      <c r="FB160" s="1"/>
      <c r="FC160" s="1"/>
      <c r="FD160" s="1"/>
      <c r="FE160" s="1"/>
      <c r="FF160" s="1"/>
      <c r="FG160" s="1"/>
      <c r="FH160" s="1"/>
      <c r="FI160" s="1"/>
      <c r="FJ160" s="1"/>
      <c r="FK160" s="1"/>
      <c r="FL160" s="1"/>
      <c r="FM160" s="1"/>
      <c r="FN160" s="1"/>
      <c r="FO160" s="1"/>
      <c r="FP160" s="1"/>
      <c r="FQ160" s="1"/>
      <c r="FR160" s="1"/>
      <c r="FS160" s="1"/>
      <c r="FT160" s="1"/>
      <c r="FU160" s="1"/>
      <c r="FV160" s="1"/>
      <c r="FW160" s="1"/>
      <c r="FX160" s="1"/>
      <c r="FY160" s="1"/>
      <c r="FZ160" s="1"/>
      <c r="GA160" s="1"/>
      <c r="GB160" s="1"/>
      <c r="GC160" s="1"/>
      <c r="GD160" s="1"/>
      <c r="GE160" s="1"/>
      <c r="GF160" s="1"/>
      <c r="GG160" s="1"/>
      <c r="GH160" s="1"/>
      <c r="GI160" s="1"/>
      <c r="GJ160" s="1"/>
      <c r="GK160" s="1"/>
      <c r="GL160" s="1"/>
      <c r="GM160" s="1"/>
      <c r="GN160" s="1"/>
      <c r="GO160" s="1"/>
      <c r="GP160" s="1"/>
      <c r="GQ160" s="1"/>
      <c r="GR160" s="1"/>
      <c r="GS160" s="1"/>
      <c r="GT160" s="1"/>
      <c r="GU160" s="1"/>
      <c r="GV160" s="1"/>
      <c r="GW160" s="1"/>
      <c r="GX160" s="1"/>
      <c r="GY160" s="1"/>
      <c r="GZ160" s="1"/>
      <c r="HA160" s="1"/>
      <c r="HB160" s="1"/>
      <c r="HC160" s="1"/>
      <c r="HD160" s="1"/>
      <c r="HE160" s="1"/>
      <c r="HF160" s="1"/>
      <c r="HG160" s="1"/>
      <c r="HH160" s="1"/>
      <c r="HI160" s="1"/>
      <c r="HJ160" s="1"/>
      <c r="HK160" s="1"/>
      <c r="HL160" s="1"/>
      <c r="HM160" s="1"/>
      <c r="HN160" s="1"/>
      <c r="HO160" s="1"/>
      <c r="HP160" s="1"/>
      <c r="HQ160" s="1"/>
      <c r="HR160" s="1"/>
      <c r="HS160" s="1"/>
      <c r="HT160" s="1"/>
      <c r="HU160" s="1"/>
      <c r="HV160" s="1"/>
      <c r="HW160" s="1"/>
      <c r="HX160" s="1"/>
      <c r="HY160" s="1"/>
      <c r="HZ160" s="1"/>
      <c r="IA160" s="1"/>
      <c r="IB160" s="1"/>
      <c r="IC160" s="1"/>
      <c r="ID160" s="1"/>
      <c r="IE160" s="1"/>
      <c r="IF160" s="1"/>
      <c r="IG160" s="1"/>
      <c r="IH160" s="1"/>
      <c r="II160" s="1"/>
      <c r="IJ160" s="1"/>
      <c r="IK160" s="1"/>
      <c r="IL160" s="1"/>
      <c r="IM160" s="1"/>
      <c r="IN160" s="1"/>
      <c r="IO160" s="1"/>
      <c r="IP160" s="1"/>
      <c r="IQ160" s="1"/>
      <c r="IR160" s="1"/>
      <c r="IS160" s="1"/>
      <c r="IT160" s="1"/>
      <c r="IU160" s="1"/>
      <c r="IV160" s="1"/>
      <c r="IW160" s="1"/>
      <c r="IX160" s="1"/>
      <c r="IY160" s="1"/>
      <c r="IZ160" s="1"/>
      <c r="JA160" s="1"/>
      <c r="JB160" s="1"/>
      <c r="JC160" s="1"/>
      <c r="JD160" s="1"/>
      <c r="JE160" s="1"/>
      <c r="JF160" s="1"/>
      <c r="JG160" s="1"/>
      <c r="JH160" s="1"/>
      <c r="JI160" s="1"/>
      <c r="JJ160" s="1"/>
      <c r="JK160" s="1"/>
      <c r="JL160" s="1"/>
      <c r="JM160" s="1"/>
      <c r="JN160" s="1"/>
      <c r="JO160" s="1"/>
      <c r="JP160" s="1"/>
      <c r="JQ160" s="1"/>
      <c r="JR160" s="1"/>
      <c r="JS160" s="1"/>
      <c r="JT160" s="1"/>
      <c r="JU160" s="1"/>
      <c r="JV160" s="1"/>
      <c r="JW160" s="1"/>
      <c r="JX160" s="1"/>
      <c r="JY160" s="1"/>
      <c r="JZ160" s="1"/>
      <c r="KA160" s="1"/>
      <c r="KB160" s="1"/>
      <c r="KC160" s="1"/>
      <c r="KD160" s="1"/>
      <c r="KE160" s="1"/>
      <c r="KF160" s="1"/>
      <c r="KG160" s="1"/>
      <c r="KH160" s="1"/>
      <c r="KI160" s="1"/>
      <c r="KJ160" s="1"/>
      <c r="KK160" s="1"/>
      <c r="KL160" s="1"/>
      <c r="KM160" s="1"/>
      <c r="KN160" s="1"/>
      <c r="KO160" s="1"/>
      <c r="KP160" s="1"/>
      <c r="KQ160" s="1"/>
      <c r="KR160" s="1"/>
      <c r="KS160" s="1"/>
      <c r="KT160" s="1"/>
      <c r="KU160" s="1"/>
      <c r="KV160" s="1"/>
      <c r="KW160" s="1"/>
      <c r="KX160" s="1"/>
      <c r="KY160" s="1"/>
      <c r="KZ160" s="1"/>
      <c r="LA160" s="1"/>
      <c r="LB160" s="1"/>
      <c r="LC160" s="1"/>
      <c r="LD160" s="1"/>
      <c r="LE160" s="1"/>
      <c r="LF160" s="1"/>
      <c r="LG160" s="1"/>
      <c r="LH160" s="1"/>
      <c r="LI160" s="1"/>
      <c r="LJ160" s="1"/>
      <c r="LK160" s="1"/>
      <c r="LL160" s="1"/>
      <c r="LM160" s="1"/>
      <c r="LN160" s="1"/>
      <c r="LO160" s="1"/>
      <c r="LP160" s="1"/>
      <c r="LQ160" s="1"/>
      <c r="LR160" s="1"/>
      <c r="LS160" s="1"/>
    </row>
    <row r="161" spans="1:331" s="35" customFormat="1" x14ac:dyDescent="0.25">
      <c r="A161" s="35" t="s">
        <v>666</v>
      </c>
      <c r="B161" s="39" t="s">
        <v>667</v>
      </c>
      <c r="C161" s="94" t="s">
        <v>1648</v>
      </c>
      <c r="D161" s="35">
        <v>1</v>
      </c>
      <c r="E161" s="35" t="s">
        <v>446</v>
      </c>
      <c r="H161" s="35" t="s">
        <v>668</v>
      </c>
      <c r="I161" s="35" t="s">
        <v>446</v>
      </c>
      <c r="J161" s="35" t="s">
        <v>669</v>
      </c>
      <c r="K161" s="35" t="s">
        <v>1687</v>
      </c>
      <c r="L161" s="35">
        <v>0</v>
      </c>
      <c r="O161" s="35">
        <v>1</v>
      </c>
      <c r="Q161" s="96"/>
      <c r="R161" s="96" t="s">
        <v>670</v>
      </c>
      <c r="S161" s="35">
        <v>9</v>
      </c>
      <c r="U161" s="35">
        <v>8</v>
      </c>
      <c r="W161" s="96">
        <v>9</v>
      </c>
      <c r="X161" s="96"/>
      <c r="Y161" s="96"/>
      <c r="Z161" s="35">
        <v>7</v>
      </c>
      <c r="AA161" s="94" t="b">
        <v>1</v>
      </c>
      <c r="AB161" s="1"/>
      <c r="AC161" s="57" t="s">
        <v>1417</v>
      </c>
      <c r="AD161" s="1"/>
      <c r="AE161" s="57"/>
      <c r="AF161" s="1"/>
      <c r="AG161" s="1"/>
      <c r="AH161" s="1"/>
      <c r="AI161" s="1"/>
      <c r="AJ161" s="1"/>
      <c r="AK161" s="1"/>
      <c r="AL161" s="1"/>
      <c r="AM161" s="1"/>
      <c r="AN161" s="1"/>
      <c r="AO161" s="1"/>
      <c r="AP161" s="1"/>
      <c r="AQ161" s="1"/>
      <c r="AR161" s="1"/>
      <c r="AS161" s="1"/>
      <c r="AT161" s="1"/>
      <c r="AU161" s="1"/>
      <c r="AV161" s="1"/>
      <c r="AW161" s="1"/>
      <c r="AX161" s="1"/>
      <c r="AY161" s="1"/>
      <c r="AZ161" s="1"/>
      <c r="BA161" s="1"/>
      <c r="BB161" s="1"/>
      <c r="BC161" s="1"/>
      <c r="BD161" s="1"/>
      <c r="BE161" s="1"/>
      <c r="BF161" s="1"/>
      <c r="BG161" s="1"/>
      <c r="BH161" s="1"/>
      <c r="BI161" s="1"/>
      <c r="BJ161" s="1"/>
      <c r="BK161" s="1"/>
      <c r="BL161" s="1"/>
      <c r="BM161" s="1"/>
      <c r="BN161" s="1"/>
      <c r="BO161" s="1"/>
      <c r="BP161" s="1"/>
      <c r="BQ161" s="1"/>
      <c r="BR161" s="1"/>
      <c r="BS161" s="1"/>
      <c r="BT161" s="1"/>
      <c r="BU161" s="1"/>
      <c r="BV161" s="1"/>
      <c r="BW161" s="1"/>
      <c r="BX161" s="1"/>
      <c r="BY161" s="1"/>
      <c r="BZ161" s="1"/>
      <c r="CA161" s="1"/>
      <c r="CB161" s="1"/>
      <c r="CC161" s="1"/>
      <c r="CD161" s="1"/>
      <c r="CE161" s="1"/>
      <c r="CF161" s="1"/>
      <c r="CG161" s="1"/>
      <c r="CH161" s="1"/>
      <c r="CI161" s="1"/>
      <c r="CJ161" s="1"/>
      <c r="CK161" s="1"/>
      <c r="CL161" s="1"/>
      <c r="CM161" s="1"/>
      <c r="CN161" s="1"/>
      <c r="CO161" s="1"/>
      <c r="CP161" s="1"/>
      <c r="CQ161" s="1"/>
      <c r="CR161" s="1"/>
      <c r="CS161" s="1"/>
      <c r="CT161" s="1"/>
      <c r="CU161" s="1"/>
      <c r="CV161" s="1"/>
      <c r="CW161" s="1"/>
      <c r="CX161" s="1"/>
      <c r="CY161" s="1"/>
      <c r="CZ161" s="1"/>
      <c r="DA161" s="1"/>
      <c r="DB161" s="1"/>
      <c r="DC161" s="1"/>
      <c r="DD161" s="1"/>
      <c r="DE161" s="1"/>
      <c r="DF161" s="1"/>
      <c r="DG161" s="1"/>
      <c r="DH161" s="1"/>
      <c r="DI161" s="1"/>
      <c r="DJ161" s="1"/>
      <c r="DK161" s="1"/>
      <c r="DL161" s="1"/>
      <c r="DM161" s="1"/>
      <c r="DN161" s="1"/>
      <c r="DO161" s="1"/>
      <c r="DP161" s="1"/>
      <c r="DQ161" s="1"/>
      <c r="DR161" s="1"/>
      <c r="DS161" s="1"/>
      <c r="DT161" s="1"/>
      <c r="DU161" s="1"/>
      <c r="DV161" s="1"/>
      <c r="DW161" s="1"/>
      <c r="DX161" s="1"/>
      <c r="DY161" s="1"/>
      <c r="DZ161" s="1"/>
      <c r="EA161" s="1"/>
      <c r="EB161" s="1"/>
      <c r="EC161" s="1"/>
      <c r="ED161" s="1"/>
      <c r="EE161" s="1"/>
      <c r="EF161" s="1"/>
      <c r="EG161" s="1"/>
      <c r="EH161" s="1"/>
      <c r="EI161" s="1"/>
      <c r="EJ161" s="1"/>
      <c r="EK161" s="1"/>
      <c r="EL161" s="1"/>
      <c r="EM161" s="1"/>
      <c r="EN161" s="1"/>
      <c r="EO161" s="1"/>
      <c r="EP161" s="1"/>
      <c r="EQ161" s="1"/>
      <c r="ER161" s="1"/>
      <c r="ES161" s="1"/>
      <c r="ET161" s="1"/>
      <c r="EU161" s="1"/>
      <c r="EV161" s="1"/>
      <c r="EW161" s="1"/>
      <c r="EX161" s="1"/>
      <c r="EY161" s="1"/>
      <c r="EZ161" s="1"/>
      <c r="FA161" s="1"/>
      <c r="FB161" s="1"/>
      <c r="FC161" s="1"/>
      <c r="FD161" s="1"/>
      <c r="FE161" s="1"/>
      <c r="FF161" s="1"/>
      <c r="FG161" s="1"/>
      <c r="FH161" s="1"/>
      <c r="FI161" s="1"/>
      <c r="FJ161" s="1"/>
      <c r="FK161" s="1"/>
      <c r="FL161" s="1"/>
      <c r="FM161" s="1"/>
      <c r="FN161" s="1"/>
      <c r="FO161" s="1"/>
      <c r="FP161" s="1"/>
      <c r="FQ161" s="1"/>
      <c r="FR161" s="1"/>
      <c r="FS161" s="1"/>
      <c r="FT161" s="1"/>
      <c r="FU161" s="1"/>
      <c r="FV161" s="1"/>
      <c r="FW161" s="1"/>
      <c r="FX161" s="1"/>
      <c r="FY161" s="1"/>
      <c r="FZ161" s="1"/>
      <c r="GA161" s="1"/>
      <c r="GB161" s="1"/>
      <c r="GC161" s="1"/>
      <c r="GD161" s="1"/>
      <c r="GE161" s="1"/>
      <c r="GF161" s="1"/>
      <c r="GG161" s="1"/>
      <c r="GH161" s="1"/>
      <c r="GI161" s="1"/>
      <c r="GJ161" s="1"/>
      <c r="GK161" s="1"/>
      <c r="GL161" s="1"/>
      <c r="GM161" s="1"/>
      <c r="GN161" s="1"/>
      <c r="GO161" s="1"/>
      <c r="GP161" s="1"/>
      <c r="GQ161" s="1"/>
      <c r="GR161" s="1"/>
      <c r="GS161" s="1"/>
      <c r="GT161" s="1"/>
      <c r="GU161" s="1"/>
      <c r="GV161" s="1"/>
      <c r="GW161" s="1"/>
      <c r="GX161" s="1"/>
      <c r="GY161" s="1"/>
      <c r="GZ161" s="1"/>
      <c r="HA161" s="1"/>
      <c r="HB161" s="1"/>
      <c r="HC161" s="1"/>
      <c r="HD161" s="1"/>
      <c r="HE161" s="1"/>
      <c r="HF161" s="1"/>
      <c r="HG161" s="1"/>
      <c r="HH161" s="1"/>
      <c r="HI161" s="1"/>
      <c r="HJ161" s="1"/>
      <c r="HK161" s="1"/>
      <c r="HL161" s="1"/>
      <c r="HM161" s="1"/>
      <c r="HN161" s="1"/>
      <c r="HO161" s="1"/>
      <c r="HP161" s="1"/>
      <c r="HQ161" s="1"/>
      <c r="HR161" s="1"/>
      <c r="HS161" s="1"/>
      <c r="HT161" s="1"/>
      <c r="HU161" s="1"/>
      <c r="HV161" s="1"/>
      <c r="HW161" s="1"/>
      <c r="HX161" s="1"/>
      <c r="HY161" s="1"/>
      <c r="HZ161" s="1"/>
      <c r="IA161" s="1"/>
      <c r="IB161" s="1"/>
      <c r="IC161" s="1"/>
      <c r="ID161" s="1"/>
      <c r="IE161" s="1"/>
      <c r="IF161" s="1"/>
      <c r="IG161" s="1"/>
      <c r="IH161" s="1"/>
      <c r="II161" s="1"/>
      <c r="IJ161" s="1"/>
      <c r="IK161" s="1"/>
      <c r="IL161" s="1"/>
      <c r="IM161" s="1"/>
      <c r="IN161" s="1"/>
      <c r="IO161" s="1"/>
      <c r="IP161" s="1"/>
      <c r="IQ161" s="1"/>
      <c r="IR161" s="1"/>
      <c r="IS161" s="1"/>
      <c r="IT161" s="1"/>
      <c r="IU161" s="1"/>
      <c r="IV161" s="1"/>
      <c r="IW161" s="1"/>
      <c r="IX161" s="1"/>
      <c r="IY161" s="1"/>
      <c r="IZ161" s="1"/>
      <c r="JA161" s="1"/>
      <c r="JB161" s="1"/>
      <c r="JC161" s="1"/>
      <c r="JD161" s="1"/>
      <c r="JE161" s="1"/>
      <c r="JF161" s="1"/>
      <c r="JG161" s="1"/>
      <c r="JH161" s="1"/>
      <c r="JI161" s="1"/>
      <c r="JJ161" s="1"/>
      <c r="JK161" s="1"/>
      <c r="JL161" s="1"/>
      <c r="JM161" s="1"/>
      <c r="JN161" s="1"/>
      <c r="JO161" s="1"/>
      <c r="JP161" s="1"/>
      <c r="JQ161" s="1"/>
      <c r="JR161" s="1"/>
      <c r="JS161" s="1"/>
      <c r="JT161" s="1"/>
      <c r="JU161" s="1"/>
      <c r="JV161" s="1"/>
      <c r="JW161" s="1"/>
      <c r="JX161" s="1"/>
      <c r="JY161" s="1"/>
      <c r="JZ161" s="1"/>
      <c r="KA161" s="1"/>
      <c r="KB161" s="1"/>
      <c r="KC161" s="1"/>
      <c r="KD161" s="1"/>
      <c r="KE161" s="1"/>
      <c r="KF161" s="1"/>
      <c r="KG161" s="1"/>
      <c r="KH161" s="1"/>
      <c r="KI161" s="1"/>
      <c r="KJ161" s="1"/>
      <c r="KK161" s="1"/>
      <c r="KL161" s="1"/>
      <c r="KM161" s="1"/>
      <c r="KN161" s="1"/>
      <c r="KO161" s="1"/>
      <c r="KP161" s="1"/>
      <c r="KQ161" s="1"/>
      <c r="KR161" s="1"/>
      <c r="KS161" s="1"/>
      <c r="KT161" s="1"/>
      <c r="KU161" s="1"/>
      <c r="KV161" s="1"/>
      <c r="KW161" s="1"/>
      <c r="KX161" s="1"/>
      <c r="KY161" s="1"/>
      <c r="KZ161" s="1"/>
      <c r="LA161" s="1"/>
      <c r="LB161" s="1"/>
      <c r="LC161" s="1"/>
      <c r="LD161" s="1"/>
      <c r="LE161" s="1"/>
      <c r="LF161" s="1"/>
      <c r="LG161" s="1"/>
      <c r="LH161" s="1"/>
      <c r="LI161" s="1"/>
      <c r="LJ161" s="1"/>
      <c r="LK161" s="1"/>
      <c r="LL161" s="1"/>
      <c r="LM161" s="1"/>
      <c r="LN161" s="1"/>
      <c r="LO161" s="1"/>
      <c r="LP161" s="1"/>
      <c r="LQ161" s="1"/>
      <c r="LR161" s="1"/>
      <c r="LS161" s="1"/>
    </row>
    <row r="162" spans="1:331" s="45" customFormat="1" x14ac:dyDescent="0.25">
      <c r="A162" s="45" t="s">
        <v>671</v>
      </c>
      <c r="C162" s="96" t="s">
        <v>1648</v>
      </c>
      <c r="D162" s="45">
        <v>0</v>
      </c>
      <c r="H162" s="45" t="s">
        <v>560</v>
      </c>
      <c r="I162" s="45" t="s">
        <v>561</v>
      </c>
      <c r="J162" s="45" t="s">
        <v>560</v>
      </c>
      <c r="K162" s="45" t="s">
        <v>561</v>
      </c>
      <c r="L162" s="45">
        <v>0</v>
      </c>
      <c r="O162" s="45">
        <v>1</v>
      </c>
      <c r="Q162" s="96" t="s">
        <v>651</v>
      </c>
      <c r="R162" s="96"/>
      <c r="T162" s="45">
        <v>19</v>
      </c>
      <c r="W162" s="96"/>
      <c r="X162" s="96"/>
      <c r="Y162" s="96"/>
      <c r="Z162" s="45">
        <v>-1</v>
      </c>
      <c r="AA162" s="94" t="b">
        <v>0</v>
      </c>
      <c r="AB162" s="1"/>
      <c r="AC162" s="57" t="s">
        <v>1233</v>
      </c>
      <c r="AD162" s="1"/>
      <c r="AE162" s="57"/>
      <c r="AF162" s="1"/>
      <c r="AG162" s="1"/>
      <c r="AH162" s="1"/>
      <c r="AI162" s="1"/>
      <c r="AJ162" s="1"/>
      <c r="AK162" s="1"/>
      <c r="AL162" s="1"/>
      <c r="AM162" s="1"/>
      <c r="AN162" s="1"/>
      <c r="AO162" s="1"/>
      <c r="AP162" s="1"/>
      <c r="AQ162" s="1"/>
      <c r="AR162" s="1"/>
      <c r="AS162" s="1"/>
      <c r="AT162" s="1"/>
      <c r="AU162" s="1"/>
      <c r="AV162" s="1"/>
      <c r="AW162" s="1"/>
      <c r="AX162" s="1"/>
      <c r="AY162" s="1"/>
      <c r="AZ162" s="1"/>
      <c r="BA162" s="1"/>
      <c r="BB162" s="1"/>
      <c r="BC162" s="1"/>
      <c r="BD162" s="1"/>
      <c r="BE162" s="1"/>
      <c r="BF162" s="1"/>
      <c r="BG162" s="1"/>
      <c r="BH162" s="1"/>
      <c r="BI162" s="1"/>
      <c r="BJ162" s="1"/>
      <c r="BK162" s="1"/>
      <c r="BL162" s="1"/>
      <c r="BM162" s="1"/>
      <c r="BN162" s="1"/>
      <c r="BO162" s="1"/>
      <c r="BP162" s="1"/>
      <c r="BQ162" s="1"/>
      <c r="BR162" s="1"/>
      <c r="BS162" s="1"/>
      <c r="BT162" s="1"/>
      <c r="BU162" s="1"/>
      <c r="BV162" s="1"/>
      <c r="BW162" s="1"/>
      <c r="BX162" s="1"/>
      <c r="BY162" s="1"/>
      <c r="BZ162" s="1"/>
      <c r="CA162" s="1"/>
      <c r="CB162" s="1"/>
      <c r="CC162" s="1"/>
      <c r="CD162" s="1"/>
      <c r="CE162" s="1"/>
      <c r="CF162" s="1"/>
      <c r="CG162" s="1"/>
      <c r="CH162" s="1"/>
      <c r="CI162" s="1"/>
      <c r="CJ162" s="1"/>
      <c r="CK162" s="1"/>
      <c r="CL162" s="1"/>
      <c r="CM162" s="1"/>
      <c r="CN162" s="1"/>
      <c r="CO162" s="1"/>
      <c r="CP162" s="1"/>
      <c r="CQ162" s="1"/>
      <c r="CR162" s="1"/>
      <c r="CS162" s="1"/>
      <c r="CT162" s="1"/>
      <c r="CU162" s="1"/>
      <c r="CV162" s="1"/>
      <c r="CW162" s="1"/>
      <c r="CX162" s="1"/>
      <c r="CY162" s="1"/>
      <c r="CZ162" s="1"/>
      <c r="DA162" s="1"/>
      <c r="DB162" s="1"/>
      <c r="DC162" s="1"/>
      <c r="DD162" s="1"/>
      <c r="DE162" s="1"/>
      <c r="DF162" s="1"/>
      <c r="DG162" s="1"/>
      <c r="DH162" s="1"/>
      <c r="DI162" s="1"/>
      <c r="DJ162" s="1"/>
      <c r="DK162" s="1"/>
      <c r="DL162" s="1"/>
      <c r="DM162" s="1"/>
      <c r="DN162" s="1"/>
      <c r="DO162" s="1"/>
      <c r="DP162" s="1"/>
      <c r="DQ162" s="1"/>
      <c r="DR162" s="1"/>
      <c r="DS162" s="1"/>
      <c r="DT162" s="1"/>
      <c r="DU162" s="1"/>
      <c r="DV162" s="1"/>
      <c r="DW162" s="1"/>
      <c r="DX162" s="1"/>
      <c r="DY162" s="1"/>
      <c r="DZ162" s="1"/>
      <c r="EA162" s="1"/>
      <c r="EB162" s="1"/>
      <c r="EC162" s="1"/>
      <c r="ED162" s="1"/>
      <c r="EE162" s="1"/>
      <c r="EF162" s="1"/>
      <c r="EG162" s="1"/>
      <c r="EH162" s="1"/>
      <c r="EI162" s="1"/>
      <c r="EJ162" s="1"/>
      <c r="EK162" s="1"/>
      <c r="EL162" s="1"/>
      <c r="EM162" s="1"/>
      <c r="EN162" s="1"/>
      <c r="EO162" s="1"/>
      <c r="EP162" s="1"/>
      <c r="EQ162" s="1"/>
      <c r="ER162" s="1"/>
      <c r="ES162" s="1"/>
      <c r="ET162" s="1"/>
      <c r="EU162" s="1"/>
      <c r="EV162" s="1"/>
      <c r="EW162" s="1"/>
      <c r="EX162" s="1"/>
      <c r="EY162" s="1"/>
      <c r="EZ162" s="1"/>
      <c r="FA162" s="1"/>
      <c r="FB162" s="1"/>
      <c r="FC162" s="1"/>
      <c r="FD162" s="1"/>
      <c r="FE162" s="1"/>
      <c r="FF162" s="1"/>
      <c r="FG162" s="1"/>
      <c r="FH162" s="1"/>
      <c r="FI162" s="1"/>
      <c r="FJ162" s="1"/>
      <c r="FK162" s="1"/>
      <c r="FL162" s="1"/>
      <c r="FM162" s="1"/>
      <c r="FN162" s="1"/>
      <c r="FO162" s="1"/>
      <c r="FP162" s="1"/>
      <c r="FQ162" s="1"/>
      <c r="FR162" s="1"/>
      <c r="FS162" s="1"/>
      <c r="FT162" s="1"/>
      <c r="FU162" s="1"/>
      <c r="FV162" s="1"/>
      <c r="FW162" s="1"/>
      <c r="FX162" s="1"/>
      <c r="FY162" s="1"/>
      <c r="FZ162" s="1"/>
      <c r="GA162" s="1"/>
      <c r="GB162" s="1"/>
      <c r="GC162" s="1"/>
      <c r="GD162" s="1"/>
      <c r="GE162" s="1"/>
      <c r="GF162" s="1"/>
      <c r="GG162" s="1"/>
      <c r="GH162" s="1"/>
      <c r="GI162" s="1"/>
      <c r="GJ162" s="1"/>
      <c r="GK162" s="1"/>
      <c r="GL162" s="1"/>
      <c r="GM162" s="1"/>
      <c r="GN162" s="1"/>
      <c r="GO162" s="1"/>
      <c r="GP162" s="1"/>
      <c r="GQ162" s="1"/>
      <c r="GR162" s="1"/>
      <c r="GS162" s="1"/>
      <c r="GT162" s="1"/>
      <c r="GU162" s="1"/>
      <c r="GV162" s="1"/>
      <c r="GW162" s="1"/>
      <c r="GX162" s="1"/>
      <c r="GY162" s="1"/>
      <c r="GZ162" s="1"/>
      <c r="HA162" s="1"/>
      <c r="HB162" s="1"/>
      <c r="HC162" s="1"/>
      <c r="HD162" s="1"/>
      <c r="HE162" s="1"/>
      <c r="HF162" s="1"/>
      <c r="HG162" s="1"/>
      <c r="HH162" s="1"/>
      <c r="HI162" s="1"/>
      <c r="HJ162" s="1"/>
      <c r="HK162" s="1"/>
      <c r="HL162" s="1"/>
      <c r="HM162" s="1"/>
      <c r="HN162" s="1"/>
      <c r="HO162" s="1"/>
      <c r="HP162" s="1"/>
      <c r="HQ162" s="1"/>
      <c r="HR162" s="1"/>
      <c r="HS162" s="1"/>
      <c r="HT162" s="1"/>
      <c r="HU162" s="1"/>
      <c r="HV162" s="1"/>
      <c r="HW162" s="1"/>
      <c r="HX162" s="1"/>
      <c r="HY162" s="1"/>
      <c r="HZ162" s="1"/>
      <c r="IA162" s="1"/>
      <c r="IB162" s="1"/>
      <c r="IC162" s="1"/>
      <c r="ID162" s="1"/>
      <c r="IE162" s="1"/>
      <c r="IF162" s="1"/>
      <c r="IG162" s="1"/>
      <c r="IH162" s="1"/>
      <c r="II162" s="1"/>
      <c r="IJ162" s="1"/>
      <c r="IK162" s="1"/>
      <c r="IL162" s="1"/>
      <c r="IM162" s="1"/>
      <c r="IN162" s="1"/>
      <c r="IO162" s="1"/>
      <c r="IP162" s="1"/>
      <c r="IQ162" s="1"/>
      <c r="IR162" s="1"/>
      <c r="IS162" s="1"/>
      <c r="IT162" s="1"/>
      <c r="IU162" s="1"/>
      <c r="IV162" s="1"/>
      <c r="IW162" s="1"/>
      <c r="IX162" s="1"/>
      <c r="IY162" s="1"/>
      <c r="IZ162" s="1"/>
      <c r="JA162" s="1"/>
      <c r="JB162" s="1"/>
      <c r="JC162" s="1"/>
      <c r="JD162" s="1"/>
      <c r="JE162" s="1"/>
      <c r="JF162" s="1"/>
      <c r="JG162" s="1"/>
      <c r="JH162" s="1"/>
      <c r="JI162" s="1"/>
      <c r="JJ162" s="1"/>
      <c r="JK162" s="1"/>
      <c r="JL162" s="1"/>
      <c r="JM162" s="1"/>
      <c r="JN162" s="1"/>
      <c r="JO162" s="1"/>
      <c r="JP162" s="1"/>
      <c r="JQ162" s="1"/>
      <c r="JR162" s="1"/>
      <c r="JS162" s="1"/>
      <c r="JT162" s="1"/>
      <c r="JU162" s="1"/>
      <c r="JV162" s="1"/>
      <c r="JW162" s="1"/>
      <c r="JX162" s="1"/>
      <c r="JY162" s="1"/>
      <c r="JZ162" s="1"/>
      <c r="KA162" s="1"/>
      <c r="KB162" s="1"/>
      <c r="KC162" s="1"/>
      <c r="KD162" s="1"/>
      <c r="KE162" s="1"/>
      <c r="KF162" s="1"/>
      <c r="KG162" s="1"/>
      <c r="KH162" s="1"/>
      <c r="KI162" s="1"/>
      <c r="KJ162" s="1"/>
      <c r="KK162" s="1"/>
      <c r="KL162" s="1"/>
      <c r="KM162" s="1"/>
      <c r="KN162" s="1"/>
      <c r="KO162" s="1"/>
      <c r="KP162" s="1"/>
      <c r="KQ162" s="1"/>
      <c r="KR162" s="1"/>
      <c r="KS162" s="1"/>
      <c r="KT162" s="1"/>
      <c r="KU162" s="1"/>
      <c r="KV162" s="1"/>
      <c r="KW162" s="1"/>
      <c r="KX162" s="1"/>
      <c r="KY162" s="1"/>
      <c r="KZ162" s="1"/>
      <c r="LA162" s="1"/>
      <c r="LB162" s="1"/>
      <c r="LC162" s="1"/>
      <c r="LD162" s="1"/>
      <c r="LE162" s="1"/>
      <c r="LF162" s="1"/>
      <c r="LG162" s="1"/>
      <c r="LH162" s="1"/>
      <c r="LI162" s="1"/>
      <c r="LJ162" s="1"/>
      <c r="LK162" s="1"/>
      <c r="LL162" s="1"/>
      <c r="LM162" s="1"/>
      <c r="LN162" s="1"/>
      <c r="LO162" s="1"/>
      <c r="LP162" s="1"/>
      <c r="LQ162" s="1"/>
      <c r="LR162" s="1"/>
      <c r="LS162" s="1"/>
    </row>
    <row r="163" spans="1:331" s="25" customFormat="1" x14ac:dyDescent="0.25">
      <c r="A163" s="25" t="s">
        <v>672</v>
      </c>
      <c r="B163" s="29" t="s">
        <v>673</v>
      </c>
      <c r="C163" s="94" t="s">
        <v>1648</v>
      </c>
      <c r="D163" s="25">
        <v>0</v>
      </c>
      <c r="H163" s="25" t="s">
        <v>674</v>
      </c>
      <c r="I163" s="25" t="s">
        <v>675</v>
      </c>
      <c r="J163" s="25" t="s">
        <v>676</v>
      </c>
      <c r="K163" s="25" t="s">
        <v>1688</v>
      </c>
      <c r="L163" s="25">
        <v>0</v>
      </c>
      <c r="O163" s="25">
        <v>1</v>
      </c>
      <c r="Q163" s="96" t="s">
        <v>681</v>
      </c>
      <c r="R163" s="96"/>
      <c r="S163" s="25">
        <v>5</v>
      </c>
      <c r="W163" s="96">
        <v>5</v>
      </c>
      <c r="X163" s="96"/>
      <c r="Y163" s="96"/>
      <c r="Z163" s="25">
        <v>5</v>
      </c>
      <c r="AA163" s="94" t="b">
        <v>1</v>
      </c>
      <c r="AB163" s="1"/>
      <c r="AC163" s="57" t="s">
        <v>1798</v>
      </c>
      <c r="AD163" s="1"/>
      <c r="AE163" s="57"/>
      <c r="AF163" s="1"/>
      <c r="AG163" s="1"/>
      <c r="AH163" s="1"/>
      <c r="AI163" s="1"/>
      <c r="AJ163" s="1"/>
      <c r="AK163" s="1"/>
      <c r="AL163" s="1"/>
      <c r="AM163" s="1"/>
      <c r="AN163" s="1"/>
      <c r="AO163" s="1"/>
      <c r="AP163" s="1"/>
      <c r="AQ163" s="1"/>
      <c r="AR163" s="1"/>
      <c r="AS163" s="1"/>
      <c r="AT163" s="1"/>
      <c r="AU163" s="1"/>
      <c r="AV163" s="1"/>
      <c r="AW163" s="1"/>
      <c r="AX163" s="1"/>
      <c r="AY163" s="1"/>
      <c r="AZ163" s="1"/>
      <c r="BA163" s="1"/>
      <c r="BB163" s="1"/>
      <c r="BC163" s="1"/>
      <c r="BD163" s="1"/>
      <c r="BE163" s="1"/>
      <c r="BF163" s="1"/>
      <c r="BG163" s="1"/>
      <c r="BH163" s="1"/>
      <c r="BI163" s="1"/>
      <c r="BJ163" s="1"/>
      <c r="BK163" s="1"/>
      <c r="BL163" s="1"/>
      <c r="BM163" s="1"/>
      <c r="BN163" s="1"/>
      <c r="BO163" s="1"/>
      <c r="BP163" s="1"/>
      <c r="BQ163" s="1"/>
      <c r="BR163" s="1"/>
      <c r="BS163" s="1"/>
      <c r="BT163" s="1"/>
      <c r="BU163" s="1"/>
      <c r="BV163" s="1"/>
      <c r="BW163" s="1"/>
      <c r="BX163" s="1"/>
      <c r="BY163" s="1"/>
      <c r="BZ163" s="1"/>
      <c r="CA163" s="1"/>
      <c r="CB163" s="1"/>
      <c r="CC163" s="1"/>
      <c r="CD163" s="1"/>
      <c r="CE163" s="1"/>
      <c r="CF163" s="1"/>
      <c r="CG163" s="1"/>
      <c r="CH163" s="1"/>
      <c r="CI163" s="1"/>
      <c r="CJ163" s="1"/>
      <c r="CK163" s="1"/>
      <c r="CL163" s="1"/>
      <c r="CM163" s="1"/>
      <c r="CN163" s="1"/>
      <c r="CO163" s="1"/>
      <c r="CP163" s="1"/>
      <c r="CQ163" s="1"/>
      <c r="CR163" s="1"/>
      <c r="CS163" s="1"/>
      <c r="CT163" s="1"/>
      <c r="CU163" s="1"/>
      <c r="CV163" s="1"/>
      <c r="CW163" s="1"/>
      <c r="CX163" s="1"/>
      <c r="CY163" s="1"/>
      <c r="CZ163" s="1"/>
      <c r="DA163" s="1"/>
      <c r="DB163" s="1"/>
      <c r="DC163" s="1"/>
      <c r="DD163" s="1"/>
      <c r="DE163" s="1"/>
      <c r="DF163" s="1"/>
      <c r="DG163" s="1"/>
      <c r="DH163" s="1"/>
      <c r="DI163" s="1"/>
      <c r="DJ163" s="1"/>
      <c r="DK163" s="1"/>
      <c r="DL163" s="1"/>
      <c r="DM163" s="1"/>
      <c r="DN163" s="1"/>
      <c r="DO163" s="1"/>
      <c r="DP163" s="1"/>
      <c r="DQ163" s="1"/>
      <c r="DR163" s="1"/>
      <c r="DS163" s="1"/>
      <c r="DT163" s="1"/>
      <c r="DU163" s="1"/>
      <c r="DV163" s="1"/>
      <c r="DW163" s="1"/>
      <c r="DX163" s="1"/>
      <c r="DY163" s="1"/>
      <c r="DZ163" s="1"/>
      <c r="EA163" s="1"/>
      <c r="EB163" s="1"/>
      <c r="EC163" s="1"/>
      <c r="ED163" s="1"/>
      <c r="EE163" s="1"/>
      <c r="EF163" s="1"/>
      <c r="EG163" s="1"/>
      <c r="EH163" s="1"/>
      <c r="EI163" s="1"/>
      <c r="EJ163" s="1"/>
      <c r="EK163" s="1"/>
      <c r="EL163" s="1"/>
      <c r="EM163" s="1"/>
      <c r="EN163" s="1"/>
      <c r="EO163" s="1"/>
      <c r="EP163" s="1"/>
      <c r="EQ163" s="1"/>
      <c r="ER163" s="1"/>
      <c r="ES163" s="1"/>
      <c r="ET163" s="1"/>
      <c r="EU163" s="1"/>
      <c r="EV163" s="1"/>
      <c r="EW163" s="1"/>
      <c r="EX163" s="1"/>
      <c r="EY163" s="1"/>
      <c r="EZ163" s="1"/>
      <c r="FA163" s="1"/>
      <c r="FB163" s="1"/>
      <c r="FC163" s="1"/>
      <c r="FD163" s="1"/>
      <c r="FE163" s="1"/>
      <c r="FF163" s="1"/>
      <c r="FG163" s="1"/>
      <c r="FH163" s="1"/>
      <c r="FI163" s="1"/>
      <c r="FJ163" s="1"/>
      <c r="FK163" s="1"/>
      <c r="FL163" s="1"/>
      <c r="FM163" s="1"/>
      <c r="FN163" s="1"/>
      <c r="FO163" s="1"/>
      <c r="FP163" s="1"/>
      <c r="FQ163" s="1"/>
      <c r="FR163" s="1"/>
      <c r="FS163" s="1"/>
      <c r="FT163" s="1"/>
      <c r="FU163" s="1"/>
      <c r="FV163" s="1"/>
      <c r="FW163" s="1"/>
      <c r="FX163" s="1"/>
      <c r="FY163" s="1"/>
      <c r="FZ163" s="1"/>
      <c r="GA163" s="1"/>
      <c r="GB163" s="1"/>
      <c r="GC163" s="1"/>
      <c r="GD163" s="1"/>
      <c r="GE163" s="1"/>
      <c r="GF163" s="1"/>
      <c r="GG163" s="1"/>
      <c r="GH163" s="1"/>
      <c r="GI163" s="1"/>
      <c r="GJ163" s="1"/>
      <c r="GK163" s="1"/>
      <c r="GL163" s="1"/>
      <c r="GM163" s="1"/>
      <c r="GN163" s="1"/>
      <c r="GO163" s="1"/>
      <c r="GP163" s="1"/>
      <c r="GQ163" s="1"/>
      <c r="GR163" s="1"/>
      <c r="GS163" s="1"/>
      <c r="GT163" s="1"/>
      <c r="GU163" s="1"/>
      <c r="GV163" s="1"/>
      <c r="GW163" s="1"/>
      <c r="GX163" s="1"/>
      <c r="GY163" s="1"/>
      <c r="GZ163" s="1"/>
      <c r="HA163" s="1"/>
      <c r="HB163" s="1"/>
      <c r="HC163" s="1"/>
      <c r="HD163" s="1"/>
      <c r="HE163" s="1"/>
      <c r="HF163" s="1"/>
      <c r="HG163" s="1"/>
      <c r="HH163" s="1"/>
      <c r="HI163" s="1"/>
      <c r="HJ163" s="1"/>
      <c r="HK163" s="1"/>
      <c r="HL163" s="1"/>
      <c r="HM163" s="1"/>
      <c r="HN163" s="1"/>
      <c r="HO163" s="1"/>
      <c r="HP163" s="1"/>
      <c r="HQ163" s="1"/>
      <c r="HR163" s="1"/>
      <c r="HS163" s="1"/>
      <c r="HT163" s="1"/>
      <c r="HU163" s="1"/>
      <c r="HV163" s="1"/>
      <c r="HW163" s="1"/>
      <c r="HX163" s="1"/>
      <c r="HY163" s="1"/>
      <c r="HZ163" s="1"/>
      <c r="IA163" s="1"/>
      <c r="IB163" s="1"/>
      <c r="IC163" s="1"/>
      <c r="ID163" s="1"/>
      <c r="IE163" s="1"/>
      <c r="IF163" s="1"/>
      <c r="IG163" s="1"/>
      <c r="IH163" s="1"/>
      <c r="II163" s="1"/>
      <c r="IJ163" s="1"/>
      <c r="IK163" s="1"/>
      <c r="IL163" s="1"/>
      <c r="IM163" s="1"/>
      <c r="IN163" s="1"/>
      <c r="IO163" s="1"/>
      <c r="IP163" s="1"/>
      <c r="IQ163" s="1"/>
      <c r="IR163" s="1"/>
      <c r="IS163" s="1"/>
      <c r="IT163" s="1"/>
      <c r="IU163" s="1"/>
      <c r="IV163" s="1"/>
      <c r="IW163" s="1"/>
      <c r="IX163" s="1"/>
      <c r="IY163" s="1"/>
      <c r="IZ163" s="1"/>
      <c r="JA163" s="1"/>
      <c r="JB163" s="1"/>
      <c r="JC163" s="1"/>
      <c r="JD163" s="1"/>
      <c r="JE163" s="1"/>
      <c r="JF163" s="1"/>
      <c r="JG163" s="1"/>
      <c r="JH163" s="1"/>
      <c r="JI163" s="1"/>
      <c r="JJ163" s="1"/>
      <c r="JK163" s="1"/>
      <c r="JL163" s="1"/>
      <c r="JM163" s="1"/>
      <c r="JN163" s="1"/>
      <c r="JO163" s="1"/>
      <c r="JP163" s="1"/>
      <c r="JQ163" s="1"/>
      <c r="JR163" s="1"/>
      <c r="JS163" s="1"/>
      <c r="JT163" s="1"/>
      <c r="JU163" s="1"/>
      <c r="JV163" s="1"/>
      <c r="JW163" s="1"/>
      <c r="JX163" s="1"/>
      <c r="JY163" s="1"/>
      <c r="JZ163" s="1"/>
      <c r="KA163" s="1"/>
      <c r="KB163" s="1"/>
      <c r="KC163" s="1"/>
      <c r="KD163" s="1"/>
      <c r="KE163" s="1"/>
      <c r="KF163" s="1"/>
      <c r="KG163" s="1"/>
      <c r="KH163" s="1"/>
      <c r="KI163" s="1"/>
      <c r="KJ163" s="1"/>
      <c r="KK163" s="1"/>
      <c r="KL163" s="1"/>
      <c r="KM163" s="1"/>
      <c r="KN163" s="1"/>
      <c r="KO163" s="1"/>
      <c r="KP163" s="1"/>
      <c r="KQ163" s="1"/>
      <c r="KR163" s="1"/>
      <c r="KS163" s="1"/>
      <c r="KT163" s="1"/>
      <c r="KU163" s="1"/>
      <c r="KV163" s="1"/>
      <c r="KW163" s="1"/>
      <c r="KX163" s="1"/>
      <c r="KY163" s="1"/>
      <c r="KZ163" s="1"/>
      <c r="LA163" s="1"/>
      <c r="LB163" s="1"/>
      <c r="LC163" s="1"/>
      <c r="LD163" s="1"/>
      <c r="LE163" s="1"/>
      <c r="LF163" s="1"/>
      <c r="LG163" s="1"/>
      <c r="LH163" s="1"/>
      <c r="LI163" s="1"/>
      <c r="LJ163" s="1"/>
      <c r="LK163" s="1"/>
      <c r="LL163" s="1"/>
      <c r="LM163" s="1"/>
      <c r="LN163" s="1"/>
      <c r="LO163" s="1"/>
      <c r="LP163" s="1"/>
      <c r="LQ163" s="1"/>
      <c r="LR163" s="1"/>
      <c r="LS163" s="1"/>
    </row>
    <row r="164" spans="1:331" s="40" customFormat="1" x14ac:dyDescent="0.25">
      <c r="A164" s="40" t="s">
        <v>677</v>
      </c>
      <c r="B164" s="44" t="s">
        <v>678</v>
      </c>
      <c r="C164" s="94" t="s">
        <v>1648</v>
      </c>
      <c r="D164" s="40">
        <v>0</v>
      </c>
      <c r="H164" s="40" t="s">
        <v>679</v>
      </c>
      <c r="I164" s="40" t="s">
        <v>680</v>
      </c>
      <c r="J164" s="40" t="s">
        <v>458</v>
      </c>
      <c r="K164" s="40" t="s">
        <v>1689</v>
      </c>
      <c r="L164" s="40">
        <v>0</v>
      </c>
      <c r="O164" s="40">
        <v>1</v>
      </c>
      <c r="P164" s="40" t="s">
        <v>681</v>
      </c>
      <c r="Q164" s="96" t="s">
        <v>1553</v>
      </c>
      <c r="R164" s="96"/>
      <c r="T164" s="40">
        <v>16</v>
      </c>
      <c r="V164" s="40">
        <v>17</v>
      </c>
      <c r="W164" s="96">
        <v>16</v>
      </c>
      <c r="X164" s="96"/>
      <c r="Y164" s="96"/>
      <c r="Z164" s="40">
        <v>8</v>
      </c>
      <c r="AA164" s="94" t="b">
        <v>1</v>
      </c>
      <c r="AB164" s="1"/>
      <c r="AC164" s="57" t="s">
        <v>1420</v>
      </c>
      <c r="AD164" s="1"/>
      <c r="AE164" s="57"/>
      <c r="AF164" s="1"/>
      <c r="AG164" s="1"/>
      <c r="AH164" s="1"/>
      <c r="AI164" s="1"/>
      <c r="AJ164" s="1"/>
      <c r="AK164" s="1"/>
      <c r="AL164" s="1"/>
      <c r="AM164" s="1"/>
      <c r="AN164" s="1"/>
      <c r="AO164" s="1"/>
      <c r="AP164" s="1"/>
      <c r="AQ164" s="1"/>
      <c r="AR164" s="1"/>
      <c r="AS164" s="1"/>
      <c r="AT164" s="1"/>
      <c r="AU164" s="1"/>
      <c r="AV164" s="1"/>
      <c r="AW164" s="1"/>
      <c r="AX164" s="1"/>
      <c r="AY164" s="1"/>
      <c r="AZ164" s="1"/>
      <c r="BA164" s="1"/>
      <c r="BB164" s="1"/>
      <c r="BC164" s="1"/>
      <c r="BD164" s="1"/>
      <c r="BE164" s="1"/>
      <c r="BF164" s="1"/>
      <c r="BG164" s="1"/>
      <c r="BH164" s="1"/>
      <c r="BI164" s="1"/>
      <c r="BJ164" s="1"/>
      <c r="BK164" s="1"/>
      <c r="BL164" s="1"/>
      <c r="BM164" s="1"/>
      <c r="BN164" s="1"/>
      <c r="BO164" s="1"/>
      <c r="BP164" s="1"/>
      <c r="BQ164" s="1"/>
      <c r="BR164" s="1"/>
      <c r="BS164" s="1"/>
      <c r="BT164" s="1"/>
      <c r="BU164" s="1"/>
      <c r="BV164" s="1"/>
      <c r="BW164" s="1"/>
      <c r="BX164" s="1"/>
      <c r="BY164" s="1"/>
      <c r="BZ164" s="1"/>
      <c r="CA164" s="1"/>
      <c r="CB164" s="1"/>
      <c r="CC164" s="1"/>
      <c r="CD164" s="1"/>
      <c r="CE164" s="1"/>
      <c r="CF164" s="1"/>
      <c r="CG164" s="1"/>
      <c r="CH164" s="1"/>
      <c r="CI164" s="1"/>
      <c r="CJ164" s="1"/>
      <c r="CK164" s="1"/>
      <c r="CL164" s="1"/>
      <c r="CM164" s="1"/>
      <c r="CN164" s="1"/>
      <c r="CO164" s="1"/>
      <c r="CP164" s="1"/>
      <c r="CQ164" s="1"/>
      <c r="CR164" s="1"/>
      <c r="CS164" s="1"/>
      <c r="CT164" s="1"/>
      <c r="CU164" s="1"/>
      <c r="CV164" s="1"/>
      <c r="CW164" s="1"/>
      <c r="CX164" s="1"/>
      <c r="CY164" s="1"/>
      <c r="CZ164" s="1"/>
      <c r="DA164" s="1"/>
      <c r="DB164" s="1"/>
      <c r="DC164" s="1"/>
      <c r="DD164" s="1"/>
      <c r="DE164" s="1"/>
      <c r="DF164" s="1"/>
      <c r="DG164" s="1"/>
      <c r="DH164" s="1"/>
      <c r="DI164" s="1"/>
      <c r="DJ164" s="1"/>
      <c r="DK164" s="1"/>
      <c r="DL164" s="1"/>
      <c r="DM164" s="1"/>
      <c r="DN164" s="1"/>
      <c r="DO164" s="1"/>
      <c r="DP164" s="1"/>
      <c r="DQ164" s="1"/>
      <c r="DR164" s="1"/>
      <c r="DS164" s="1"/>
      <c r="DT164" s="1"/>
      <c r="DU164" s="1"/>
      <c r="DV164" s="1"/>
      <c r="DW164" s="1"/>
      <c r="DX164" s="1"/>
      <c r="DY164" s="1"/>
      <c r="DZ164" s="1"/>
      <c r="EA164" s="1"/>
      <c r="EB164" s="1"/>
      <c r="EC164" s="1"/>
      <c r="ED164" s="1"/>
      <c r="EE164" s="1"/>
      <c r="EF164" s="1"/>
      <c r="EG164" s="1"/>
      <c r="EH164" s="1"/>
      <c r="EI164" s="1"/>
      <c r="EJ164" s="1"/>
      <c r="EK164" s="1"/>
      <c r="EL164" s="1"/>
      <c r="EM164" s="1"/>
      <c r="EN164" s="1"/>
      <c r="EO164" s="1"/>
      <c r="EP164" s="1"/>
      <c r="EQ164" s="1"/>
      <c r="ER164" s="1"/>
      <c r="ES164" s="1"/>
      <c r="ET164" s="1"/>
      <c r="EU164" s="1"/>
      <c r="EV164" s="1"/>
      <c r="EW164" s="1"/>
      <c r="EX164" s="1"/>
      <c r="EY164" s="1"/>
      <c r="EZ164" s="1"/>
      <c r="FA164" s="1"/>
      <c r="FB164" s="1"/>
      <c r="FC164" s="1"/>
      <c r="FD164" s="1"/>
      <c r="FE164" s="1"/>
      <c r="FF164" s="1"/>
      <c r="FG164" s="1"/>
      <c r="FH164" s="1"/>
      <c r="FI164" s="1"/>
      <c r="FJ164" s="1"/>
      <c r="FK164" s="1"/>
      <c r="FL164" s="1"/>
      <c r="FM164" s="1"/>
      <c r="FN164" s="1"/>
      <c r="FO164" s="1"/>
      <c r="FP164" s="1"/>
      <c r="FQ164" s="1"/>
      <c r="FR164" s="1"/>
      <c r="FS164" s="1"/>
      <c r="FT164" s="1"/>
      <c r="FU164" s="1"/>
      <c r="FV164" s="1"/>
      <c r="FW164" s="1"/>
      <c r="FX164" s="1"/>
      <c r="FY164" s="1"/>
      <c r="FZ164" s="1"/>
      <c r="GA164" s="1"/>
      <c r="GB164" s="1"/>
      <c r="GC164" s="1"/>
      <c r="GD164" s="1"/>
      <c r="GE164" s="1"/>
      <c r="GF164" s="1"/>
      <c r="GG164" s="1"/>
      <c r="GH164" s="1"/>
      <c r="GI164" s="1"/>
      <c r="GJ164" s="1"/>
      <c r="GK164" s="1"/>
      <c r="GL164" s="1"/>
      <c r="GM164" s="1"/>
      <c r="GN164" s="1"/>
      <c r="GO164" s="1"/>
      <c r="GP164" s="1"/>
      <c r="GQ164" s="1"/>
      <c r="GR164" s="1"/>
      <c r="GS164" s="1"/>
      <c r="GT164" s="1"/>
      <c r="GU164" s="1"/>
      <c r="GV164" s="1"/>
      <c r="GW164" s="1"/>
      <c r="GX164" s="1"/>
      <c r="GY164" s="1"/>
      <c r="GZ164" s="1"/>
      <c r="HA164" s="1"/>
      <c r="HB164" s="1"/>
      <c r="HC164" s="1"/>
      <c r="HD164" s="1"/>
      <c r="HE164" s="1"/>
      <c r="HF164" s="1"/>
      <c r="HG164" s="1"/>
      <c r="HH164" s="1"/>
      <c r="HI164" s="1"/>
      <c r="HJ164" s="1"/>
      <c r="HK164" s="1"/>
      <c r="HL164" s="1"/>
      <c r="HM164" s="1"/>
      <c r="HN164" s="1"/>
      <c r="HO164" s="1"/>
      <c r="HP164" s="1"/>
      <c r="HQ164" s="1"/>
      <c r="HR164" s="1"/>
      <c r="HS164" s="1"/>
      <c r="HT164" s="1"/>
      <c r="HU164" s="1"/>
      <c r="HV164" s="1"/>
      <c r="HW164" s="1"/>
      <c r="HX164" s="1"/>
      <c r="HY164" s="1"/>
      <c r="HZ164" s="1"/>
      <c r="IA164" s="1"/>
      <c r="IB164" s="1"/>
      <c r="IC164" s="1"/>
      <c r="ID164" s="1"/>
      <c r="IE164" s="1"/>
      <c r="IF164" s="1"/>
      <c r="IG164" s="1"/>
      <c r="IH164" s="1"/>
      <c r="II164" s="1"/>
      <c r="IJ164" s="1"/>
      <c r="IK164" s="1"/>
      <c r="IL164" s="1"/>
      <c r="IM164" s="1"/>
      <c r="IN164" s="1"/>
      <c r="IO164" s="1"/>
      <c r="IP164" s="1"/>
      <c r="IQ164" s="1"/>
      <c r="IR164" s="1"/>
      <c r="IS164" s="1"/>
      <c r="IT164" s="1"/>
      <c r="IU164" s="1"/>
      <c r="IV164" s="1"/>
      <c r="IW164" s="1"/>
      <c r="IX164" s="1"/>
      <c r="IY164" s="1"/>
      <c r="IZ164" s="1"/>
      <c r="JA164" s="1"/>
      <c r="JB164" s="1"/>
      <c r="JC164" s="1"/>
      <c r="JD164" s="1"/>
      <c r="JE164" s="1"/>
      <c r="JF164" s="1"/>
      <c r="JG164" s="1"/>
      <c r="JH164" s="1"/>
      <c r="JI164" s="1"/>
      <c r="JJ164" s="1"/>
      <c r="JK164" s="1"/>
      <c r="JL164" s="1"/>
      <c r="JM164" s="1"/>
      <c r="JN164" s="1"/>
      <c r="JO164" s="1"/>
      <c r="JP164" s="1"/>
      <c r="JQ164" s="1"/>
      <c r="JR164" s="1"/>
      <c r="JS164" s="1"/>
      <c r="JT164" s="1"/>
      <c r="JU164" s="1"/>
      <c r="JV164" s="1"/>
      <c r="JW164" s="1"/>
      <c r="JX164" s="1"/>
      <c r="JY164" s="1"/>
      <c r="JZ164" s="1"/>
      <c r="KA164" s="1"/>
      <c r="KB164" s="1"/>
      <c r="KC164" s="1"/>
      <c r="KD164" s="1"/>
      <c r="KE164" s="1"/>
      <c r="KF164" s="1"/>
      <c r="KG164" s="1"/>
      <c r="KH164" s="1"/>
      <c r="KI164" s="1"/>
      <c r="KJ164" s="1"/>
      <c r="KK164" s="1"/>
      <c r="KL164" s="1"/>
      <c r="KM164" s="1"/>
      <c r="KN164" s="1"/>
      <c r="KO164" s="1"/>
      <c r="KP164" s="1"/>
      <c r="KQ164" s="1"/>
      <c r="KR164" s="1"/>
      <c r="KS164" s="1"/>
      <c r="KT164" s="1"/>
      <c r="KU164" s="1"/>
      <c r="KV164" s="1"/>
      <c r="KW164" s="1"/>
      <c r="KX164" s="1"/>
      <c r="KY164" s="1"/>
      <c r="KZ164" s="1"/>
      <c r="LA164" s="1"/>
      <c r="LB164" s="1"/>
      <c r="LC164" s="1"/>
      <c r="LD164" s="1"/>
      <c r="LE164" s="1"/>
      <c r="LF164" s="1"/>
      <c r="LG164" s="1"/>
      <c r="LH164" s="1"/>
      <c r="LI164" s="1"/>
      <c r="LJ164" s="1"/>
      <c r="LK164" s="1"/>
      <c r="LL164" s="1"/>
      <c r="LM164" s="1"/>
      <c r="LN164" s="1"/>
      <c r="LO164" s="1"/>
      <c r="LP164" s="1"/>
      <c r="LQ164" s="1"/>
      <c r="LR164" s="1"/>
      <c r="LS164" s="1"/>
    </row>
    <row r="165" spans="1:331" s="25" customFormat="1" x14ac:dyDescent="0.25">
      <c r="A165" s="25" t="s">
        <v>682</v>
      </c>
      <c r="B165" s="29" t="s">
        <v>683</v>
      </c>
      <c r="C165" s="94" t="s">
        <v>1648</v>
      </c>
      <c r="D165" s="25">
        <v>0</v>
      </c>
      <c r="H165" s="25" t="s">
        <v>684</v>
      </c>
      <c r="I165" s="25" t="s">
        <v>685</v>
      </c>
      <c r="J165" s="25" t="s">
        <v>684</v>
      </c>
      <c r="K165" s="25" t="s">
        <v>685</v>
      </c>
      <c r="L165" s="25">
        <v>0</v>
      </c>
      <c r="O165" s="25">
        <v>0</v>
      </c>
      <c r="Q165" s="96" t="s">
        <v>1554</v>
      </c>
      <c r="R165" s="96"/>
      <c r="T165" s="25">
        <v>6</v>
      </c>
      <c r="V165" s="25">
        <v>6</v>
      </c>
      <c r="W165" s="96">
        <v>6</v>
      </c>
      <c r="X165" s="96"/>
      <c r="Y165" s="96"/>
      <c r="Z165" s="25">
        <v>5</v>
      </c>
      <c r="AA165" s="94" t="b">
        <v>1</v>
      </c>
      <c r="AB165" s="1" t="s">
        <v>1893</v>
      </c>
      <c r="AC165" s="57" t="s">
        <v>1356</v>
      </c>
      <c r="AD165" s="1"/>
      <c r="AE165" s="57"/>
      <c r="AF165" s="1"/>
      <c r="AG165" s="1"/>
      <c r="AH165" s="1"/>
      <c r="AI165" s="1"/>
      <c r="AJ165" s="1"/>
      <c r="AK165" s="1"/>
      <c r="AL165" s="1"/>
      <c r="AM165" s="1"/>
      <c r="AN165" s="1"/>
      <c r="AO165" s="1"/>
      <c r="AP165" s="1"/>
      <c r="AQ165" s="1"/>
      <c r="AR165" s="1"/>
      <c r="AS165" s="1"/>
      <c r="AT165" s="1"/>
      <c r="AU165" s="1"/>
      <c r="AV165" s="1"/>
      <c r="AW165" s="1"/>
      <c r="AX165" s="1"/>
      <c r="AY165" s="1"/>
      <c r="AZ165" s="1"/>
      <c r="BA165" s="1"/>
      <c r="BB165" s="1"/>
      <c r="BC165" s="1"/>
      <c r="BD165" s="1"/>
      <c r="BE165" s="1"/>
      <c r="BF165" s="1"/>
      <c r="BG165" s="1"/>
      <c r="BH165" s="1"/>
      <c r="BI165" s="1"/>
      <c r="BJ165" s="1"/>
      <c r="BK165" s="1"/>
      <c r="BL165" s="1"/>
      <c r="BM165" s="1"/>
      <c r="BN165" s="1"/>
      <c r="BO165" s="1"/>
      <c r="BP165" s="1"/>
      <c r="BQ165" s="1"/>
      <c r="BR165" s="1"/>
      <c r="BS165" s="1"/>
      <c r="BT165" s="1"/>
      <c r="BU165" s="1"/>
      <c r="BV165" s="1"/>
      <c r="BW165" s="1"/>
      <c r="BX165" s="1"/>
      <c r="BY165" s="1"/>
      <c r="BZ165" s="1"/>
      <c r="CA165" s="1"/>
      <c r="CB165" s="1"/>
      <c r="CC165" s="1"/>
      <c r="CD165" s="1"/>
      <c r="CE165" s="1"/>
      <c r="CF165" s="1"/>
      <c r="CG165" s="1"/>
      <c r="CH165" s="1"/>
      <c r="CI165" s="1"/>
      <c r="CJ165" s="1"/>
      <c r="CK165" s="1"/>
      <c r="CL165" s="1"/>
      <c r="CM165" s="1"/>
      <c r="CN165" s="1"/>
      <c r="CO165" s="1"/>
      <c r="CP165" s="1"/>
      <c r="CQ165" s="1"/>
      <c r="CR165" s="1"/>
      <c r="CS165" s="1"/>
      <c r="CT165" s="1"/>
      <c r="CU165" s="1"/>
      <c r="CV165" s="1"/>
      <c r="CW165" s="1"/>
      <c r="CX165" s="1"/>
      <c r="CY165" s="1"/>
      <c r="CZ165" s="1"/>
      <c r="DA165" s="1"/>
      <c r="DB165" s="1"/>
      <c r="DC165" s="1"/>
      <c r="DD165" s="1"/>
      <c r="DE165" s="1"/>
      <c r="DF165" s="1"/>
      <c r="DG165" s="1"/>
      <c r="DH165" s="1"/>
      <c r="DI165" s="1"/>
      <c r="DJ165" s="1"/>
      <c r="DK165" s="1"/>
      <c r="DL165" s="1"/>
      <c r="DM165" s="1"/>
      <c r="DN165" s="1"/>
      <c r="DO165" s="1"/>
      <c r="DP165" s="1"/>
      <c r="DQ165" s="1"/>
      <c r="DR165" s="1"/>
      <c r="DS165" s="1"/>
      <c r="DT165" s="1"/>
      <c r="DU165" s="1"/>
      <c r="DV165" s="1"/>
      <c r="DW165" s="1"/>
      <c r="DX165" s="1"/>
      <c r="DY165" s="1"/>
      <c r="DZ165" s="1"/>
      <c r="EA165" s="1"/>
      <c r="EB165" s="1"/>
      <c r="EC165" s="1"/>
      <c r="ED165" s="1"/>
      <c r="EE165" s="1"/>
      <c r="EF165" s="1"/>
      <c r="EG165" s="1"/>
      <c r="EH165" s="1"/>
      <c r="EI165" s="1"/>
      <c r="EJ165" s="1"/>
      <c r="EK165" s="1"/>
      <c r="EL165" s="1"/>
      <c r="EM165" s="1"/>
      <c r="EN165" s="1"/>
      <c r="EO165" s="1"/>
      <c r="EP165" s="1"/>
      <c r="EQ165" s="1"/>
      <c r="ER165" s="1"/>
      <c r="ES165" s="1"/>
      <c r="ET165" s="1"/>
      <c r="EU165" s="1"/>
      <c r="EV165" s="1"/>
      <c r="EW165" s="1"/>
      <c r="EX165" s="1"/>
      <c r="EY165" s="1"/>
      <c r="EZ165" s="1"/>
      <c r="FA165" s="1"/>
      <c r="FB165" s="1"/>
      <c r="FC165" s="1"/>
      <c r="FD165" s="1"/>
      <c r="FE165" s="1"/>
      <c r="FF165" s="1"/>
      <c r="FG165" s="1"/>
      <c r="FH165" s="1"/>
      <c r="FI165" s="1"/>
      <c r="FJ165" s="1"/>
      <c r="FK165" s="1"/>
      <c r="FL165" s="1"/>
      <c r="FM165" s="1"/>
      <c r="FN165" s="1"/>
      <c r="FO165" s="1"/>
      <c r="FP165" s="1"/>
      <c r="FQ165" s="1"/>
      <c r="FR165" s="1"/>
      <c r="FS165" s="1"/>
      <c r="FT165" s="1"/>
      <c r="FU165" s="1"/>
      <c r="FV165" s="1"/>
      <c r="FW165" s="1"/>
      <c r="FX165" s="1"/>
      <c r="FY165" s="1"/>
      <c r="FZ165" s="1"/>
      <c r="GA165" s="1"/>
      <c r="GB165" s="1"/>
      <c r="GC165" s="1"/>
      <c r="GD165" s="1"/>
      <c r="GE165" s="1"/>
      <c r="GF165" s="1"/>
      <c r="GG165" s="1"/>
      <c r="GH165" s="1"/>
      <c r="GI165" s="1"/>
      <c r="GJ165" s="1"/>
      <c r="GK165" s="1"/>
      <c r="GL165" s="1"/>
      <c r="GM165" s="1"/>
      <c r="GN165" s="1"/>
      <c r="GO165" s="1"/>
      <c r="GP165" s="1"/>
      <c r="GQ165" s="1"/>
      <c r="GR165" s="1"/>
      <c r="GS165" s="1"/>
      <c r="GT165" s="1"/>
      <c r="GU165" s="1"/>
      <c r="GV165" s="1"/>
      <c r="GW165" s="1"/>
      <c r="GX165" s="1"/>
      <c r="GY165" s="1"/>
      <c r="GZ165" s="1"/>
      <c r="HA165" s="1"/>
      <c r="HB165" s="1"/>
      <c r="HC165" s="1"/>
      <c r="HD165" s="1"/>
      <c r="HE165" s="1"/>
      <c r="HF165" s="1"/>
      <c r="HG165" s="1"/>
      <c r="HH165" s="1"/>
      <c r="HI165" s="1"/>
      <c r="HJ165" s="1"/>
      <c r="HK165" s="1"/>
      <c r="HL165" s="1"/>
      <c r="HM165" s="1"/>
      <c r="HN165" s="1"/>
      <c r="HO165" s="1"/>
      <c r="HP165" s="1"/>
      <c r="HQ165" s="1"/>
      <c r="HR165" s="1"/>
      <c r="HS165" s="1"/>
      <c r="HT165" s="1"/>
      <c r="HU165" s="1"/>
      <c r="HV165" s="1"/>
      <c r="HW165" s="1"/>
      <c r="HX165" s="1"/>
      <c r="HY165" s="1"/>
      <c r="HZ165" s="1"/>
      <c r="IA165" s="1"/>
      <c r="IB165" s="1"/>
      <c r="IC165" s="1"/>
      <c r="ID165" s="1"/>
      <c r="IE165" s="1"/>
      <c r="IF165" s="1"/>
      <c r="IG165" s="1"/>
      <c r="IH165" s="1"/>
      <c r="II165" s="1"/>
      <c r="IJ165" s="1"/>
      <c r="IK165" s="1"/>
      <c r="IL165" s="1"/>
      <c r="IM165" s="1"/>
      <c r="IN165" s="1"/>
      <c r="IO165" s="1"/>
      <c r="IP165" s="1"/>
      <c r="IQ165" s="1"/>
      <c r="IR165" s="1"/>
      <c r="IS165" s="1"/>
      <c r="IT165" s="1"/>
      <c r="IU165" s="1"/>
      <c r="IV165" s="1"/>
      <c r="IW165" s="1"/>
      <c r="IX165" s="1"/>
      <c r="IY165" s="1"/>
      <c r="IZ165" s="1"/>
      <c r="JA165" s="1"/>
      <c r="JB165" s="1"/>
      <c r="JC165" s="1"/>
      <c r="JD165" s="1"/>
      <c r="JE165" s="1"/>
      <c r="JF165" s="1"/>
      <c r="JG165" s="1"/>
      <c r="JH165" s="1"/>
      <c r="JI165" s="1"/>
      <c r="JJ165" s="1"/>
      <c r="JK165" s="1"/>
      <c r="JL165" s="1"/>
      <c r="JM165" s="1"/>
      <c r="JN165" s="1"/>
      <c r="JO165" s="1"/>
      <c r="JP165" s="1"/>
      <c r="JQ165" s="1"/>
      <c r="JR165" s="1"/>
      <c r="JS165" s="1"/>
      <c r="JT165" s="1"/>
      <c r="JU165" s="1"/>
      <c r="JV165" s="1"/>
      <c r="JW165" s="1"/>
      <c r="JX165" s="1"/>
      <c r="JY165" s="1"/>
      <c r="JZ165" s="1"/>
      <c r="KA165" s="1"/>
      <c r="KB165" s="1"/>
      <c r="KC165" s="1"/>
      <c r="KD165" s="1"/>
      <c r="KE165" s="1"/>
      <c r="KF165" s="1"/>
      <c r="KG165" s="1"/>
      <c r="KH165" s="1"/>
      <c r="KI165" s="1"/>
      <c r="KJ165" s="1"/>
      <c r="KK165" s="1"/>
      <c r="KL165" s="1"/>
      <c r="KM165" s="1"/>
      <c r="KN165" s="1"/>
      <c r="KO165" s="1"/>
      <c r="KP165" s="1"/>
      <c r="KQ165" s="1"/>
      <c r="KR165" s="1"/>
      <c r="KS165" s="1"/>
      <c r="KT165" s="1"/>
      <c r="KU165" s="1"/>
      <c r="KV165" s="1"/>
      <c r="KW165" s="1"/>
      <c r="KX165" s="1"/>
      <c r="KY165" s="1"/>
      <c r="KZ165" s="1"/>
      <c r="LA165" s="1"/>
      <c r="LB165" s="1"/>
      <c r="LC165" s="1"/>
      <c r="LD165" s="1"/>
      <c r="LE165" s="1"/>
      <c r="LF165" s="1"/>
      <c r="LG165" s="1"/>
      <c r="LH165" s="1"/>
      <c r="LI165" s="1"/>
      <c r="LJ165" s="1"/>
      <c r="LK165" s="1"/>
      <c r="LL165" s="1"/>
      <c r="LM165" s="1"/>
      <c r="LN165" s="1"/>
      <c r="LO165" s="1"/>
      <c r="LP165" s="1"/>
      <c r="LQ165" s="1"/>
      <c r="LR165" s="1"/>
      <c r="LS165" s="1"/>
    </row>
    <row r="166" spans="1:331" s="40" customFormat="1" x14ac:dyDescent="0.25">
      <c r="A166" s="40" t="s">
        <v>686</v>
      </c>
      <c r="B166" s="44" t="s">
        <v>687</v>
      </c>
      <c r="C166" s="94" t="s">
        <v>1648</v>
      </c>
      <c r="D166" s="40">
        <v>0</v>
      </c>
      <c r="H166" s="40" t="s">
        <v>688</v>
      </c>
      <c r="I166" s="40" t="s">
        <v>689</v>
      </c>
      <c r="J166" s="40" t="s">
        <v>690</v>
      </c>
      <c r="K166" s="40" t="s">
        <v>689</v>
      </c>
      <c r="L166" s="40">
        <v>0</v>
      </c>
      <c r="O166" s="40">
        <v>1</v>
      </c>
      <c r="P166" s="40" t="s">
        <v>140</v>
      </c>
      <c r="Q166" s="96" t="s">
        <v>1555</v>
      </c>
      <c r="R166" s="96"/>
      <c r="T166" s="40">
        <v>12</v>
      </c>
      <c r="W166" s="96">
        <v>12</v>
      </c>
      <c r="X166" s="96"/>
      <c r="Y166" s="96"/>
      <c r="Z166" s="40">
        <v>8</v>
      </c>
      <c r="AA166" s="94" t="b">
        <v>1</v>
      </c>
      <c r="AB166" s="1"/>
      <c r="AC166" s="57" t="s">
        <v>1797</v>
      </c>
      <c r="AD166" s="1"/>
      <c r="AE166" s="57"/>
      <c r="AF166" s="1"/>
      <c r="AG166" s="1"/>
      <c r="AH166" s="1"/>
      <c r="AI166" s="1"/>
      <c r="AJ166" s="1"/>
      <c r="AK166" s="1"/>
      <c r="AL166" s="1"/>
      <c r="AM166" s="1"/>
      <c r="AN166" s="1"/>
      <c r="AO166" s="1"/>
      <c r="AP166" s="1"/>
      <c r="AQ166" s="1"/>
      <c r="AR166" s="1"/>
      <c r="AS166" s="1"/>
      <c r="AT166" s="1"/>
      <c r="AU166" s="1"/>
      <c r="AV166" s="1"/>
      <c r="AW166" s="1"/>
      <c r="AX166" s="1"/>
      <c r="AY166" s="1"/>
      <c r="AZ166" s="1"/>
      <c r="BA166" s="1"/>
      <c r="BB166" s="1"/>
      <c r="BC166" s="1"/>
      <c r="BD166" s="1"/>
      <c r="BE166" s="1"/>
      <c r="BF166" s="1"/>
      <c r="BG166" s="1"/>
      <c r="BH166" s="1"/>
      <c r="BI166" s="1"/>
      <c r="BJ166" s="1"/>
      <c r="BK166" s="1"/>
      <c r="BL166" s="1"/>
      <c r="BM166" s="1"/>
      <c r="BN166" s="1"/>
      <c r="BO166" s="1"/>
      <c r="BP166" s="1"/>
      <c r="BQ166" s="1"/>
      <c r="BR166" s="1"/>
      <c r="BS166" s="1"/>
      <c r="BT166" s="1"/>
      <c r="BU166" s="1"/>
      <c r="BV166" s="1"/>
      <c r="BW166" s="1"/>
      <c r="BX166" s="1"/>
      <c r="BY166" s="1"/>
      <c r="BZ166" s="1"/>
      <c r="CA166" s="1"/>
      <c r="CB166" s="1"/>
      <c r="CC166" s="1"/>
      <c r="CD166" s="1"/>
      <c r="CE166" s="1"/>
      <c r="CF166" s="1"/>
      <c r="CG166" s="1"/>
      <c r="CH166" s="1"/>
      <c r="CI166" s="1"/>
      <c r="CJ166" s="1"/>
      <c r="CK166" s="1"/>
      <c r="CL166" s="1"/>
      <c r="CM166" s="1"/>
      <c r="CN166" s="1"/>
      <c r="CO166" s="1"/>
      <c r="CP166" s="1"/>
      <c r="CQ166" s="1"/>
      <c r="CR166" s="1"/>
      <c r="CS166" s="1"/>
      <c r="CT166" s="1"/>
      <c r="CU166" s="1"/>
      <c r="CV166" s="1"/>
      <c r="CW166" s="1"/>
      <c r="CX166" s="1"/>
      <c r="CY166" s="1"/>
      <c r="CZ166" s="1"/>
      <c r="DA166" s="1"/>
      <c r="DB166" s="1"/>
      <c r="DC166" s="1"/>
      <c r="DD166" s="1"/>
      <c r="DE166" s="1"/>
      <c r="DF166" s="1"/>
      <c r="DG166" s="1"/>
      <c r="DH166" s="1"/>
      <c r="DI166" s="1"/>
      <c r="DJ166" s="1"/>
      <c r="DK166" s="1"/>
      <c r="DL166" s="1"/>
      <c r="DM166" s="1"/>
      <c r="DN166" s="1"/>
      <c r="DO166" s="1"/>
      <c r="DP166" s="1"/>
      <c r="DQ166" s="1"/>
      <c r="DR166" s="1"/>
      <c r="DS166" s="1"/>
      <c r="DT166" s="1"/>
      <c r="DU166" s="1"/>
      <c r="DV166" s="1"/>
      <c r="DW166" s="1"/>
      <c r="DX166" s="1"/>
      <c r="DY166" s="1"/>
      <c r="DZ166" s="1"/>
      <c r="EA166" s="1"/>
      <c r="EB166" s="1"/>
      <c r="EC166" s="1"/>
      <c r="ED166" s="1"/>
      <c r="EE166" s="1"/>
      <c r="EF166" s="1"/>
      <c r="EG166" s="1"/>
      <c r="EH166" s="1"/>
      <c r="EI166" s="1"/>
      <c r="EJ166" s="1"/>
      <c r="EK166" s="1"/>
      <c r="EL166" s="1"/>
      <c r="EM166" s="1"/>
      <c r="EN166" s="1"/>
      <c r="EO166" s="1"/>
      <c r="EP166" s="1"/>
      <c r="EQ166" s="1"/>
      <c r="ER166" s="1"/>
      <c r="ES166" s="1"/>
      <c r="ET166" s="1"/>
      <c r="EU166" s="1"/>
      <c r="EV166" s="1"/>
      <c r="EW166" s="1"/>
      <c r="EX166" s="1"/>
      <c r="EY166" s="1"/>
      <c r="EZ166" s="1"/>
      <c r="FA166" s="1"/>
      <c r="FB166" s="1"/>
      <c r="FC166" s="1"/>
      <c r="FD166" s="1"/>
      <c r="FE166" s="1"/>
      <c r="FF166" s="1"/>
      <c r="FG166" s="1"/>
      <c r="FH166" s="1"/>
      <c r="FI166" s="1"/>
      <c r="FJ166" s="1"/>
      <c r="FK166" s="1"/>
      <c r="FL166" s="1"/>
      <c r="FM166" s="1"/>
      <c r="FN166" s="1"/>
      <c r="FO166" s="1"/>
      <c r="FP166" s="1"/>
      <c r="FQ166" s="1"/>
      <c r="FR166" s="1"/>
      <c r="FS166" s="1"/>
      <c r="FT166" s="1"/>
      <c r="FU166" s="1"/>
      <c r="FV166" s="1"/>
      <c r="FW166" s="1"/>
      <c r="FX166" s="1"/>
      <c r="FY166" s="1"/>
      <c r="FZ166" s="1"/>
      <c r="GA166" s="1"/>
      <c r="GB166" s="1"/>
      <c r="GC166" s="1"/>
      <c r="GD166" s="1"/>
      <c r="GE166" s="1"/>
      <c r="GF166" s="1"/>
      <c r="GG166" s="1"/>
      <c r="GH166" s="1"/>
      <c r="GI166" s="1"/>
      <c r="GJ166" s="1"/>
      <c r="GK166" s="1"/>
      <c r="GL166" s="1"/>
      <c r="GM166" s="1"/>
      <c r="GN166" s="1"/>
      <c r="GO166" s="1"/>
      <c r="GP166" s="1"/>
      <c r="GQ166" s="1"/>
      <c r="GR166" s="1"/>
      <c r="GS166" s="1"/>
      <c r="GT166" s="1"/>
      <c r="GU166" s="1"/>
      <c r="GV166" s="1"/>
      <c r="GW166" s="1"/>
      <c r="GX166" s="1"/>
      <c r="GY166" s="1"/>
      <c r="GZ166" s="1"/>
      <c r="HA166" s="1"/>
      <c r="HB166" s="1"/>
      <c r="HC166" s="1"/>
      <c r="HD166" s="1"/>
      <c r="HE166" s="1"/>
      <c r="HF166" s="1"/>
      <c r="HG166" s="1"/>
      <c r="HH166" s="1"/>
      <c r="HI166" s="1"/>
      <c r="HJ166" s="1"/>
      <c r="HK166" s="1"/>
      <c r="HL166" s="1"/>
      <c r="HM166" s="1"/>
      <c r="HN166" s="1"/>
      <c r="HO166" s="1"/>
      <c r="HP166" s="1"/>
      <c r="HQ166" s="1"/>
      <c r="HR166" s="1"/>
      <c r="HS166" s="1"/>
      <c r="HT166" s="1"/>
      <c r="HU166" s="1"/>
      <c r="HV166" s="1"/>
      <c r="HW166" s="1"/>
      <c r="HX166" s="1"/>
      <c r="HY166" s="1"/>
      <c r="HZ166" s="1"/>
      <c r="IA166" s="1"/>
      <c r="IB166" s="1"/>
      <c r="IC166" s="1"/>
      <c r="ID166" s="1"/>
      <c r="IE166" s="1"/>
      <c r="IF166" s="1"/>
      <c r="IG166" s="1"/>
      <c r="IH166" s="1"/>
      <c r="II166" s="1"/>
      <c r="IJ166" s="1"/>
      <c r="IK166" s="1"/>
      <c r="IL166" s="1"/>
      <c r="IM166" s="1"/>
      <c r="IN166" s="1"/>
      <c r="IO166" s="1"/>
      <c r="IP166" s="1"/>
      <c r="IQ166" s="1"/>
      <c r="IR166" s="1"/>
      <c r="IS166" s="1"/>
      <c r="IT166" s="1"/>
      <c r="IU166" s="1"/>
      <c r="IV166" s="1"/>
      <c r="IW166" s="1"/>
      <c r="IX166" s="1"/>
      <c r="IY166" s="1"/>
      <c r="IZ166" s="1"/>
      <c r="JA166" s="1"/>
      <c r="JB166" s="1"/>
      <c r="JC166" s="1"/>
      <c r="JD166" s="1"/>
      <c r="JE166" s="1"/>
      <c r="JF166" s="1"/>
      <c r="JG166" s="1"/>
      <c r="JH166" s="1"/>
      <c r="JI166" s="1"/>
      <c r="JJ166" s="1"/>
      <c r="JK166" s="1"/>
      <c r="JL166" s="1"/>
      <c r="JM166" s="1"/>
      <c r="JN166" s="1"/>
      <c r="JO166" s="1"/>
      <c r="JP166" s="1"/>
      <c r="JQ166" s="1"/>
      <c r="JR166" s="1"/>
      <c r="JS166" s="1"/>
      <c r="JT166" s="1"/>
      <c r="JU166" s="1"/>
      <c r="JV166" s="1"/>
      <c r="JW166" s="1"/>
      <c r="JX166" s="1"/>
      <c r="JY166" s="1"/>
      <c r="JZ166" s="1"/>
      <c r="KA166" s="1"/>
      <c r="KB166" s="1"/>
      <c r="KC166" s="1"/>
      <c r="KD166" s="1"/>
      <c r="KE166" s="1"/>
      <c r="KF166" s="1"/>
      <c r="KG166" s="1"/>
      <c r="KH166" s="1"/>
      <c r="KI166" s="1"/>
      <c r="KJ166" s="1"/>
      <c r="KK166" s="1"/>
      <c r="KL166" s="1"/>
      <c r="KM166" s="1"/>
      <c r="KN166" s="1"/>
      <c r="KO166" s="1"/>
      <c r="KP166" s="1"/>
      <c r="KQ166" s="1"/>
      <c r="KR166" s="1"/>
      <c r="KS166" s="1"/>
      <c r="KT166" s="1"/>
      <c r="KU166" s="1"/>
      <c r="KV166" s="1"/>
      <c r="KW166" s="1"/>
      <c r="KX166" s="1"/>
      <c r="KY166" s="1"/>
      <c r="KZ166" s="1"/>
      <c r="LA166" s="1"/>
      <c r="LB166" s="1"/>
      <c r="LC166" s="1"/>
      <c r="LD166" s="1"/>
      <c r="LE166" s="1"/>
      <c r="LF166" s="1"/>
      <c r="LG166" s="1"/>
      <c r="LH166" s="1"/>
      <c r="LI166" s="1"/>
      <c r="LJ166" s="1"/>
      <c r="LK166" s="1"/>
      <c r="LL166" s="1"/>
      <c r="LM166" s="1"/>
      <c r="LN166" s="1"/>
      <c r="LO166" s="1"/>
      <c r="LP166" s="1"/>
      <c r="LQ166" s="1"/>
      <c r="LR166" s="1"/>
      <c r="LS166" s="1"/>
    </row>
    <row r="167" spans="1:331" s="25" customFormat="1" x14ac:dyDescent="0.25">
      <c r="A167" s="25" t="s">
        <v>691</v>
      </c>
      <c r="B167" s="29">
        <v>2607532</v>
      </c>
      <c r="C167" s="94" t="s">
        <v>1648</v>
      </c>
      <c r="D167" s="25">
        <v>0</v>
      </c>
      <c r="H167" s="25" t="s">
        <v>692</v>
      </c>
      <c r="I167" s="25" t="s">
        <v>693</v>
      </c>
      <c r="J167" s="25" t="s">
        <v>692</v>
      </c>
      <c r="K167" s="25" t="s">
        <v>1690</v>
      </c>
      <c r="L167" s="25">
        <v>0</v>
      </c>
      <c r="O167" s="25">
        <v>1</v>
      </c>
      <c r="Q167" s="96" t="s">
        <v>1555</v>
      </c>
      <c r="R167" s="96"/>
      <c r="T167" s="25">
        <v>20</v>
      </c>
      <c r="V167" s="25">
        <v>20</v>
      </c>
      <c r="W167" s="96">
        <v>20</v>
      </c>
      <c r="X167" s="96"/>
      <c r="Y167" s="96"/>
      <c r="Z167" s="25">
        <v>5</v>
      </c>
      <c r="AA167" s="94" t="b">
        <v>1</v>
      </c>
      <c r="AB167" s="1"/>
      <c r="AC167" s="57" t="s">
        <v>1914</v>
      </c>
      <c r="AD167" s="1"/>
      <c r="AE167" s="57"/>
      <c r="AF167" s="1"/>
      <c r="AG167" s="1"/>
      <c r="AH167" s="1"/>
      <c r="AI167" s="1"/>
      <c r="AJ167" s="1"/>
      <c r="AK167" s="1"/>
      <c r="AL167" s="1"/>
      <c r="AM167" s="1"/>
      <c r="AN167" s="1"/>
      <c r="AO167" s="1"/>
      <c r="AP167" s="1"/>
      <c r="AQ167" s="1"/>
      <c r="AR167" s="1"/>
      <c r="AS167" s="1"/>
      <c r="AT167" s="1"/>
      <c r="AU167" s="1"/>
      <c r="AV167" s="1"/>
      <c r="AW167" s="1"/>
      <c r="AX167" s="1"/>
      <c r="AY167" s="1"/>
      <c r="AZ167" s="1"/>
      <c r="BA167" s="1"/>
      <c r="BB167" s="1"/>
      <c r="BC167" s="1"/>
      <c r="BD167" s="1"/>
      <c r="BE167" s="1"/>
      <c r="BF167" s="1"/>
      <c r="BG167" s="1"/>
      <c r="BH167" s="1"/>
      <c r="BI167" s="1"/>
      <c r="BJ167" s="1"/>
      <c r="BK167" s="1"/>
      <c r="BL167" s="1"/>
      <c r="BM167" s="1"/>
      <c r="BN167" s="1"/>
      <c r="BO167" s="1"/>
      <c r="BP167" s="1"/>
      <c r="BQ167" s="1"/>
      <c r="BR167" s="1"/>
      <c r="BS167" s="1"/>
      <c r="BT167" s="1"/>
      <c r="BU167" s="1"/>
      <c r="BV167" s="1"/>
      <c r="BW167" s="1"/>
      <c r="BX167" s="1"/>
      <c r="BY167" s="1"/>
      <c r="BZ167" s="1"/>
      <c r="CA167" s="1"/>
      <c r="CB167" s="1"/>
      <c r="CC167" s="1"/>
      <c r="CD167" s="1"/>
      <c r="CE167" s="1"/>
      <c r="CF167" s="1"/>
      <c r="CG167" s="1"/>
      <c r="CH167" s="1"/>
      <c r="CI167" s="1"/>
      <c r="CJ167" s="1"/>
      <c r="CK167" s="1"/>
      <c r="CL167" s="1"/>
      <c r="CM167" s="1"/>
      <c r="CN167" s="1"/>
      <c r="CO167" s="1"/>
      <c r="CP167" s="1"/>
      <c r="CQ167" s="1"/>
      <c r="CR167" s="1"/>
      <c r="CS167" s="1"/>
      <c r="CT167" s="1"/>
      <c r="CU167" s="1"/>
      <c r="CV167" s="1"/>
      <c r="CW167" s="1"/>
      <c r="CX167" s="1"/>
      <c r="CY167" s="1"/>
      <c r="CZ167" s="1"/>
      <c r="DA167" s="1"/>
      <c r="DB167" s="1"/>
      <c r="DC167" s="1"/>
      <c r="DD167" s="1"/>
      <c r="DE167" s="1"/>
      <c r="DF167" s="1"/>
      <c r="DG167" s="1"/>
      <c r="DH167" s="1"/>
      <c r="DI167" s="1"/>
      <c r="DJ167" s="1"/>
      <c r="DK167" s="1"/>
      <c r="DL167" s="1"/>
      <c r="DM167" s="1"/>
      <c r="DN167" s="1"/>
      <c r="DO167" s="1"/>
      <c r="DP167" s="1"/>
      <c r="DQ167" s="1"/>
      <c r="DR167" s="1"/>
      <c r="DS167" s="1"/>
      <c r="DT167" s="1"/>
      <c r="DU167" s="1"/>
      <c r="DV167" s="1"/>
      <c r="DW167" s="1"/>
      <c r="DX167" s="1"/>
      <c r="DY167" s="1"/>
      <c r="DZ167" s="1"/>
      <c r="EA167" s="1"/>
      <c r="EB167" s="1"/>
      <c r="EC167" s="1"/>
      <c r="ED167" s="1"/>
      <c r="EE167" s="1"/>
      <c r="EF167" s="1"/>
      <c r="EG167" s="1"/>
      <c r="EH167" s="1"/>
      <c r="EI167" s="1"/>
      <c r="EJ167" s="1"/>
      <c r="EK167" s="1"/>
      <c r="EL167" s="1"/>
      <c r="EM167" s="1"/>
      <c r="EN167" s="1"/>
      <c r="EO167" s="1"/>
      <c r="EP167" s="1"/>
      <c r="EQ167" s="1"/>
      <c r="ER167" s="1"/>
      <c r="ES167" s="1"/>
      <c r="ET167" s="1"/>
      <c r="EU167" s="1"/>
      <c r="EV167" s="1"/>
      <c r="EW167" s="1"/>
      <c r="EX167" s="1"/>
      <c r="EY167" s="1"/>
      <c r="EZ167" s="1"/>
      <c r="FA167" s="1"/>
      <c r="FB167" s="1"/>
      <c r="FC167" s="1"/>
      <c r="FD167" s="1"/>
      <c r="FE167" s="1"/>
      <c r="FF167" s="1"/>
      <c r="FG167" s="1"/>
      <c r="FH167" s="1"/>
      <c r="FI167" s="1"/>
      <c r="FJ167" s="1"/>
      <c r="FK167" s="1"/>
      <c r="FL167" s="1"/>
      <c r="FM167" s="1"/>
      <c r="FN167" s="1"/>
      <c r="FO167" s="1"/>
      <c r="FP167" s="1"/>
      <c r="FQ167" s="1"/>
      <c r="FR167" s="1"/>
      <c r="FS167" s="1"/>
      <c r="FT167" s="1"/>
      <c r="FU167" s="1"/>
      <c r="FV167" s="1"/>
      <c r="FW167" s="1"/>
      <c r="FX167" s="1"/>
      <c r="FY167" s="1"/>
      <c r="FZ167" s="1"/>
      <c r="GA167" s="1"/>
      <c r="GB167" s="1"/>
      <c r="GC167" s="1"/>
      <c r="GD167" s="1"/>
      <c r="GE167" s="1"/>
      <c r="GF167" s="1"/>
      <c r="GG167" s="1"/>
      <c r="GH167" s="1"/>
      <c r="GI167" s="1"/>
      <c r="GJ167" s="1"/>
      <c r="GK167" s="1"/>
      <c r="GL167" s="1"/>
      <c r="GM167" s="1"/>
      <c r="GN167" s="1"/>
      <c r="GO167" s="1"/>
      <c r="GP167" s="1"/>
      <c r="GQ167" s="1"/>
      <c r="GR167" s="1"/>
      <c r="GS167" s="1"/>
      <c r="GT167" s="1"/>
      <c r="GU167" s="1"/>
      <c r="GV167" s="1"/>
      <c r="GW167" s="1"/>
      <c r="GX167" s="1"/>
      <c r="GY167" s="1"/>
      <c r="GZ167" s="1"/>
      <c r="HA167" s="1"/>
      <c r="HB167" s="1"/>
      <c r="HC167" s="1"/>
      <c r="HD167" s="1"/>
      <c r="HE167" s="1"/>
      <c r="HF167" s="1"/>
      <c r="HG167" s="1"/>
      <c r="HH167" s="1"/>
      <c r="HI167" s="1"/>
      <c r="HJ167" s="1"/>
      <c r="HK167" s="1"/>
      <c r="HL167" s="1"/>
      <c r="HM167" s="1"/>
      <c r="HN167" s="1"/>
      <c r="HO167" s="1"/>
      <c r="HP167" s="1"/>
      <c r="HQ167" s="1"/>
      <c r="HR167" s="1"/>
      <c r="HS167" s="1"/>
      <c r="HT167" s="1"/>
      <c r="HU167" s="1"/>
      <c r="HV167" s="1"/>
      <c r="HW167" s="1"/>
      <c r="HX167" s="1"/>
      <c r="HY167" s="1"/>
      <c r="HZ167" s="1"/>
      <c r="IA167" s="1"/>
      <c r="IB167" s="1"/>
      <c r="IC167" s="1"/>
      <c r="ID167" s="1"/>
      <c r="IE167" s="1"/>
      <c r="IF167" s="1"/>
      <c r="IG167" s="1"/>
      <c r="IH167" s="1"/>
      <c r="II167" s="1"/>
      <c r="IJ167" s="1"/>
      <c r="IK167" s="1"/>
      <c r="IL167" s="1"/>
      <c r="IM167" s="1"/>
      <c r="IN167" s="1"/>
      <c r="IO167" s="1"/>
      <c r="IP167" s="1"/>
      <c r="IQ167" s="1"/>
      <c r="IR167" s="1"/>
      <c r="IS167" s="1"/>
      <c r="IT167" s="1"/>
      <c r="IU167" s="1"/>
      <c r="IV167" s="1"/>
      <c r="IW167" s="1"/>
      <c r="IX167" s="1"/>
      <c r="IY167" s="1"/>
      <c r="IZ167" s="1"/>
      <c r="JA167" s="1"/>
      <c r="JB167" s="1"/>
      <c r="JC167" s="1"/>
      <c r="JD167" s="1"/>
      <c r="JE167" s="1"/>
      <c r="JF167" s="1"/>
      <c r="JG167" s="1"/>
      <c r="JH167" s="1"/>
      <c r="JI167" s="1"/>
      <c r="JJ167" s="1"/>
      <c r="JK167" s="1"/>
      <c r="JL167" s="1"/>
      <c r="JM167" s="1"/>
      <c r="JN167" s="1"/>
      <c r="JO167" s="1"/>
      <c r="JP167" s="1"/>
      <c r="JQ167" s="1"/>
      <c r="JR167" s="1"/>
      <c r="JS167" s="1"/>
      <c r="JT167" s="1"/>
      <c r="JU167" s="1"/>
      <c r="JV167" s="1"/>
      <c r="JW167" s="1"/>
      <c r="JX167" s="1"/>
      <c r="JY167" s="1"/>
      <c r="JZ167" s="1"/>
      <c r="KA167" s="1"/>
      <c r="KB167" s="1"/>
      <c r="KC167" s="1"/>
      <c r="KD167" s="1"/>
      <c r="KE167" s="1"/>
      <c r="KF167" s="1"/>
      <c r="KG167" s="1"/>
      <c r="KH167" s="1"/>
      <c r="KI167" s="1"/>
      <c r="KJ167" s="1"/>
      <c r="KK167" s="1"/>
      <c r="KL167" s="1"/>
      <c r="KM167" s="1"/>
      <c r="KN167" s="1"/>
      <c r="KO167" s="1"/>
      <c r="KP167" s="1"/>
      <c r="KQ167" s="1"/>
      <c r="KR167" s="1"/>
      <c r="KS167" s="1"/>
      <c r="KT167" s="1"/>
      <c r="KU167" s="1"/>
      <c r="KV167" s="1"/>
      <c r="KW167" s="1"/>
      <c r="KX167" s="1"/>
      <c r="KY167" s="1"/>
      <c r="KZ167" s="1"/>
      <c r="LA167" s="1"/>
      <c r="LB167" s="1"/>
      <c r="LC167" s="1"/>
      <c r="LD167" s="1"/>
      <c r="LE167" s="1"/>
      <c r="LF167" s="1"/>
      <c r="LG167" s="1"/>
      <c r="LH167" s="1"/>
      <c r="LI167" s="1"/>
      <c r="LJ167" s="1"/>
      <c r="LK167" s="1"/>
      <c r="LL167" s="1"/>
      <c r="LM167" s="1"/>
      <c r="LN167" s="1"/>
      <c r="LO167" s="1"/>
      <c r="LP167" s="1"/>
      <c r="LQ167" s="1"/>
      <c r="LR167" s="1"/>
      <c r="LS167" s="1"/>
    </row>
    <row r="168" spans="1:331" s="45" customFormat="1" x14ac:dyDescent="0.25">
      <c r="A168" s="45" t="s">
        <v>694</v>
      </c>
      <c r="B168" s="45" t="s">
        <v>1360</v>
      </c>
      <c r="C168" s="96" t="s">
        <v>1648</v>
      </c>
      <c r="D168" s="45">
        <v>0</v>
      </c>
      <c r="H168" s="45" t="s">
        <v>692</v>
      </c>
      <c r="I168" s="45" t="s">
        <v>454</v>
      </c>
      <c r="J168" s="45" t="s">
        <v>692</v>
      </c>
      <c r="K168" s="45" t="s">
        <v>1554</v>
      </c>
      <c r="L168" s="45">
        <v>0</v>
      </c>
      <c r="O168" s="45">
        <v>0</v>
      </c>
      <c r="Q168" s="96" t="s">
        <v>1556</v>
      </c>
      <c r="R168" s="96"/>
      <c r="S168" s="45">
        <v>5</v>
      </c>
      <c r="W168" s="96"/>
      <c r="X168" s="96"/>
      <c r="Y168" s="96"/>
      <c r="Z168" s="45">
        <v>-1</v>
      </c>
      <c r="AA168" s="94" t="b">
        <v>0</v>
      </c>
      <c r="AB168" s="1"/>
      <c r="AC168" s="57" t="s">
        <v>1361</v>
      </c>
      <c r="AD168" s="1"/>
      <c r="AE168" s="57"/>
      <c r="AF168" s="1"/>
      <c r="AG168" s="1"/>
      <c r="AH168" s="1"/>
      <c r="AI168" s="1"/>
      <c r="AJ168" s="1"/>
      <c r="AK168" s="1"/>
      <c r="AL168" s="1"/>
      <c r="AM168" s="1"/>
      <c r="AN168" s="1"/>
      <c r="AO168" s="1"/>
      <c r="AP168" s="1"/>
      <c r="AQ168" s="1"/>
      <c r="AR168" s="1"/>
      <c r="AS168" s="1"/>
      <c r="AT168" s="1"/>
      <c r="AU168" s="1"/>
      <c r="AV168" s="1"/>
      <c r="AW168" s="1"/>
      <c r="AX168" s="1"/>
      <c r="AY168" s="1"/>
      <c r="AZ168" s="1"/>
      <c r="BA168" s="1"/>
      <c r="BB168" s="1"/>
      <c r="BC168" s="1"/>
      <c r="BD168" s="1"/>
      <c r="BE168" s="1"/>
      <c r="BF168" s="1"/>
      <c r="BG168" s="1"/>
      <c r="BH168" s="1"/>
      <c r="BI168" s="1"/>
      <c r="BJ168" s="1"/>
      <c r="BK168" s="1"/>
      <c r="BL168" s="1"/>
      <c r="BM168" s="1"/>
      <c r="BN168" s="1"/>
      <c r="BO168" s="1"/>
      <c r="BP168" s="1"/>
      <c r="BQ168" s="1"/>
      <c r="BR168" s="1"/>
      <c r="BS168" s="1"/>
      <c r="BT168" s="1"/>
      <c r="BU168" s="1"/>
      <c r="BV168" s="1"/>
      <c r="BW168" s="1"/>
      <c r="BX168" s="1"/>
      <c r="BY168" s="1"/>
      <c r="BZ168" s="1"/>
      <c r="CA168" s="1"/>
      <c r="CB168" s="1"/>
      <c r="CC168" s="1"/>
      <c r="CD168" s="1"/>
      <c r="CE168" s="1"/>
      <c r="CF168" s="1"/>
      <c r="CG168" s="1"/>
      <c r="CH168" s="1"/>
      <c r="CI168" s="1"/>
      <c r="CJ168" s="1"/>
      <c r="CK168" s="1"/>
      <c r="CL168" s="1"/>
      <c r="CM168" s="1"/>
      <c r="CN168" s="1"/>
      <c r="CO168" s="1"/>
      <c r="CP168" s="1"/>
      <c r="CQ168" s="1"/>
      <c r="CR168" s="1"/>
      <c r="CS168" s="1"/>
      <c r="CT168" s="1"/>
      <c r="CU168" s="1"/>
      <c r="CV168" s="1"/>
      <c r="CW168" s="1"/>
      <c r="CX168" s="1"/>
      <c r="CY168" s="1"/>
      <c r="CZ168" s="1"/>
      <c r="DA168" s="1"/>
      <c r="DB168" s="1"/>
      <c r="DC168" s="1"/>
      <c r="DD168" s="1"/>
      <c r="DE168" s="1"/>
      <c r="DF168" s="1"/>
      <c r="DG168" s="1"/>
      <c r="DH168" s="1"/>
      <c r="DI168" s="1"/>
      <c r="DJ168" s="1"/>
      <c r="DK168" s="1"/>
      <c r="DL168" s="1"/>
      <c r="DM168" s="1"/>
      <c r="DN168" s="1"/>
      <c r="DO168" s="1"/>
      <c r="DP168" s="1"/>
      <c r="DQ168" s="1"/>
      <c r="DR168" s="1"/>
      <c r="DS168" s="1"/>
      <c r="DT168" s="1"/>
      <c r="DU168" s="1"/>
      <c r="DV168" s="1"/>
      <c r="DW168" s="1"/>
      <c r="DX168" s="1"/>
      <c r="DY168" s="1"/>
      <c r="DZ168" s="1"/>
      <c r="EA168" s="1"/>
      <c r="EB168" s="1"/>
      <c r="EC168" s="1"/>
      <c r="ED168" s="1"/>
      <c r="EE168" s="1"/>
      <c r="EF168" s="1"/>
      <c r="EG168" s="1"/>
      <c r="EH168" s="1"/>
      <c r="EI168" s="1"/>
      <c r="EJ168" s="1"/>
      <c r="EK168" s="1"/>
      <c r="EL168" s="1"/>
      <c r="EM168" s="1"/>
      <c r="EN168" s="1"/>
      <c r="EO168" s="1"/>
      <c r="EP168" s="1"/>
      <c r="EQ168" s="1"/>
      <c r="ER168" s="1"/>
      <c r="ES168" s="1"/>
      <c r="ET168" s="1"/>
      <c r="EU168" s="1"/>
      <c r="EV168" s="1"/>
      <c r="EW168" s="1"/>
      <c r="EX168" s="1"/>
      <c r="EY168" s="1"/>
      <c r="EZ168" s="1"/>
      <c r="FA168" s="1"/>
      <c r="FB168" s="1"/>
      <c r="FC168" s="1"/>
      <c r="FD168" s="1"/>
      <c r="FE168" s="1"/>
      <c r="FF168" s="1"/>
      <c r="FG168" s="1"/>
      <c r="FH168" s="1"/>
      <c r="FI168" s="1"/>
      <c r="FJ168" s="1"/>
      <c r="FK168" s="1"/>
      <c r="FL168" s="1"/>
      <c r="FM168" s="1"/>
      <c r="FN168" s="1"/>
      <c r="FO168" s="1"/>
      <c r="FP168" s="1"/>
      <c r="FQ168" s="1"/>
      <c r="FR168" s="1"/>
      <c r="FS168" s="1"/>
      <c r="FT168" s="1"/>
      <c r="FU168" s="1"/>
      <c r="FV168" s="1"/>
      <c r="FW168" s="1"/>
      <c r="FX168" s="1"/>
      <c r="FY168" s="1"/>
      <c r="FZ168" s="1"/>
      <c r="GA168" s="1"/>
      <c r="GB168" s="1"/>
      <c r="GC168" s="1"/>
      <c r="GD168" s="1"/>
      <c r="GE168" s="1"/>
      <c r="GF168" s="1"/>
      <c r="GG168" s="1"/>
      <c r="GH168" s="1"/>
      <c r="GI168" s="1"/>
      <c r="GJ168" s="1"/>
      <c r="GK168" s="1"/>
      <c r="GL168" s="1"/>
      <c r="GM168" s="1"/>
      <c r="GN168" s="1"/>
      <c r="GO168" s="1"/>
      <c r="GP168" s="1"/>
      <c r="GQ168" s="1"/>
      <c r="GR168" s="1"/>
      <c r="GS168" s="1"/>
      <c r="GT168" s="1"/>
      <c r="GU168" s="1"/>
      <c r="GV168" s="1"/>
      <c r="GW168" s="1"/>
      <c r="GX168" s="1"/>
      <c r="GY168" s="1"/>
      <c r="GZ168" s="1"/>
      <c r="HA168" s="1"/>
      <c r="HB168" s="1"/>
      <c r="HC168" s="1"/>
      <c r="HD168" s="1"/>
      <c r="HE168" s="1"/>
      <c r="HF168" s="1"/>
      <c r="HG168" s="1"/>
      <c r="HH168" s="1"/>
      <c r="HI168" s="1"/>
      <c r="HJ168" s="1"/>
      <c r="HK168" s="1"/>
      <c r="HL168" s="1"/>
      <c r="HM168" s="1"/>
      <c r="HN168" s="1"/>
      <c r="HO168" s="1"/>
      <c r="HP168" s="1"/>
      <c r="HQ168" s="1"/>
      <c r="HR168" s="1"/>
      <c r="HS168" s="1"/>
      <c r="HT168" s="1"/>
      <c r="HU168" s="1"/>
      <c r="HV168" s="1"/>
      <c r="HW168" s="1"/>
      <c r="HX168" s="1"/>
      <c r="HY168" s="1"/>
      <c r="HZ168" s="1"/>
      <c r="IA168" s="1"/>
      <c r="IB168" s="1"/>
      <c r="IC168" s="1"/>
      <c r="ID168" s="1"/>
      <c r="IE168" s="1"/>
      <c r="IF168" s="1"/>
      <c r="IG168" s="1"/>
      <c r="IH168" s="1"/>
      <c r="II168" s="1"/>
      <c r="IJ168" s="1"/>
      <c r="IK168" s="1"/>
      <c r="IL168" s="1"/>
      <c r="IM168" s="1"/>
      <c r="IN168" s="1"/>
      <c r="IO168" s="1"/>
      <c r="IP168" s="1"/>
      <c r="IQ168" s="1"/>
      <c r="IR168" s="1"/>
      <c r="IS168" s="1"/>
      <c r="IT168" s="1"/>
      <c r="IU168" s="1"/>
      <c r="IV168" s="1"/>
      <c r="IW168" s="1"/>
      <c r="IX168" s="1"/>
      <c r="IY168" s="1"/>
      <c r="IZ168" s="1"/>
      <c r="JA168" s="1"/>
      <c r="JB168" s="1"/>
      <c r="JC168" s="1"/>
      <c r="JD168" s="1"/>
      <c r="JE168" s="1"/>
      <c r="JF168" s="1"/>
      <c r="JG168" s="1"/>
      <c r="JH168" s="1"/>
      <c r="JI168" s="1"/>
      <c r="JJ168" s="1"/>
      <c r="JK168" s="1"/>
      <c r="JL168" s="1"/>
      <c r="JM168" s="1"/>
      <c r="JN168" s="1"/>
      <c r="JO168" s="1"/>
      <c r="JP168" s="1"/>
      <c r="JQ168" s="1"/>
      <c r="JR168" s="1"/>
      <c r="JS168" s="1"/>
      <c r="JT168" s="1"/>
      <c r="JU168" s="1"/>
      <c r="JV168" s="1"/>
      <c r="JW168" s="1"/>
      <c r="JX168" s="1"/>
      <c r="JY168" s="1"/>
      <c r="JZ168" s="1"/>
      <c r="KA168" s="1"/>
      <c r="KB168" s="1"/>
      <c r="KC168" s="1"/>
      <c r="KD168" s="1"/>
      <c r="KE168" s="1"/>
      <c r="KF168" s="1"/>
      <c r="KG168" s="1"/>
      <c r="KH168" s="1"/>
      <c r="KI168" s="1"/>
      <c r="KJ168" s="1"/>
      <c r="KK168" s="1"/>
      <c r="KL168" s="1"/>
      <c r="KM168" s="1"/>
      <c r="KN168" s="1"/>
      <c r="KO168" s="1"/>
      <c r="KP168" s="1"/>
      <c r="KQ168" s="1"/>
      <c r="KR168" s="1"/>
      <c r="KS168" s="1"/>
      <c r="KT168" s="1"/>
      <c r="KU168" s="1"/>
      <c r="KV168" s="1"/>
      <c r="KW168" s="1"/>
      <c r="KX168" s="1"/>
      <c r="KY168" s="1"/>
      <c r="KZ168" s="1"/>
      <c r="LA168" s="1"/>
      <c r="LB168" s="1"/>
      <c r="LC168" s="1"/>
      <c r="LD168" s="1"/>
      <c r="LE168" s="1"/>
      <c r="LF168" s="1"/>
      <c r="LG168" s="1"/>
      <c r="LH168" s="1"/>
      <c r="LI168" s="1"/>
      <c r="LJ168" s="1"/>
      <c r="LK168" s="1"/>
      <c r="LL168" s="1"/>
      <c r="LM168" s="1"/>
      <c r="LN168" s="1"/>
      <c r="LO168" s="1"/>
      <c r="LP168" s="1"/>
      <c r="LQ168" s="1"/>
      <c r="LR168" s="1"/>
      <c r="LS168" s="1"/>
    </row>
    <row r="169" spans="1:331" s="25" customFormat="1" x14ac:dyDescent="0.25">
      <c r="A169" s="25" t="s">
        <v>695</v>
      </c>
      <c r="B169" s="29" t="s">
        <v>673</v>
      </c>
      <c r="C169" s="94" t="s">
        <v>1648</v>
      </c>
      <c r="D169" s="25">
        <v>0</v>
      </c>
      <c r="H169" s="25" t="s">
        <v>696</v>
      </c>
      <c r="I169" s="25" t="s">
        <v>697</v>
      </c>
      <c r="J169" s="25" t="s">
        <v>696</v>
      </c>
      <c r="K169" s="25" t="s">
        <v>697</v>
      </c>
      <c r="L169" s="25">
        <v>0</v>
      </c>
      <c r="O169" s="25">
        <v>1</v>
      </c>
      <c r="Q169" s="96" t="s">
        <v>1326</v>
      </c>
      <c r="R169" s="96"/>
      <c r="S169" s="25">
        <v>8</v>
      </c>
      <c r="U169" s="25">
        <v>5</v>
      </c>
      <c r="W169" s="96">
        <v>8</v>
      </c>
      <c r="X169" s="96"/>
      <c r="Y169" s="96"/>
      <c r="Z169" s="25">
        <v>-1</v>
      </c>
      <c r="AA169" s="94" t="b">
        <v>1</v>
      </c>
      <c r="AB169" s="1"/>
      <c r="AC169" s="57" t="s">
        <v>1362</v>
      </c>
      <c r="AD169" s="1"/>
      <c r="AE169" s="57"/>
      <c r="AF169" s="1"/>
      <c r="AG169" s="1"/>
      <c r="AH169" s="1"/>
      <c r="AI169" s="1"/>
      <c r="AJ169" s="1"/>
      <c r="AK169" s="1"/>
      <c r="AL169" s="1"/>
      <c r="AM169" s="1"/>
      <c r="AN169" s="1"/>
      <c r="AO169" s="1"/>
      <c r="AP169" s="1"/>
      <c r="AQ169" s="1"/>
      <c r="AR169" s="1"/>
      <c r="AS169" s="1"/>
      <c r="AT169" s="1"/>
      <c r="AU169" s="1"/>
      <c r="AV169" s="1"/>
      <c r="AW169" s="1"/>
      <c r="AX169" s="1"/>
      <c r="AY169" s="1"/>
      <c r="AZ169" s="1"/>
      <c r="BA169" s="1"/>
      <c r="BB169" s="1"/>
      <c r="BC169" s="1"/>
      <c r="BD169" s="1"/>
      <c r="BE169" s="1"/>
      <c r="BF169" s="1"/>
      <c r="BG169" s="1"/>
      <c r="BH169" s="1"/>
      <c r="BI169" s="1"/>
      <c r="BJ169" s="1"/>
      <c r="BK169" s="1"/>
      <c r="BL169" s="1"/>
      <c r="BM169" s="1"/>
      <c r="BN169" s="1"/>
      <c r="BO169" s="1"/>
      <c r="BP169" s="1"/>
      <c r="BQ169" s="1"/>
      <c r="BR169" s="1"/>
      <c r="BS169" s="1"/>
      <c r="BT169" s="1"/>
      <c r="BU169" s="1"/>
      <c r="BV169" s="1"/>
      <c r="BW169" s="1"/>
      <c r="BX169" s="1"/>
      <c r="BY169" s="1"/>
      <c r="BZ169" s="1"/>
      <c r="CA169" s="1"/>
      <c r="CB169" s="1"/>
      <c r="CC169" s="1"/>
      <c r="CD169" s="1"/>
      <c r="CE169" s="1"/>
      <c r="CF169" s="1"/>
      <c r="CG169" s="1"/>
      <c r="CH169" s="1"/>
      <c r="CI169" s="1"/>
      <c r="CJ169" s="1"/>
      <c r="CK169" s="1"/>
      <c r="CL169" s="1"/>
      <c r="CM169" s="1"/>
      <c r="CN169" s="1"/>
      <c r="CO169" s="1"/>
      <c r="CP169" s="1"/>
      <c r="CQ169" s="1"/>
      <c r="CR169" s="1"/>
      <c r="CS169" s="1"/>
      <c r="CT169" s="1"/>
      <c r="CU169" s="1"/>
      <c r="CV169" s="1"/>
      <c r="CW169" s="1"/>
      <c r="CX169" s="1"/>
      <c r="CY169" s="1"/>
      <c r="CZ169" s="1"/>
      <c r="DA169" s="1"/>
      <c r="DB169" s="1"/>
      <c r="DC169" s="1"/>
      <c r="DD169" s="1"/>
      <c r="DE169" s="1"/>
      <c r="DF169" s="1"/>
      <c r="DG169" s="1"/>
      <c r="DH169" s="1"/>
      <c r="DI169" s="1"/>
      <c r="DJ169" s="1"/>
      <c r="DK169" s="1"/>
      <c r="DL169" s="1"/>
      <c r="DM169" s="1"/>
      <c r="DN169" s="1"/>
      <c r="DO169" s="1"/>
      <c r="DP169" s="1"/>
      <c r="DQ169" s="1"/>
      <c r="DR169" s="1"/>
      <c r="DS169" s="1"/>
      <c r="DT169" s="1"/>
      <c r="DU169" s="1"/>
      <c r="DV169" s="1"/>
      <c r="DW169" s="1"/>
      <c r="DX169" s="1"/>
      <c r="DY169" s="1"/>
      <c r="DZ169" s="1"/>
      <c r="EA169" s="1"/>
      <c r="EB169" s="1"/>
      <c r="EC169" s="1"/>
      <c r="ED169" s="1"/>
      <c r="EE169" s="1"/>
      <c r="EF169" s="1"/>
      <c r="EG169" s="1"/>
      <c r="EH169" s="1"/>
      <c r="EI169" s="1"/>
      <c r="EJ169" s="1"/>
      <c r="EK169" s="1"/>
      <c r="EL169" s="1"/>
      <c r="EM169" s="1"/>
      <c r="EN169" s="1"/>
      <c r="EO169" s="1"/>
      <c r="EP169" s="1"/>
      <c r="EQ169" s="1"/>
      <c r="ER169" s="1"/>
      <c r="ES169" s="1"/>
      <c r="ET169" s="1"/>
      <c r="EU169" s="1"/>
      <c r="EV169" s="1"/>
      <c r="EW169" s="1"/>
      <c r="EX169" s="1"/>
      <c r="EY169" s="1"/>
      <c r="EZ169" s="1"/>
      <c r="FA169" s="1"/>
      <c r="FB169" s="1"/>
      <c r="FC169" s="1"/>
      <c r="FD169" s="1"/>
      <c r="FE169" s="1"/>
      <c r="FF169" s="1"/>
      <c r="FG169" s="1"/>
      <c r="FH169" s="1"/>
      <c r="FI169" s="1"/>
      <c r="FJ169" s="1"/>
      <c r="FK169" s="1"/>
      <c r="FL169" s="1"/>
      <c r="FM169" s="1"/>
      <c r="FN169" s="1"/>
      <c r="FO169" s="1"/>
      <c r="FP169" s="1"/>
      <c r="FQ169" s="1"/>
      <c r="FR169" s="1"/>
      <c r="FS169" s="1"/>
      <c r="FT169" s="1"/>
      <c r="FU169" s="1"/>
      <c r="FV169" s="1"/>
      <c r="FW169" s="1"/>
      <c r="FX169" s="1"/>
      <c r="FY169" s="1"/>
      <c r="FZ169" s="1"/>
      <c r="GA169" s="1"/>
      <c r="GB169" s="1"/>
      <c r="GC169" s="1"/>
      <c r="GD169" s="1"/>
      <c r="GE169" s="1"/>
      <c r="GF169" s="1"/>
      <c r="GG169" s="1"/>
      <c r="GH169" s="1"/>
      <c r="GI169" s="1"/>
      <c r="GJ169" s="1"/>
      <c r="GK169" s="1"/>
      <c r="GL169" s="1"/>
      <c r="GM169" s="1"/>
      <c r="GN169" s="1"/>
      <c r="GO169" s="1"/>
      <c r="GP169" s="1"/>
      <c r="GQ169" s="1"/>
      <c r="GR169" s="1"/>
      <c r="GS169" s="1"/>
      <c r="GT169" s="1"/>
      <c r="GU169" s="1"/>
      <c r="GV169" s="1"/>
      <c r="GW169" s="1"/>
      <c r="GX169" s="1"/>
      <c r="GY169" s="1"/>
      <c r="GZ169" s="1"/>
      <c r="HA169" s="1"/>
      <c r="HB169" s="1"/>
      <c r="HC169" s="1"/>
      <c r="HD169" s="1"/>
      <c r="HE169" s="1"/>
      <c r="HF169" s="1"/>
      <c r="HG169" s="1"/>
      <c r="HH169" s="1"/>
      <c r="HI169" s="1"/>
      <c r="HJ169" s="1"/>
      <c r="HK169" s="1"/>
      <c r="HL169" s="1"/>
      <c r="HM169" s="1"/>
      <c r="HN169" s="1"/>
      <c r="HO169" s="1"/>
      <c r="HP169" s="1"/>
      <c r="HQ169" s="1"/>
      <c r="HR169" s="1"/>
      <c r="HS169" s="1"/>
      <c r="HT169" s="1"/>
      <c r="HU169" s="1"/>
      <c r="HV169" s="1"/>
      <c r="HW169" s="1"/>
      <c r="HX169" s="1"/>
      <c r="HY169" s="1"/>
      <c r="HZ169" s="1"/>
      <c r="IA169" s="1"/>
      <c r="IB169" s="1"/>
      <c r="IC169" s="1"/>
      <c r="ID169" s="1"/>
      <c r="IE169" s="1"/>
      <c r="IF169" s="1"/>
      <c r="IG169" s="1"/>
      <c r="IH169" s="1"/>
      <c r="II169" s="1"/>
      <c r="IJ169" s="1"/>
      <c r="IK169" s="1"/>
      <c r="IL169" s="1"/>
      <c r="IM169" s="1"/>
      <c r="IN169" s="1"/>
      <c r="IO169" s="1"/>
      <c r="IP169" s="1"/>
      <c r="IQ169" s="1"/>
      <c r="IR169" s="1"/>
      <c r="IS169" s="1"/>
      <c r="IT169" s="1"/>
      <c r="IU169" s="1"/>
      <c r="IV169" s="1"/>
      <c r="IW169" s="1"/>
      <c r="IX169" s="1"/>
      <c r="IY169" s="1"/>
      <c r="IZ169" s="1"/>
      <c r="JA169" s="1"/>
      <c r="JB169" s="1"/>
      <c r="JC169" s="1"/>
      <c r="JD169" s="1"/>
      <c r="JE169" s="1"/>
      <c r="JF169" s="1"/>
      <c r="JG169" s="1"/>
      <c r="JH169" s="1"/>
      <c r="JI169" s="1"/>
      <c r="JJ169" s="1"/>
      <c r="JK169" s="1"/>
      <c r="JL169" s="1"/>
      <c r="JM169" s="1"/>
      <c r="JN169" s="1"/>
      <c r="JO169" s="1"/>
      <c r="JP169" s="1"/>
      <c r="JQ169" s="1"/>
      <c r="JR169" s="1"/>
      <c r="JS169" s="1"/>
      <c r="JT169" s="1"/>
      <c r="JU169" s="1"/>
      <c r="JV169" s="1"/>
      <c r="JW169" s="1"/>
      <c r="JX169" s="1"/>
      <c r="JY169" s="1"/>
      <c r="JZ169" s="1"/>
      <c r="KA169" s="1"/>
      <c r="KB169" s="1"/>
      <c r="KC169" s="1"/>
      <c r="KD169" s="1"/>
      <c r="KE169" s="1"/>
      <c r="KF169" s="1"/>
      <c r="KG169" s="1"/>
      <c r="KH169" s="1"/>
      <c r="KI169" s="1"/>
      <c r="KJ169" s="1"/>
      <c r="KK169" s="1"/>
      <c r="KL169" s="1"/>
      <c r="KM169" s="1"/>
      <c r="KN169" s="1"/>
      <c r="KO169" s="1"/>
      <c r="KP169" s="1"/>
      <c r="KQ169" s="1"/>
      <c r="KR169" s="1"/>
      <c r="KS169" s="1"/>
      <c r="KT169" s="1"/>
      <c r="KU169" s="1"/>
      <c r="KV169" s="1"/>
      <c r="KW169" s="1"/>
      <c r="KX169" s="1"/>
      <c r="KY169" s="1"/>
      <c r="KZ169" s="1"/>
      <c r="LA169" s="1"/>
      <c r="LB169" s="1"/>
      <c r="LC169" s="1"/>
      <c r="LD169" s="1"/>
      <c r="LE169" s="1"/>
      <c r="LF169" s="1"/>
      <c r="LG169" s="1"/>
      <c r="LH169" s="1"/>
      <c r="LI169" s="1"/>
      <c r="LJ169" s="1"/>
      <c r="LK169" s="1"/>
      <c r="LL169" s="1"/>
      <c r="LM169" s="1"/>
      <c r="LN169" s="1"/>
      <c r="LO169" s="1"/>
      <c r="LP169" s="1"/>
      <c r="LQ169" s="1"/>
      <c r="LR169" s="1"/>
      <c r="LS169" s="1"/>
    </row>
    <row r="170" spans="1:331" s="40" customFormat="1" x14ac:dyDescent="0.25">
      <c r="A170" s="40" t="s">
        <v>698</v>
      </c>
      <c r="B170" s="44">
        <v>2854623</v>
      </c>
      <c r="C170" s="94" t="s">
        <v>1648</v>
      </c>
      <c r="D170" s="40">
        <v>0</v>
      </c>
      <c r="H170" s="40" t="s">
        <v>699</v>
      </c>
      <c r="I170" s="40" t="s">
        <v>700</v>
      </c>
      <c r="J170" s="40" t="s">
        <v>699</v>
      </c>
      <c r="K170" s="40" t="s">
        <v>700</v>
      </c>
      <c r="L170" s="40">
        <v>0</v>
      </c>
      <c r="O170" s="40">
        <v>1</v>
      </c>
      <c r="P170" s="40" t="s">
        <v>701</v>
      </c>
      <c r="Q170" s="96" t="s">
        <v>1557</v>
      </c>
      <c r="R170" s="96"/>
      <c r="S170" s="40">
        <v>16</v>
      </c>
      <c r="U170" s="40">
        <v>14</v>
      </c>
      <c r="W170" s="96">
        <v>16</v>
      </c>
      <c r="X170" s="96"/>
      <c r="Y170" s="96"/>
      <c r="Z170" s="40">
        <v>8</v>
      </c>
      <c r="AA170" s="94" t="b">
        <v>1</v>
      </c>
      <c r="AB170" s="1"/>
      <c r="AC170" s="57" t="s">
        <v>1421</v>
      </c>
      <c r="AD170" s="1"/>
      <c r="AE170" s="57"/>
      <c r="AF170" s="1"/>
      <c r="AG170" s="1"/>
      <c r="AH170" s="1"/>
      <c r="AI170" s="1"/>
      <c r="AJ170" s="1"/>
      <c r="AK170" s="1"/>
      <c r="AL170" s="1"/>
      <c r="AM170" s="1"/>
      <c r="AN170" s="1"/>
      <c r="AO170" s="1"/>
      <c r="AP170" s="1"/>
      <c r="AQ170" s="1"/>
      <c r="AR170" s="1"/>
      <c r="AS170" s="1"/>
      <c r="AT170" s="1"/>
      <c r="AU170" s="1"/>
      <c r="AV170" s="1"/>
      <c r="AW170" s="1"/>
      <c r="AX170" s="1"/>
      <c r="AY170" s="1"/>
      <c r="AZ170" s="1"/>
      <c r="BA170" s="1"/>
      <c r="BB170" s="1"/>
      <c r="BC170" s="1"/>
      <c r="BD170" s="1"/>
      <c r="BE170" s="1"/>
      <c r="BF170" s="1"/>
      <c r="BG170" s="1"/>
      <c r="BH170" s="1"/>
      <c r="BI170" s="1"/>
      <c r="BJ170" s="1"/>
      <c r="BK170" s="1"/>
      <c r="BL170" s="1"/>
      <c r="BM170" s="1"/>
      <c r="BN170" s="1"/>
      <c r="BO170" s="1"/>
      <c r="BP170" s="1"/>
      <c r="BQ170" s="1"/>
      <c r="BR170" s="1"/>
      <c r="BS170" s="1"/>
      <c r="BT170" s="1"/>
      <c r="BU170" s="1"/>
      <c r="BV170" s="1"/>
      <c r="BW170" s="1"/>
      <c r="BX170" s="1"/>
      <c r="BY170" s="1"/>
      <c r="BZ170" s="1"/>
      <c r="CA170" s="1"/>
      <c r="CB170" s="1"/>
      <c r="CC170" s="1"/>
      <c r="CD170" s="1"/>
      <c r="CE170" s="1"/>
      <c r="CF170" s="1"/>
      <c r="CG170" s="1"/>
      <c r="CH170" s="1"/>
      <c r="CI170" s="1"/>
      <c r="CJ170" s="1"/>
      <c r="CK170" s="1"/>
      <c r="CL170" s="1"/>
      <c r="CM170" s="1"/>
      <c r="CN170" s="1"/>
      <c r="CO170" s="1"/>
      <c r="CP170" s="1"/>
      <c r="CQ170" s="1"/>
      <c r="CR170" s="1"/>
      <c r="CS170" s="1"/>
      <c r="CT170" s="1"/>
      <c r="CU170" s="1"/>
      <c r="CV170" s="1"/>
      <c r="CW170" s="1"/>
      <c r="CX170" s="1"/>
      <c r="CY170" s="1"/>
      <c r="CZ170" s="1"/>
      <c r="DA170" s="1"/>
      <c r="DB170" s="1"/>
      <c r="DC170" s="1"/>
      <c r="DD170" s="1"/>
      <c r="DE170" s="1"/>
      <c r="DF170" s="1"/>
      <c r="DG170" s="1"/>
      <c r="DH170" s="1"/>
      <c r="DI170" s="1"/>
      <c r="DJ170" s="1"/>
      <c r="DK170" s="1"/>
      <c r="DL170" s="1"/>
      <c r="DM170" s="1"/>
      <c r="DN170" s="1"/>
      <c r="DO170" s="1"/>
      <c r="DP170" s="1"/>
      <c r="DQ170" s="1"/>
      <c r="DR170" s="1"/>
      <c r="DS170" s="1"/>
      <c r="DT170" s="1"/>
      <c r="DU170" s="1"/>
      <c r="DV170" s="1"/>
      <c r="DW170" s="1"/>
      <c r="DX170" s="1"/>
      <c r="DY170" s="1"/>
      <c r="DZ170" s="1"/>
      <c r="EA170" s="1"/>
      <c r="EB170" s="1"/>
      <c r="EC170" s="1"/>
      <c r="ED170" s="1"/>
      <c r="EE170" s="1"/>
      <c r="EF170" s="1"/>
      <c r="EG170" s="1"/>
      <c r="EH170" s="1"/>
      <c r="EI170" s="1"/>
      <c r="EJ170" s="1"/>
      <c r="EK170" s="1"/>
      <c r="EL170" s="1"/>
      <c r="EM170" s="1"/>
      <c r="EN170" s="1"/>
      <c r="EO170" s="1"/>
      <c r="EP170" s="1"/>
      <c r="EQ170" s="1"/>
      <c r="ER170" s="1"/>
      <c r="ES170" s="1"/>
      <c r="ET170" s="1"/>
      <c r="EU170" s="1"/>
      <c r="EV170" s="1"/>
      <c r="EW170" s="1"/>
      <c r="EX170" s="1"/>
      <c r="EY170" s="1"/>
      <c r="EZ170" s="1"/>
      <c r="FA170" s="1"/>
      <c r="FB170" s="1"/>
      <c r="FC170" s="1"/>
      <c r="FD170" s="1"/>
      <c r="FE170" s="1"/>
      <c r="FF170" s="1"/>
      <c r="FG170" s="1"/>
      <c r="FH170" s="1"/>
      <c r="FI170" s="1"/>
      <c r="FJ170" s="1"/>
      <c r="FK170" s="1"/>
      <c r="FL170" s="1"/>
      <c r="FM170" s="1"/>
      <c r="FN170" s="1"/>
      <c r="FO170" s="1"/>
      <c r="FP170" s="1"/>
      <c r="FQ170" s="1"/>
      <c r="FR170" s="1"/>
      <c r="FS170" s="1"/>
      <c r="FT170" s="1"/>
      <c r="FU170" s="1"/>
      <c r="FV170" s="1"/>
      <c r="FW170" s="1"/>
      <c r="FX170" s="1"/>
      <c r="FY170" s="1"/>
      <c r="FZ170" s="1"/>
      <c r="GA170" s="1"/>
      <c r="GB170" s="1"/>
      <c r="GC170" s="1"/>
      <c r="GD170" s="1"/>
      <c r="GE170" s="1"/>
      <c r="GF170" s="1"/>
      <c r="GG170" s="1"/>
      <c r="GH170" s="1"/>
      <c r="GI170" s="1"/>
      <c r="GJ170" s="1"/>
      <c r="GK170" s="1"/>
      <c r="GL170" s="1"/>
      <c r="GM170" s="1"/>
      <c r="GN170" s="1"/>
      <c r="GO170" s="1"/>
      <c r="GP170" s="1"/>
      <c r="GQ170" s="1"/>
      <c r="GR170" s="1"/>
      <c r="GS170" s="1"/>
      <c r="GT170" s="1"/>
      <c r="GU170" s="1"/>
      <c r="GV170" s="1"/>
      <c r="GW170" s="1"/>
      <c r="GX170" s="1"/>
      <c r="GY170" s="1"/>
      <c r="GZ170" s="1"/>
      <c r="HA170" s="1"/>
      <c r="HB170" s="1"/>
      <c r="HC170" s="1"/>
      <c r="HD170" s="1"/>
      <c r="HE170" s="1"/>
      <c r="HF170" s="1"/>
      <c r="HG170" s="1"/>
      <c r="HH170" s="1"/>
      <c r="HI170" s="1"/>
      <c r="HJ170" s="1"/>
      <c r="HK170" s="1"/>
      <c r="HL170" s="1"/>
      <c r="HM170" s="1"/>
      <c r="HN170" s="1"/>
      <c r="HO170" s="1"/>
      <c r="HP170" s="1"/>
      <c r="HQ170" s="1"/>
      <c r="HR170" s="1"/>
      <c r="HS170" s="1"/>
      <c r="HT170" s="1"/>
      <c r="HU170" s="1"/>
      <c r="HV170" s="1"/>
      <c r="HW170" s="1"/>
      <c r="HX170" s="1"/>
      <c r="HY170" s="1"/>
      <c r="HZ170" s="1"/>
      <c r="IA170" s="1"/>
      <c r="IB170" s="1"/>
      <c r="IC170" s="1"/>
      <c r="ID170" s="1"/>
      <c r="IE170" s="1"/>
      <c r="IF170" s="1"/>
      <c r="IG170" s="1"/>
      <c r="IH170" s="1"/>
      <c r="II170" s="1"/>
      <c r="IJ170" s="1"/>
      <c r="IK170" s="1"/>
      <c r="IL170" s="1"/>
      <c r="IM170" s="1"/>
      <c r="IN170" s="1"/>
      <c r="IO170" s="1"/>
      <c r="IP170" s="1"/>
      <c r="IQ170" s="1"/>
      <c r="IR170" s="1"/>
      <c r="IS170" s="1"/>
      <c r="IT170" s="1"/>
      <c r="IU170" s="1"/>
      <c r="IV170" s="1"/>
      <c r="IW170" s="1"/>
      <c r="IX170" s="1"/>
      <c r="IY170" s="1"/>
      <c r="IZ170" s="1"/>
      <c r="JA170" s="1"/>
      <c r="JB170" s="1"/>
      <c r="JC170" s="1"/>
      <c r="JD170" s="1"/>
      <c r="JE170" s="1"/>
      <c r="JF170" s="1"/>
      <c r="JG170" s="1"/>
      <c r="JH170" s="1"/>
      <c r="JI170" s="1"/>
      <c r="JJ170" s="1"/>
      <c r="JK170" s="1"/>
      <c r="JL170" s="1"/>
      <c r="JM170" s="1"/>
      <c r="JN170" s="1"/>
      <c r="JO170" s="1"/>
      <c r="JP170" s="1"/>
      <c r="JQ170" s="1"/>
      <c r="JR170" s="1"/>
      <c r="JS170" s="1"/>
      <c r="JT170" s="1"/>
      <c r="JU170" s="1"/>
      <c r="JV170" s="1"/>
      <c r="JW170" s="1"/>
      <c r="JX170" s="1"/>
      <c r="JY170" s="1"/>
      <c r="JZ170" s="1"/>
      <c r="KA170" s="1"/>
      <c r="KB170" s="1"/>
      <c r="KC170" s="1"/>
      <c r="KD170" s="1"/>
      <c r="KE170" s="1"/>
      <c r="KF170" s="1"/>
      <c r="KG170" s="1"/>
      <c r="KH170" s="1"/>
      <c r="KI170" s="1"/>
      <c r="KJ170" s="1"/>
      <c r="KK170" s="1"/>
      <c r="KL170" s="1"/>
      <c r="KM170" s="1"/>
      <c r="KN170" s="1"/>
      <c r="KO170" s="1"/>
      <c r="KP170" s="1"/>
      <c r="KQ170" s="1"/>
      <c r="KR170" s="1"/>
      <c r="KS170" s="1"/>
      <c r="KT170" s="1"/>
      <c r="KU170" s="1"/>
      <c r="KV170" s="1"/>
      <c r="KW170" s="1"/>
      <c r="KX170" s="1"/>
      <c r="KY170" s="1"/>
      <c r="KZ170" s="1"/>
      <c r="LA170" s="1"/>
      <c r="LB170" s="1"/>
      <c r="LC170" s="1"/>
      <c r="LD170" s="1"/>
      <c r="LE170" s="1"/>
      <c r="LF170" s="1"/>
      <c r="LG170" s="1"/>
      <c r="LH170" s="1"/>
      <c r="LI170" s="1"/>
      <c r="LJ170" s="1"/>
      <c r="LK170" s="1"/>
      <c r="LL170" s="1"/>
      <c r="LM170" s="1"/>
      <c r="LN170" s="1"/>
      <c r="LO170" s="1"/>
      <c r="LP170" s="1"/>
      <c r="LQ170" s="1"/>
      <c r="LR170" s="1"/>
      <c r="LS170" s="1"/>
    </row>
    <row r="171" spans="1:331" s="25" customFormat="1" x14ac:dyDescent="0.25">
      <c r="A171" s="25" t="s">
        <v>702</v>
      </c>
      <c r="B171" s="29" t="s">
        <v>1363</v>
      </c>
      <c r="C171" s="94" t="s">
        <v>1648</v>
      </c>
      <c r="D171" s="25">
        <v>0</v>
      </c>
      <c r="H171" s="25" t="s">
        <v>703</v>
      </c>
      <c r="I171" s="25" t="s">
        <v>704</v>
      </c>
      <c r="J171" s="25" t="s">
        <v>703</v>
      </c>
      <c r="K171" s="25" t="s">
        <v>697</v>
      </c>
      <c r="L171" s="25">
        <v>0</v>
      </c>
      <c r="O171" s="25">
        <v>0</v>
      </c>
      <c r="Q171" s="96" t="s">
        <v>1558</v>
      </c>
      <c r="R171" s="96"/>
      <c r="T171" s="25">
        <v>10</v>
      </c>
      <c r="V171" s="25">
        <v>9</v>
      </c>
      <c r="W171" s="96">
        <v>10</v>
      </c>
      <c r="X171" s="96"/>
      <c r="Y171" s="96"/>
      <c r="Z171" s="25">
        <v>5</v>
      </c>
      <c r="AA171" s="94" t="b">
        <v>1</v>
      </c>
      <c r="AB171" s="1"/>
      <c r="AC171" s="57" t="s">
        <v>1364</v>
      </c>
      <c r="AD171" s="1"/>
      <c r="AE171" s="57"/>
      <c r="AF171" s="1"/>
      <c r="AG171" s="1"/>
      <c r="AH171" s="1"/>
      <c r="AI171" s="1"/>
      <c r="AJ171" s="1"/>
      <c r="AK171" s="1"/>
      <c r="AL171" s="1"/>
      <c r="AM171" s="1"/>
      <c r="AN171" s="1"/>
      <c r="AO171" s="1"/>
      <c r="AP171" s="1"/>
      <c r="AQ171" s="1"/>
      <c r="AR171" s="1"/>
      <c r="AS171" s="1"/>
      <c r="AT171" s="1"/>
      <c r="AU171" s="1"/>
      <c r="AV171" s="1"/>
      <c r="AW171" s="1"/>
      <c r="AX171" s="1"/>
      <c r="AY171" s="1"/>
      <c r="AZ171" s="1"/>
      <c r="BA171" s="1"/>
      <c r="BB171" s="1"/>
      <c r="BC171" s="1"/>
      <c r="BD171" s="1"/>
      <c r="BE171" s="1"/>
      <c r="BF171" s="1"/>
      <c r="BG171" s="1"/>
      <c r="BH171" s="1"/>
      <c r="BI171" s="1"/>
      <c r="BJ171" s="1"/>
      <c r="BK171" s="1"/>
      <c r="BL171" s="1"/>
      <c r="BM171" s="1"/>
      <c r="BN171" s="1"/>
      <c r="BO171" s="1"/>
      <c r="BP171" s="1"/>
      <c r="BQ171" s="1"/>
      <c r="BR171" s="1"/>
      <c r="BS171" s="1"/>
      <c r="BT171" s="1"/>
      <c r="BU171" s="1"/>
      <c r="BV171" s="1"/>
      <c r="BW171" s="1"/>
      <c r="BX171" s="1"/>
      <c r="BY171" s="1"/>
      <c r="BZ171" s="1"/>
      <c r="CA171" s="1"/>
      <c r="CB171" s="1"/>
      <c r="CC171" s="1"/>
      <c r="CD171" s="1"/>
      <c r="CE171" s="1"/>
      <c r="CF171" s="1"/>
      <c r="CG171" s="1"/>
      <c r="CH171" s="1"/>
      <c r="CI171" s="1"/>
      <c r="CJ171" s="1"/>
      <c r="CK171" s="1"/>
      <c r="CL171" s="1"/>
      <c r="CM171" s="1"/>
      <c r="CN171" s="1"/>
      <c r="CO171" s="1"/>
      <c r="CP171" s="1"/>
      <c r="CQ171" s="1"/>
      <c r="CR171" s="1"/>
      <c r="CS171" s="1"/>
      <c r="CT171" s="1"/>
      <c r="CU171" s="1"/>
      <c r="CV171" s="1"/>
      <c r="CW171" s="1"/>
      <c r="CX171" s="1"/>
      <c r="CY171" s="1"/>
      <c r="CZ171" s="1"/>
      <c r="DA171" s="1"/>
      <c r="DB171" s="1"/>
      <c r="DC171" s="1"/>
      <c r="DD171" s="1"/>
      <c r="DE171" s="1"/>
      <c r="DF171" s="1"/>
      <c r="DG171" s="1"/>
      <c r="DH171" s="1"/>
      <c r="DI171" s="1"/>
      <c r="DJ171" s="1"/>
      <c r="DK171" s="1"/>
      <c r="DL171" s="1"/>
      <c r="DM171" s="1"/>
      <c r="DN171" s="1"/>
      <c r="DO171" s="1"/>
      <c r="DP171" s="1"/>
      <c r="DQ171" s="1"/>
      <c r="DR171" s="1"/>
      <c r="DS171" s="1"/>
      <c r="DT171" s="1"/>
      <c r="DU171" s="1"/>
      <c r="DV171" s="1"/>
      <c r="DW171" s="1"/>
      <c r="DX171" s="1"/>
      <c r="DY171" s="1"/>
      <c r="DZ171" s="1"/>
      <c r="EA171" s="1"/>
      <c r="EB171" s="1"/>
      <c r="EC171" s="1"/>
      <c r="ED171" s="1"/>
      <c r="EE171" s="1"/>
      <c r="EF171" s="1"/>
      <c r="EG171" s="1"/>
      <c r="EH171" s="1"/>
      <c r="EI171" s="1"/>
      <c r="EJ171" s="1"/>
      <c r="EK171" s="1"/>
      <c r="EL171" s="1"/>
      <c r="EM171" s="1"/>
      <c r="EN171" s="1"/>
      <c r="EO171" s="1"/>
      <c r="EP171" s="1"/>
      <c r="EQ171" s="1"/>
      <c r="ER171" s="1"/>
      <c r="ES171" s="1"/>
      <c r="ET171" s="1"/>
      <c r="EU171" s="1"/>
      <c r="EV171" s="1"/>
      <c r="EW171" s="1"/>
      <c r="EX171" s="1"/>
      <c r="EY171" s="1"/>
      <c r="EZ171" s="1"/>
      <c r="FA171" s="1"/>
      <c r="FB171" s="1"/>
      <c r="FC171" s="1"/>
      <c r="FD171" s="1"/>
      <c r="FE171" s="1"/>
      <c r="FF171" s="1"/>
      <c r="FG171" s="1"/>
      <c r="FH171" s="1"/>
      <c r="FI171" s="1"/>
      <c r="FJ171" s="1"/>
      <c r="FK171" s="1"/>
      <c r="FL171" s="1"/>
      <c r="FM171" s="1"/>
      <c r="FN171" s="1"/>
      <c r="FO171" s="1"/>
      <c r="FP171" s="1"/>
      <c r="FQ171" s="1"/>
      <c r="FR171" s="1"/>
      <c r="FS171" s="1"/>
      <c r="FT171" s="1"/>
      <c r="FU171" s="1"/>
      <c r="FV171" s="1"/>
      <c r="FW171" s="1"/>
      <c r="FX171" s="1"/>
      <c r="FY171" s="1"/>
      <c r="FZ171" s="1"/>
      <c r="GA171" s="1"/>
      <c r="GB171" s="1"/>
      <c r="GC171" s="1"/>
      <c r="GD171" s="1"/>
      <c r="GE171" s="1"/>
      <c r="GF171" s="1"/>
      <c r="GG171" s="1"/>
      <c r="GH171" s="1"/>
      <c r="GI171" s="1"/>
      <c r="GJ171" s="1"/>
      <c r="GK171" s="1"/>
      <c r="GL171" s="1"/>
      <c r="GM171" s="1"/>
      <c r="GN171" s="1"/>
      <c r="GO171" s="1"/>
      <c r="GP171" s="1"/>
      <c r="GQ171" s="1"/>
      <c r="GR171" s="1"/>
      <c r="GS171" s="1"/>
      <c r="GT171" s="1"/>
      <c r="GU171" s="1"/>
      <c r="GV171" s="1"/>
      <c r="GW171" s="1"/>
      <c r="GX171" s="1"/>
      <c r="GY171" s="1"/>
      <c r="GZ171" s="1"/>
      <c r="HA171" s="1"/>
      <c r="HB171" s="1"/>
      <c r="HC171" s="1"/>
      <c r="HD171" s="1"/>
      <c r="HE171" s="1"/>
      <c r="HF171" s="1"/>
      <c r="HG171" s="1"/>
      <c r="HH171" s="1"/>
      <c r="HI171" s="1"/>
      <c r="HJ171" s="1"/>
      <c r="HK171" s="1"/>
      <c r="HL171" s="1"/>
      <c r="HM171" s="1"/>
      <c r="HN171" s="1"/>
      <c r="HO171" s="1"/>
      <c r="HP171" s="1"/>
      <c r="HQ171" s="1"/>
      <c r="HR171" s="1"/>
      <c r="HS171" s="1"/>
      <c r="HT171" s="1"/>
      <c r="HU171" s="1"/>
      <c r="HV171" s="1"/>
      <c r="HW171" s="1"/>
      <c r="HX171" s="1"/>
      <c r="HY171" s="1"/>
      <c r="HZ171" s="1"/>
      <c r="IA171" s="1"/>
      <c r="IB171" s="1"/>
      <c r="IC171" s="1"/>
      <c r="ID171" s="1"/>
      <c r="IE171" s="1"/>
      <c r="IF171" s="1"/>
      <c r="IG171" s="1"/>
      <c r="IH171" s="1"/>
      <c r="II171" s="1"/>
      <c r="IJ171" s="1"/>
      <c r="IK171" s="1"/>
      <c r="IL171" s="1"/>
      <c r="IM171" s="1"/>
      <c r="IN171" s="1"/>
      <c r="IO171" s="1"/>
      <c r="IP171" s="1"/>
      <c r="IQ171" s="1"/>
      <c r="IR171" s="1"/>
      <c r="IS171" s="1"/>
      <c r="IT171" s="1"/>
      <c r="IU171" s="1"/>
      <c r="IV171" s="1"/>
      <c r="IW171" s="1"/>
      <c r="IX171" s="1"/>
      <c r="IY171" s="1"/>
      <c r="IZ171" s="1"/>
      <c r="JA171" s="1"/>
      <c r="JB171" s="1"/>
      <c r="JC171" s="1"/>
      <c r="JD171" s="1"/>
      <c r="JE171" s="1"/>
      <c r="JF171" s="1"/>
      <c r="JG171" s="1"/>
      <c r="JH171" s="1"/>
      <c r="JI171" s="1"/>
      <c r="JJ171" s="1"/>
      <c r="JK171" s="1"/>
      <c r="JL171" s="1"/>
      <c r="JM171" s="1"/>
      <c r="JN171" s="1"/>
      <c r="JO171" s="1"/>
      <c r="JP171" s="1"/>
      <c r="JQ171" s="1"/>
      <c r="JR171" s="1"/>
      <c r="JS171" s="1"/>
      <c r="JT171" s="1"/>
      <c r="JU171" s="1"/>
      <c r="JV171" s="1"/>
      <c r="JW171" s="1"/>
      <c r="JX171" s="1"/>
      <c r="JY171" s="1"/>
      <c r="JZ171" s="1"/>
      <c r="KA171" s="1"/>
      <c r="KB171" s="1"/>
      <c r="KC171" s="1"/>
      <c r="KD171" s="1"/>
      <c r="KE171" s="1"/>
      <c r="KF171" s="1"/>
      <c r="KG171" s="1"/>
      <c r="KH171" s="1"/>
      <c r="KI171" s="1"/>
      <c r="KJ171" s="1"/>
      <c r="KK171" s="1"/>
      <c r="KL171" s="1"/>
      <c r="KM171" s="1"/>
      <c r="KN171" s="1"/>
      <c r="KO171" s="1"/>
      <c r="KP171" s="1"/>
      <c r="KQ171" s="1"/>
      <c r="KR171" s="1"/>
      <c r="KS171" s="1"/>
      <c r="KT171" s="1"/>
      <c r="KU171" s="1"/>
      <c r="KV171" s="1"/>
      <c r="KW171" s="1"/>
      <c r="KX171" s="1"/>
      <c r="KY171" s="1"/>
      <c r="KZ171" s="1"/>
      <c r="LA171" s="1"/>
      <c r="LB171" s="1"/>
      <c r="LC171" s="1"/>
      <c r="LD171" s="1"/>
      <c r="LE171" s="1"/>
      <c r="LF171" s="1"/>
      <c r="LG171" s="1"/>
      <c r="LH171" s="1"/>
      <c r="LI171" s="1"/>
      <c r="LJ171" s="1"/>
      <c r="LK171" s="1"/>
      <c r="LL171" s="1"/>
      <c r="LM171" s="1"/>
      <c r="LN171" s="1"/>
      <c r="LO171" s="1"/>
      <c r="LP171" s="1"/>
      <c r="LQ171" s="1"/>
      <c r="LR171" s="1"/>
      <c r="LS171" s="1"/>
    </row>
    <row r="172" spans="1:331" s="25" customFormat="1" x14ac:dyDescent="0.25">
      <c r="A172" s="25" t="s">
        <v>705</v>
      </c>
      <c r="B172" s="29">
        <v>2062611</v>
      </c>
      <c r="C172" s="94" t="s">
        <v>1648</v>
      </c>
      <c r="D172" s="25">
        <v>0</v>
      </c>
      <c r="H172" s="25" t="s">
        <v>697</v>
      </c>
      <c r="I172" s="25" t="s">
        <v>697</v>
      </c>
      <c r="J172" s="25" t="s">
        <v>697</v>
      </c>
      <c r="K172" s="25" t="s">
        <v>697</v>
      </c>
      <c r="L172" s="25">
        <v>0</v>
      </c>
      <c r="O172" s="25">
        <v>0</v>
      </c>
      <c r="Q172" s="96" t="s">
        <v>1559</v>
      </c>
      <c r="R172" s="96"/>
      <c r="S172" s="25">
        <v>3</v>
      </c>
      <c r="W172" s="96">
        <v>3</v>
      </c>
      <c r="X172" s="96"/>
      <c r="Y172" s="96"/>
      <c r="Z172" s="25">
        <v>5</v>
      </c>
      <c r="AA172" s="94" t="b">
        <v>1</v>
      </c>
      <c r="AB172" s="17" t="s">
        <v>1890</v>
      </c>
      <c r="AC172" s="57" t="s">
        <v>1927</v>
      </c>
      <c r="AD172" s="1"/>
      <c r="AE172" s="57"/>
      <c r="AF172" s="1"/>
      <c r="AG172" s="1"/>
      <c r="AH172" s="1"/>
      <c r="AI172" s="1"/>
      <c r="AJ172" s="1"/>
      <c r="AK172" s="1"/>
      <c r="AL172" s="1"/>
      <c r="AM172" s="1"/>
      <c r="AN172" s="1"/>
      <c r="AO172" s="1"/>
      <c r="AP172" s="1"/>
      <c r="AQ172" s="1"/>
      <c r="AR172" s="1"/>
      <c r="AS172" s="1"/>
      <c r="AT172" s="1"/>
      <c r="AU172" s="1"/>
      <c r="AV172" s="1"/>
      <c r="AW172" s="1"/>
      <c r="AX172" s="1"/>
      <c r="AY172" s="1"/>
      <c r="AZ172" s="1"/>
      <c r="BA172" s="1"/>
      <c r="BB172" s="1"/>
      <c r="BC172" s="1"/>
      <c r="BD172" s="1"/>
      <c r="BE172" s="1"/>
      <c r="BF172" s="1"/>
      <c r="BG172" s="1"/>
      <c r="BH172" s="1"/>
      <c r="BI172" s="1"/>
      <c r="BJ172" s="1"/>
      <c r="BK172" s="1"/>
      <c r="BL172" s="1"/>
      <c r="BM172" s="1"/>
      <c r="BN172" s="1"/>
      <c r="BO172" s="1"/>
      <c r="BP172" s="1"/>
      <c r="BQ172" s="1"/>
      <c r="BR172" s="1"/>
      <c r="BS172" s="1"/>
      <c r="BT172" s="1"/>
      <c r="BU172" s="1"/>
      <c r="BV172" s="1"/>
      <c r="BW172" s="1"/>
      <c r="BX172" s="1"/>
      <c r="BY172" s="1"/>
      <c r="BZ172" s="1"/>
      <c r="CA172" s="1"/>
      <c r="CB172" s="1"/>
      <c r="CC172" s="1"/>
      <c r="CD172" s="1"/>
      <c r="CE172" s="1"/>
      <c r="CF172" s="1"/>
      <c r="CG172" s="1"/>
      <c r="CH172" s="1"/>
      <c r="CI172" s="1"/>
      <c r="CJ172" s="1"/>
      <c r="CK172" s="1"/>
      <c r="CL172" s="1"/>
      <c r="CM172" s="1"/>
      <c r="CN172" s="1"/>
      <c r="CO172" s="1"/>
      <c r="CP172" s="1"/>
      <c r="CQ172" s="1"/>
      <c r="CR172" s="1"/>
      <c r="CS172" s="1"/>
      <c r="CT172" s="1"/>
      <c r="CU172" s="1"/>
      <c r="CV172" s="1"/>
      <c r="CW172" s="1"/>
      <c r="CX172" s="1"/>
      <c r="CY172" s="1"/>
      <c r="CZ172" s="1"/>
      <c r="DA172" s="1"/>
      <c r="DB172" s="1"/>
      <c r="DC172" s="1"/>
      <c r="DD172" s="1"/>
      <c r="DE172" s="1"/>
      <c r="DF172" s="1"/>
      <c r="DG172" s="1"/>
      <c r="DH172" s="1"/>
      <c r="DI172" s="1"/>
      <c r="DJ172" s="1"/>
      <c r="DK172" s="1"/>
      <c r="DL172" s="1"/>
      <c r="DM172" s="1"/>
      <c r="DN172" s="1"/>
      <c r="DO172" s="1"/>
      <c r="DP172" s="1"/>
      <c r="DQ172" s="1"/>
      <c r="DR172" s="1"/>
      <c r="DS172" s="1"/>
      <c r="DT172" s="1"/>
      <c r="DU172" s="1"/>
      <c r="DV172" s="1"/>
      <c r="DW172" s="1"/>
      <c r="DX172" s="1"/>
      <c r="DY172" s="1"/>
      <c r="DZ172" s="1"/>
      <c r="EA172" s="1"/>
      <c r="EB172" s="1"/>
      <c r="EC172" s="1"/>
      <c r="ED172" s="1"/>
      <c r="EE172" s="1"/>
      <c r="EF172" s="1"/>
      <c r="EG172" s="1"/>
      <c r="EH172" s="1"/>
      <c r="EI172" s="1"/>
      <c r="EJ172" s="1"/>
      <c r="EK172" s="1"/>
      <c r="EL172" s="1"/>
      <c r="EM172" s="1"/>
      <c r="EN172" s="1"/>
      <c r="EO172" s="1"/>
      <c r="EP172" s="1"/>
      <c r="EQ172" s="1"/>
      <c r="ER172" s="1"/>
      <c r="ES172" s="1"/>
      <c r="ET172" s="1"/>
      <c r="EU172" s="1"/>
      <c r="EV172" s="1"/>
      <c r="EW172" s="1"/>
      <c r="EX172" s="1"/>
      <c r="EY172" s="1"/>
      <c r="EZ172" s="1"/>
      <c r="FA172" s="1"/>
      <c r="FB172" s="1"/>
      <c r="FC172" s="1"/>
      <c r="FD172" s="1"/>
      <c r="FE172" s="1"/>
      <c r="FF172" s="1"/>
      <c r="FG172" s="1"/>
      <c r="FH172" s="1"/>
      <c r="FI172" s="1"/>
      <c r="FJ172" s="1"/>
      <c r="FK172" s="1"/>
      <c r="FL172" s="1"/>
      <c r="FM172" s="1"/>
      <c r="FN172" s="1"/>
      <c r="FO172" s="1"/>
      <c r="FP172" s="1"/>
      <c r="FQ172" s="1"/>
      <c r="FR172" s="1"/>
      <c r="FS172" s="1"/>
      <c r="FT172" s="1"/>
      <c r="FU172" s="1"/>
      <c r="FV172" s="1"/>
      <c r="FW172" s="1"/>
      <c r="FX172" s="1"/>
      <c r="FY172" s="1"/>
      <c r="FZ172" s="1"/>
      <c r="GA172" s="1"/>
      <c r="GB172" s="1"/>
      <c r="GC172" s="1"/>
      <c r="GD172" s="1"/>
      <c r="GE172" s="1"/>
      <c r="GF172" s="1"/>
      <c r="GG172" s="1"/>
      <c r="GH172" s="1"/>
      <c r="GI172" s="1"/>
      <c r="GJ172" s="1"/>
      <c r="GK172" s="1"/>
      <c r="GL172" s="1"/>
      <c r="GM172" s="1"/>
      <c r="GN172" s="1"/>
      <c r="GO172" s="1"/>
      <c r="GP172" s="1"/>
      <c r="GQ172" s="1"/>
      <c r="GR172" s="1"/>
      <c r="GS172" s="1"/>
      <c r="GT172" s="1"/>
      <c r="GU172" s="1"/>
      <c r="GV172" s="1"/>
      <c r="GW172" s="1"/>
      <c r="GX172" s="1"/>
      <c r="GY172" s="1"/>
      <c r="GZ172" s="1"/>
      <c r="HA172" s="1"/>
      <c r="HB172" s="1"/>
      <c r="HC172" s="1"/>
      <c r="HD172" s="1"/>
      <c r="HE172" s="1"/>
      <c r="HF172" s="1"/>
      <c r="HG172" s="1"/>
      <c r="HH172" s="1"/>
      <c r="HI172" s="1"/>
      <c r="HJ172" s="1"/>
      <c r="HK172" s="1"/>
      <c r="HL172" s="1"/>
      <c r="HM172" s="1"/>
      <c r="HN172" s="1"/>
      <c r="HO172" s="1"/>
      <c r="HP172" s="1"/>
      <c r="HQ172" s="1"/>
      <c r="HR172" s="1"/>
      <c r="HS172" s="1"/>
      <c r="HT172" s="1"/>
      <c r="HU172" s="1"/>
      <c r="HV172" s="1"/>
      <c r="HW172" s="1"/>
      <c r="HX172" s="1"/>
      <c r="HY172" s="1"/>
      <c r="HZ172" s="1"/>
      <c r="IA172" s="1"/>
      <c r="IB172" s="1"/>
      <c r="IC172" s="1"/>
      <c r="ID172" s="1"/>
      <c r="IE172" s="1"/>
      <c r="IF172" s="1"/>
      <c r="IG172" s="1"/>
      <c r="IH172" s="1"/>
      <c r="II172" s="1"/>
      <c r="IJ172" s="1"/>
      <c r="IK172" s="1"/>
      <c r="IL172" s="1"/>
      <c r="IM172" s="1"/>
      <c r="IN172" s="1"/>
      <c r="IO172" s="1"/>
      <c r="IP172" s="1"/>
      <c r="IQ172" s="1"/>
      <c r="IR172" s="1"/>
      <c r="IS172" s="1"/>
      <c r="IT172" s="1"/>
      <c r="IU172" s="1"/>
      <c r="IV172" s="1"/>
      <c r="IW172" s="1"/>
      <c r="IX172" s="1"/>
      <c r="IY172" s="1"/>
      <c r="IZ172" s="1"/>
      <c r="JA172" s="1"/>
      <c r="JB172" s="1"/>
      <c r="JC172" s="1"/>
      <c r="JD172" s="1"/>
      <c r="JE172" s="1"/>
      <c r="JF172" s="1"/>
      <c r="JG172" s="1"/>
      <c r="JH172" s="1"/>
      <c r="JI172" s="1"/>
      <c r="JJ172" s="1"/>
      <c r="JK172" s="1"/>
      <c r="JL172" s="1"/>
      <c r="JM172" s="1"/>
      <c r="JN172" s="1"/>
      <c r="JO172" s="1"/>
      <c r="JP172" s="1"/>
      <c r="JQ172" s="1"/>
      <c r="JR172" s="1"/>
      <c r="JS172" s="1"/>
      <c r="JT172" s="1"/>
      <c r="JU172" s="1"/>
      <c r="JV172" s="1"/>
      <c r="JW172" s="1"/>
      <c r="JX172" s="1"/>
      <c r="JY172" s="1"/>
      <c r="JZ172" s="1"/>
      <c r="KA172" s="1"/>
      <c r="KB172" s="1"/>
      <c r="KC172" s="1"/>
      <c r="KD172" s="1"/>
      <c r="KE172" s="1"/>
      <c r="KF172" s="1"/>
      <c r="KG172" s="1"/>
      <c r="KH172" s="1"/>
      <c r="KI172" s="1"/>
      <c r="KJ172" s="1"/>
      <c r="KK172" s="1"/>
      <c r="KL172" s="1"/>
      <c r="KM172" s="1"/>
      <c r="KN172" s="1"/>
      <c r="KO172" s="1"/>
      <c r="KP172" s="1"/>
      <c r="KQ172" s="1"/>
      <c r="KR172" s="1"/>
      <c r="KS172" s="1"/>
      <c r="KT172" s="1"/>
      <c r="KU172" s="1"/>
      <c r="KV172" s="1"/>
      <c r="KW172" s="1"/>
      <c r="KX172" s="1"/>
      <c r="KY172" s="1"/>
      <c r="KZ172" s="1"/>
      <c r="LA172" s="1"/>
      <c r="LB172" s="1"/>
      <c r="LC172" s="1"/>
      <c r="LD172" s="1"/>
      <c r="LE172" s="1"/>
      <c r="LF172" s="1"/>
      <c r="LG172" s="1"/>
      <c r="LH172" s="1"/>
      <c r="LI172" s="1"/>
      <c r="LJ172" s="1"/>
      <c r="LK172" s="1"/>
      <c r="LL172" s="1"/>
      <c r="LM172" s="1"/>
      <c r="LN172" s="1"/>
      <c r="LO172" s="1"/>
      <c r="LP172" s="1"/>
      <c r="LQ172" s="1"/>
      <c r="LR172" s="1"/>
      <c r="LS172" s="1"/>
    </row>
    <row r="173" spans="1:331" s="25" customFormat="1" x14ac:dyDescent="0.25">
      <c r="A173" s="25" t="s">
        <v>706</v>
      </c>
      <c r="B173" s="29">
        <v>2765503</v>
      </c>
      <c r="C173" s="94" t="s">
        <v>1648</v>
      </c>
      <c r="D173" s="25">
        <v>0</v>
      </c>
      <c r="H173" s="25" t="s">
        <v>697</v>
      </c>
      <c r="I173" s="25" t="s">
        <v>707</v>
      </c>
      <c r="J173" s="25" t="s">
        <v>697</v>
      </c>
      <c r="K173" s="25" t="s">
        <v>1691</v>
      </c>
      <c r="L173" s="25">
        <v>0</v>
      </c>
      <c r="O173" s="25">
        <v>0</v>
      </c>
      <c r="Q173" s="96" t="s">
        <v>699</v>
      </c>
      <c r="R173" s="96"/>
      <c r="S173" s="25">
        <v>9</v>
      </c>
      <c r="W173" s="96">
        <v>9</v>
      </c>
      <c r="X173" s="96"/>
      <c r="Y173" s="96"/>
      <c r="Z173" s="25">
        <v>5</v>
      </c>
      <c r="AA173" s="94" t="b">
        <v>1</v>
      </c>
      <c r="AB173" s="1"/>
      <c r="AC173" s="57" t="s">
        <v>1231</v>
      </c>
      <c r="AD173" s="1"/>
      <c r="AE173" s="57"/>
      <c r="AF173" s="1"/>
      <c r="AG173" s="1"/>
      <c r="AH173" s="1"/>
      <c r="AI173" s="1"/>
      <c r="AJ173" s="1"/>
      <c r="AK173" s="1"/>
      <c r="AL173" s="1"/>
      <c r="AM173" s="1"/>
      <c r="AN173" s="1"/>
      <c r="AO173" s="1"/>
      <c r="AP173" s="1"/>
      <c r="AQ173" s="1"/>
      <c r="AR173" s="1"/>
      <c r="AS173" s="1"/>
      <c r="AT173" s="1"/>
      <c r="AU173" s="1"/>
      <c r="AV173" s="1"/>
      <c r="AW173" s="1"/>
      <c r="AX173" s="1"/>
      <c r="AY173" s="1"/>
      <c r="AZ173" s="1"/>
      <c r="BA173" s="1"/>
      <c r="BB173" s="1"/>
      <c r="BC173" s="1"/>
      <c r="BD173" s="1"/>
      <c r="BE173" s="1"/>
      <c r="BF173" s="1"/>
      <c r="BG173" s="1"/>
      <c r="BH173" s="1"/>
      <c r="BI173" s="1"/>
      <c r="BJ173" s="1"/>
      <c r="BK173" s="1"/>
      <c r="BL173" s="1"/>
      <c r="BM173" s="1"/>
      <c r="BN173" s="1"/>
      <c r="BO173" s="1"/>
      <c r="BP173" s="1"/>
      <c r="BQ173" s="1"/>
      <c r="BR173" s="1"/>
      <c r="BS173" s="1"/>
      <c r="BT173" s="1"/>
      <c r="BU173" s="1"/>
      <c r="BV173" s="1"/>
      <c r="BW173" s="1"/>
      <c r="BX173" s="1"/>
      <c r="BY173" s="1"/>
      <c r="BZ173" s="1"/>
      <c r="CA173" s="1"/>
      <c r="CB173" s="1"/>
      <c r="CC173" s="1"/>
      <c r="CD173" s="1"/>
      <c r="CE173" s="1"/>
      <c r="CF173" s="1"/>
      <c r="CG173" s="1"/>
      <c r="CH173" s="1"/>
      <c r="CI173" s="1"/>
      <c r="CJ173" s="1"/>
      <c r="CK173" s="1"/>
      <c r="CL173" s="1"/>
      <c r="CM173" s="1"/>
      <c r="CN173" s="1"/>
      <c r="CO173" s="1"/>
      <c r="CP173" s="1"/>
      <c r="CQ173" s="1"/>
      <c r="CR173" s="1"/>
      <c r="CS173" s="1"/>
      <c r="CT173" s="1"/>
      <c r="CU173" s="1"/>
      <c r="CV173" s="1"/>
      <c r="CW173" s="1"/>
      <c r="CX173" s="1"/>
      <c r="CY173" s="1"/>
      <c r="CZ173" s="1"/>
      <c r="DA173" s="1"/>
      <c r="DB173" s="1"/>
      <c r="DC173" s="1"/>
      <c r="DD173" s="1"/>
      <c r="DE173" s="1"/>
      <c r="DF173" s="1"/>
      <c r="DG173" s="1"/>
      <c r="DH173" s="1"/>
      <c r="DI173" s="1"/>
      <c r="DJ173" s="1"/>
      <c r="DK173" s="1"/>
      <c r="DL173" s="1"/>
      <c r="DM173" s="1"/>
      <c r="DN173" s="1"/>
      <c r="DO173" s="1"/>
      <c r="DP173" s="1"/>
      <c r="DQ173" s="1"/>
      <c r="DR173" s="1"/>
      <c r="DS173" s="1"/>
      <c r="DT173" s="1"/>
      <c r="DU173" s="1"/>
      <c r="DV173" s="1"/>
      <c r="DW173" s="1"/>
      <c r="DX173" s="1"/>
      <c r="DY173" s="1"/>
      <c r="DZ173" s="1"/>
      <c r="EA173" s="1"/>
      <c r="EB173" s="1"/>
      <c r="EC173" s="1"/>
      <c r="ED173" s="1"/>
      <c r="EE173" s="1"/>
      <c r="EF173" s="1"/>
      <c r="EG173" s="1"/>
      <c r="EH173" s="1"/>
      <c r="EI173" s="1"/>
      <c r="EJ173" s="1"/>
      <c r="EK173" s="1"/>
      <c r="EL173" s="1"/>
      <c r="EM173" s="1"/>
      <c r="EN173" s="1"/>
      <c r="EO173" s="1"/>
      <c r="EP173" s="1"/>
      <c r="EQ173" s="1"/>
      <c r="ER173" s="1"/>
      <c r="ES173" s="1"/>
      <c r="ET173" s="1"/>
      <c r="EU173" s="1"/>
      <c r="EV173" s="1"/>
      <c r="EW173" s="1"/>
      <c r="EX173" s="1"/>
      <c r="EY173" s="1"/>
      <c r="EZ173" s="1"/>
      <c r="FA173" s="1"/>
      <c r="FB173" s="1"/>
      <c r="FC173" s="1"/>
      <c r="FD173" s="1"/>
      <c r="FE173" s="1"/>
      <c r="FF173" s="1"/>
      <c r="FG173" s="1"/>
      <c r="FH173" s="1"/>
      <c r="FI173" s="1"/>
      <c r="FJ173" s="1"/>
      <c r="FK173" s="1"/>
      <c r="FL173" s="1"/>
      <c r="FM173" s="1"/>
      <c r="FN173" s="1"/>
      <c r="FO173" s="1"/>
      <c r="FP173" s="1"/>
      <c r="FQ173" s="1"/>
      <c r="FR173" s="1"/>
      <c r="FS173" s="1"/>
      <c r="FT173" s="1"/>
      <c r="FU173" s="1"/>
      <c r="FV173" s="1"/>
      <c r="FW173" s="1"/>
      <c r="FX173" s="1"/>
      <c r="FY173" s="1"/>
      <c r="FZ173" s="1"/>
      <c r="GA173" s="1"/>
      <c r="GB173" s="1"/>
      <c r="GC173" s="1"/>
      <c r="GD173" s="1"/>
      <c r="GE173" s="1"/>
      <c r="GF173" s="1"/>
      <c r="GG173" s="1"/>
      <c r="GH173" s="1"/>
      <c r="GI173" s="1"/>
      <c r="GJ173" s="1"/>
      <c r="GK173" s="1"/>
      <c r="GL173" s="1"/>
      <c r="GM173" s="1"/>
      <c r="GN173" s="1"/>
      <c r="GO173" s="1"/>
      <c r="GP173" s="1"/>
      <c r="GQ173" s="1"/>
      <c r="GR173" s="1"/>
      <c r="GS173" s="1"/>
      <c r="GT173" s="1"/>
      <c r="GU173" s="1"/>
      <c r="GV173" s="1"/>
      <c r="GW173" s="1"/>
      <c r="GX173" s="1"/>
      <c r="GY173" s="1"/>
      <c r="GZ173" s="1"/>
      <c r="HA173" s="1"/>
      <c r="HB173" s="1"/>
      <c r="HC173" s="1"/>
      <c r="HD173" s="1"/>
      <c r="HE173" s="1"/>
      <c r="HF173" s="1"/>
      <c r="HG173" s="1"/>
      <c r="HH173" s="1"/>
      <c r="HI173" s="1"/>
      <c r="HJ173" s="1"/>
      <c r="HK173" s="1"/>
      <c r="HL173" s="1"/>
      <c r="HM173" s="1"/>
      <c r="HN173" s="1"/>
      <c r="HO173" s="1"/>
      <c r="HP173" s="1"/>
      <c r="HQ173" s="1"/>
      <c r="HR173" s="1"/>
      <c r="HS173" s="1"/>
      <c r="HT173" s="1"/>
      <c r="HU173" s="1"/>
      <c r="HV173" s="1"/>
      <c r="HW173" s="1"/>
      <c r="HX173" s="1"/>
      <c r="HY173" s="1"/>
      <c r="HZ173" s="1"/>
      <c r="IA173" s="1"/>
      <c r="IB173" s="1"/>
      <c r="IC173" s="1"/>
      <c r="ID173" s="1"/>
      <c r="IE173" s="1"/>
      <c r="IF173" s="1"/>
      <c r="IG173" s="1"/>
      <c r="IH173" s="1"/>
      <c r="II173" s="1"/>
      <c r="IJ173" s="1"/>
      <c r="IK173" s="1"/>
      <c r="IL173" s="1"/>
      <c r="IM173" s="1"/>
      <c r="IN173" s="1"/>
      <c r="IO173" s="1"/>
      <c r="IP173" s="1"/>
      <c r="IQ173" s="1"/>
      <c r="IR173" s="1"/>
      <c r="IS173" s="1"/>
      <c r="IT173" s="1"/>
      <c r="IU173" s="1"/>
      <c r="IV173" s="1"/>
      <c r="IW173" s="1"/>
      <c r="IX173" s="1"/>
      <c r="IY173" s="1"/>
      <c r="IZ173" s="1"/>
      <c r="JA173" s="1"/>
      <c r="JB173" s="1"/>
      <c r="JC173" s="1"/>
      <c r="JD173" s="1"/>
      <c r="JE173" s="1"/>
      <c r="JF173" s="1"/>
      <c r="JG173" s="1"/>
      <c r="JH173" s="1"/>
      <c r="JI173" s="1"/>
      <c r="JJ173" s="1"/>
      <c r="JK173" s="1"/>
      <c r="JL173" s="1"/>
      <c r="JM173" s="1"/>
      <c r="JN173" s="1"/>
      <c r="JO173" s="1"/>
      <c r="JP173" s="1"/>
      <c r="JQ173" s="1"/>
      <c r="JR173" s="1"/>
      <c r="JS173" s="1"/>
      <c r="JT173" s="1"/>
      <c r="JU173" s="1"/>
      <c r="JV173" s="1"/>
      <c r="JW173" s="1"/>
      <c r="JX173" s="1"/>
      <c r="JY173" s="1"/>
      <c r="JZ173" s="1"/>
      <c r="KA173" s="1"/>
      <c r="KB173" s="1"/>
      <c r="KC173" s="1"/>
      <c r="KD173" s="1"/>
      <c r="KE173" s="1"/>
      <c r="KF173" s="1"/>
      <c r="KG173" s="1"/>
      <c r="KH173" s="1"/>
      <c r="KI173" s="1"/>
      <c r="KJ173" s="1"/>
      <c r="KK173" s="1"/>
      <c r="KL173" s="1"/>
      <c r="KM173" s="1"/>
      <c r="KN173" s="1"/>
      <c r="KO173" s="1"/>
      <c r="KP173" s="1"/>
      <c r="KQ173" s="1"/>
      <c r="KR173" s="1"/>
      <c r="KS173" s="1"/>
      <c r="KT173" s="1"/>
      <c r="KU173" s="1"/>
      <c r="KV173" s="1"/>
      <c r="KW173" s="1"/>
      <c r="KX173" s="1"/>
      <c r="KY173" s="1"/>
      <c r="KZ173" s="1"/>
      <c r="LA173" s="1"/>
      <c r="LB173" s="1"/>
      <c r="LC173" s="1"/>
      <c r="LD173" s="1"/>
      <c r="LE173" s="1"/>
      <c r="LF173" s="1"/>
      <c r="LG173" s="1"/>
      <c r="LH173" s="1"/>
      <c r="LI173" s="1"/>
      <c r="LJ173" s="1"/>
      <c r="LK173" s="1"/>
      <c r="LL173" s="1"/>
      <c r="LM173" s="1"/>
      <c r="LN173" s="1"/>
      <c r="LO173" s="1"/>
      <c r="LP173" s="1"/>
      <c r="LQ173" s="1"/>
      <c r="LR173" s="1"/>
      <c r="LS173" s="1"/>
    </row>
    <row r="174" spans="1:331" s="30" customFormat="1" x14ac:dyDescent="0.25">
      <c r="A174" s="30" t="s">
        <v>708</v>
      </c>
      <c r="B174" s="34">
        <v>2223317</v>
      </c>
      <c r="C174" s="94" t="s">
        <v>1648</v>
      </c>
      <c r="D174" s="30">
        <v>1</v>
      </c>
      <c r="E174" s="30" t="s">
        <v>704</v>
      </c>
      <c r="H174" s="30" t="s">
        <v>707</v>
      </c>
      <c r="I174" s="30" t="s">
        <v>709</v>
      </c>
      <c r="J174" s="30" t="s">
        <v>707</v>
      </c>
      <c r="K174" s="30" t="s">
        <v>711</v>
      </c>
      <c r="L174" s="30">
        <v>0</v>
      </c>
      <c r="O174" s="30">
        <v>0</v>
      </c>
      <c r="Q174" s="96" t="s">
        <v>1560</v>
      </c>
      <c r="R174" s="96"/>
      <c r="T174" s="30">
        <v>8</v>
      </c>
      <c r="V174" s="30">
        <v>8</v>
      </c>
      <c r="W174" s="96">
        <v>8</v>
      </c>
      <c r="X174" s="96"/>
      <c r="Y174" s="96"/>
      <c r="Z174" s="30">
        <v>6</v>
      </c>
      <c r="AA174" s="94" t="b">
        <v>1</v>
      </c>
      <c r="AB174" s="1"/>
      <c r="AC174" s="57" t="s">
        <v>1294</v>
      </c>
      <c r="AD174" s="1"/>
      <c r="AE174" s="57"/>
      <c r="AF174" s="1"/>
      <c r="AG174" s="1"/>
      <c r="AH174" s="1"/>
      <c r="AI174" s="1"/>
      <c r="AJ174" s="1"/>
      <c r="AK174" s="1"/>
      <c r="AL174" s="1"/>
      <c r="AM174" s="1"/>
      <c r="AN174" s="1"/>
      <c r="AO174" s="1"/>
      <c r="AP174" s="1"/>
      <c r="AQ174" s="1"/>
      <c r="AR174" s="1"/>
      <c r="AS174" s="1"/>
      <c r="AT174" s="1"/>
      <c r="AU174" s="1"/>
      <c r="AV174" s="1"/>
      <c r="AW174" s="1"/>
      <c r="AX174" s="1"/>
      <c r="AY174" s="1"/>
      <c r="AZ174" s="1"/>
      <c r="BA174" s="1"/>
      <c r="BB174" s="1"/>
      <c r="BC174" s="1"/>
      <c r="BD174" s="1"/>
      <c r="BE174" s="1"/>
      <c r="BF174" s="1"/>
      <c r="BG174" s="1"/>
      <c r="BH174" s="1"/>
      <c r="BI174" s="1"/>
      <c r="BJ174" s="1"/>
      <c r="BK174" s="1"/>
      <c r="BL174" s="1"/>
      <c r="BM174" s="1"/>
      <c r="BN174" s="1"/>
      <c r="BO174" s="1"/>
      <c r="BP174" s="1"/>
      <c r="BQ174" s="1"/>
      <c r="BR174" s="1"/>
      <c r="BS174" s="1"/>
      <c r="BT174" s="1"/>
      <c r="BU174" s="1"/>
      <c r="BV174" s="1"/>
      <c r="BW174" s="1"/>
      <c r="BX174" s="1"/>
      <c r="BY174" s="1"/>
      <c r="BZ174" s="1"/>
      <c r="CA174" s="1"/>
      <c r="CB174" s="1"/>
      <c r="CC174" s="1"/>
      <c r="CD174" s="1"/>
      <c r="CE174" s="1"/>
      <c r="CF174" s="1"/>
      <c r="CG174" s="1"/>
      <c r="CH174" s="1"/>
      <c r="CI174" s="1"/>
      <c r="CJ174" s="1"/>
      <c r="CK174" s="1"/>
      <c r="CL174" s="1"/>
      <c r="CM174" s="1"/>
      <c r="CN174" s="1"/>
      <c r="CO174" s="1"/>
      <c r="CP174" s="1"/>
      <c r="CQ174" s="1"/>
      <c r="CR174" s="1"/>
      <c r="CS174" s="1"/>
      <c r="CT174" s="1"/>
      <c r="CU174" s="1"/>
      <c r="CV174" s="1"/>
      <c r="CW174" s="1"/>
      <c r="CX174" s="1"/>
      <c r="CY174" s="1"/>
      <c r="CZ174" s="1"/>
      <c r="DA174" s="1"/>
      <c r="DB174" s="1"/>
      <c r="DC174" s="1"/>
      <c r="DD174" s="1"/>
      <c r="DE174" s="1"/>
      <c r="DF174" s="1"/>
      <c r="DG174" s="1"/>
      <c r="DH174" s="1"/>
      <c r="DI174" s="1"/>
      <c r="DJ174" s="1"/>
      <c r="DK174" s="1"/>
      <c r="DL174" s="1"/>
      <c r="DM174" s="1"/>
      <c r="DN174" s="1"/>
      <c r="DO174" s="1"/>
      <c r="DP174" s="1"/>
      <c r="DQ174" s="1"/>
      <c r="DR174" s="1"/>
      <c r="DS174" s="1"/>
      <c r="DT174" s="1"/>
      <c r="DU174" s="1"/>
      <c r="DV174" s="1"/>
      <c r="DW174" s="1"/>
      <c r="DX174" s="1"/>
      <c r="DY174" s="1"/>
      <c r="DZ174" s="1"/>
      <c r="EA174" s="1"/>
      <c r="EB174" s="1"/>
      <c r="EC174" s="1"/>
      <c r="ED174" s="1"/>
      <c r="EE174" s="1"/>
      <c r="EF174" s="1"/>
      <c r="EG174" s="1"/>
      <c r="EH174" s="1"/>
      <c r="EI174" s="1"/>
      <c r="EJ174" s="1"/>
      <c r="EK174" s="1"/>
      <c r="EL174" s="1"/>
      <c r="EM174" s="1"/>
      <c r="EN174" s="1"/>
      <c r="EO174" s="1"/>
      <c r="EP174" s="1"/>
      <c r="EQ174" s="1"/>
      <c r="ER174" s="1"/>
      <c r="ES174" s="1"/>
      <c r="ET174" s="1"/>
      <c r="EU174" s="1"/>
      <c r="EV174" s="1"/>
      <c r="EW174" s="1"/>
      <c r="EX174" s="1"/>
      <c r="EY174" s="1"/>
      <c r="EZ174" s="1"/>
      <c r="FA174" s="1"/>
      <c r="FB174" s="1"/>
      <c r="FC174" s="1"/>
      <c r="FD174" s="1"/>
      <c r="FE174" s="1"/>
      <c r="FF174" s="1"/>
      <c r="FG174" s="1"/>
      <c r="FH174" s="1"/>
      <c r="FI174" s="1"/>
      <c r="FJ174" s="1"/>
      <c r="FK174" s="1"/>
      <c r="FL174" s="1"/>
      <c r="FM174" s="1"/>
      <c r="FN174" s="1"/>
      <c r="FO174" s="1"/>
      <c r="FP174" s="1"/>
      <c r="FQ174" s="1"/>
      <c r="FR174" s="1"/>
      <c r="FS174" s="1"/>
      <c r="FT174" s="1"/>
      <c r="FU174" s="1"/>
      <c r="FV174" s="1"/>
      <c r="FW174" s="1"/>
      <c r="FX174" s="1"/>
      <c r="FY174" s="1"/>
      <c r="FZ174" s="1"/>
      <c r="GA174" s="1"/>
      <c r="GB174" s="1"/>
      <c r="GC174" s="1"/>
      <c r="GD174" s="1"/>
      <c r="GE174" s="1"/>
      <c r="GF174" s="1"/>
      <c r="GG174" s="1"/>
      <c r="GH174" s="1"/>
      <c r="GI174" s="1"/>
      <c r="GJ174" s="1"/>
      <c r="GK174" s="1"/>
      <c r="GL174" s="1"/>
      <c r="GM174" s="1"/>
      <c r="GN174" s="1"/>
      <c r="GO174" s="1"/>
      <c r="GP174" s="1"/>
      <c r="GQ174" s="1"/>
      <c r="GR174" s="1"/>
      <c r="GS174" s="1"/>
      <c r="GT174" s="1"/>
      <c r="GU174" s="1"/>
      <c r="GV174" s="1"/>
      <c r="GW174" s="1"/>
      <c r="GX174" s="1"/>
      <c r="GY174" s="1"/>
      <c r="GZ174" s="1"/>
      <c r="HA174" s="1"/>
      <c r="HB174" s="1"/>
      <c r="HC174" s="1"/>
      <c r="HD174" s="1"/>
      <c r="HE174" s="1"/>
      <c r="HF174" s="1"/>
      <c r="HG174" s="1"/>
      <c r="HH174" s="1"/>
      <c r="HI174" s="1"/>
      <c r="HJ174" s="1"/>
      <c r="HK174" s="1"/>
      <c r="HL174" s="1"/>
      <c r="HM174" s="1"/>
      <c r="HN174" s="1"/>
      <c r="HO174" s="1"/>
      <c r="HP174" s="1"/>
      <c r="HQ174" s="1"/>
      <c r="HR174" s="1"/>
      <c r="HS174" s="1"/>
      <c r="HT174" s="1"/>
      <c r="HU174" s="1"/>
      <c r="HV174" s="1"/>
      <c r="HW174" s="1"/>
      <c r="HX174" s="1"/>
      <c r="HY174" s="1"/>
      <c r="HZ174" s="1"/>
      <c r="IA174" s="1"/>
      <c r="IB174" s="1"/>
      <c r="IC174" s="1"/>
      <c r="ID174" s="1"/>
      <c r="IE174" s="1"/>
      <c r="IF174" s="1"/>
      <c r="IG174" s="1"/>
      <c r="IH174" s="1"/>
      <c r="II174" s="1"/>
      <c r="IJ174" s="1"/>
      <c r="IK174" s="1"/>
      <c r="IL174" s="1"/>
      <c r="IM174" s="1"/>
      <c r="IN174" s="1"/>
      <c r="IO174" s="1"/>
      <c r="IP174" s="1"/>
      <c r="IQ174" s="1"/>
      <c r="IR174" s="1"/>
      <c r="IS174" s="1"/>
      <c r="IT174" s="1"/>
      <c r="IU174" s="1"/>
      <c r="IV174" s="1"/>
      <c r="IW174" s="1"/>
      <c r="IX174" s="1"/>
      <c r="IY174" s="1"/>
      <c r="IZ174" s="1"/>
      <c r="JA174" s="1"/>
      <c r="JB174" s="1"/>
      <c r="JC174" s="1"/>
      <c r="JD174" s="1"/>
      <c r="JE174" s="1"/>
      <c r="JF174" s="1"/>
      <c r="JG174" s="1"/>
      <c r="JH174" s="1"/>
      <c r="JI174" s="1"/>
      <c r="JJ174" s="1"/>
      <c r="JK174" s="1"/>
      <c r="JL174" s="1"/>
      <c r="JM174" s="1"/>
      <c r="JN174" s="1"/>
      <c r="JO174" s="1"/>
      <c r="JP174" s="1"/>
      <c r="JQ174" s="1"/>
      <c r="JR174" s="1"/>
      <c r="JS174" s="1"/>
      <c r="JT174" s="1"/>
      <c r="JU174" s="1"/>
      <c r="JV174" s="1"/>
      <c r="JW174" s="1"/>
      <c r="JX174" s="1"/>
      <c r="JY174" s="1"/>
      <c r="JZ174" s="1"/>
      <c r="KA174" s="1"/>
      <c r="KB174" s="1"/>
      <c r="KC174" s="1"/>
      <c r="KD174" s="1"/>
      <c r="KE174" s="1"/>
      <c r="KF174" s="1"/>
      <c r="KG174" s="1"/>
      <c r="KH174" s="1"/>
      <c r="KI174" s="1"/>
      <c r="KJ174" s="1"/>
      <c r="KK174" s="1"/>
      <c r="KL174" s="1"/>
      <c r="KM174" s="1"/>
      <c r="KN174" s="1"/>
      <c r="KO174" s="1"/>
      <c r="KP174" s="1"/>
      <c r="KQ174" s="1"/>
      <c r="KR174" s="1"/>
      <c r="KS174" s="1"/>
      <c r="KT174" s="1"/>
      <c r="KU174" s="1"/>
      <c r="KV174" s="1"/>
      <c r="KW174" s="1"/>
      <c r="KX174" s="1"/>
      <c r="KY174" s="1"/>
      <c r="KZ174" s="1"/>
      <c r="LA174" s="1"/>
      <c r="LB174" s="1"/>
      <c r="LC174" s="1"/>
      <c r="LD174" s="1"/>
      <c r="LE174" s="1"/>
      <c r="LF174" s="1"/>
      <c r="LG174" s="1"/>
      <c r="LH174" s="1"/>
      <c r="LI174" s="1"/>
      <c r="LJ174" s="1"/>
      <c r="LK174" s="1"/>
      <c r="LL174" s="1"/>
      <c r="LM174" s="1"/>
      <c r="LN174" s="1"/>
      <c r="LO174" s="1"/>
      <c r="LP174" s="1"/>
      <c r="LQ174" s="1"/>
      <c r="LR174" s="1"/>
      <c r="LS174" s="1"/>
    </row>
    <row r="175" spans="1:331" s="25" customFormat="1" x14ac:dyDescent="0.25">
      <c r="A175" s="25" t="s">
        <v>710</v>
      </c>
      <c r="B175" s="29">
        <v>2313159</v>
      </c>
      <c r="C175" s="94" t="s">
        <v>1648</v>
      </c>
      <c r="D175" s="25">
        <v>0</v>
      </c>
      <c r="H175" s="25" t="s">
        <v>711</v>
      </c>
      <c r="I175" s="25" t="s">
        <v>712</v>
      </c>
      <c r="J175" s="25" t="s">
        <v>711</v>
      </c>
      <c r="K175" s="25" t="s">
        <v>712</v>
      </c>
      <c r="L175" s="25">
        <v>0</v>
      </c>
      <c r="O175" s="25">
        <v>0</v>
      </c>
      <c r="Q175" s="96" t="s">
        <v>726</v>
      </c>
      <c r="R175" s="96"/>
      <c r="S175" s="25">
        <v>3</v>
      </c>
      <c r="U175" s="25">
        <v>4</v>
      </c>
      <c r="W175" s="96">
        <v>3</v>
      </c>
      <c r="X175" s="96"/>
      <c r="Y175" s="96"/>
      <c r="Z175" s="25">
        <v>5</v>
      </c>
      <c r="AA175" s="94" t="b">
        <v>1</v>
      </c>
      <c r="AB175" s="1"/>
      <c r="AC175" s="57" t="s">
        <v>1297</v>
      </c>
      <c r="AD175" s="1"/>
      <c r="AE175" s="57"/>
      <c r="AF175" s="1"/>
      <c r="AG175" s="1"/>
      <c r="AH175" s="1"/>
      <c r="AI175" s="1"/>
      <c r="AJ175" s="1"/>
      <c r="AK175" s="1"/>
      <c r="AL175" s="1"/>
      <c r="AM175" s="1"/>
      <c r="AN175" s="1"/>
      <c r="AO175" s="1"/>
      <c r="AP175" s="1"/>
      <c r="AQ175" s="1"/>
      <c r="AR175" s="1"/>
      <c r="AS175" s="1"/>
      <c r="AT175" s="1"/>
      <c r="AU175" s="1"/>
      <c r="AV175" s="1"/>
      <c r="AW175" s="1"/>
      <c r="AX175" s="1"/>
      <c r="AY175" s="1"/>
      <c r="AZ175" s="1"/>
      <c r="BA175" s="1"/>
      <c r="BB175" s="1"/>
      <c r="BC175" s="1"/>
      <c r="BD175" s="1"/>
      <c r="BE175" s="1"/>
      <c r="BF175" s="1"/>
      <c r="BG175" s="1"/>
      <c r="BH175" s="1"/>
      <c r="BI175" s="1"/>
      <c r="BJ175" s="1"/>
      <c r="BK175" s="1"/>
      <c r="BL175" s="1"/>
      <c r="BM175" s="1"/>
      <c r="BN175" s="1"/>
      <c r="BO175" s="1"/>
      <c r="BP175" s="1"/>
      <c r="BQ175" s="1"/>
      <c r="BR175" s="1"/>
      <c r="BS175" s="1"/>
      <c r="BT175" s="1"/>
      <c r="BU175" s="1"/>
      <c r="BV175" s="1"/>
      <c r="BW175" s="1"/>
      <c r="BX175" s="1"/>
      <c r="BY175" s="1"/>
      <c r="BZ175" s="1"/>
      <c r="CA175" s="1"/>
      <c r="CB175" s="1"/>
      <c r="CC175" s="1"/>
      <c r="CD175" s="1"/>
      <c r="CE175" s="1"/>
      <c r="CF175" s="1"/>
      <c r="CG175" s="1"/>
      <c r="CH175" s="1"/>
      <c r="CI175" s="1"/>
      <c r="CJ175" s="1"/>
      <c r="CK175" s="1"/>
      <c r="CL175" s="1"/>
      <c r="CM175" s="1"/>
      <c r="CN175" s="1"/>
      <c r="CO175" s="1"/>
      <c r="CP175" s="1"/>
      <c r="CQ175" s="1"/>
      <c r="CR175" s="1"/>
      <c r="CS175" s="1"/>
      <c r="CT175" s="1"/>
      <c r="CU175" s="1"/>
      <c r="CV175" s="1"/>
      <c r="CW175" s="1"/>
      <c r="CX175" s="1"/>
      <c r="CY175" s="1"/>
      <c r="CZ175" s="1"/>
      <c r="DA175" s="1"/>
      <c r="DB175" s="1"/>
      <c r="DC175" s="1"/>
      <c r="DD175" s="1"/>
      <c r="DE175" s="1"/>
      <c r="DF175" s="1"/>
      <c r="DG175" s="1"/>
      <c r="DH175" s="1"/>
      <c r="DI175" s="1"/>
      <c r="DJ175" s="1"/>
      <c r="DK175" s="1"/>
      <c r="DL175" s="1"/>
      <c r="DM175" s="1"/>
      <c r="DN175" s="1"/>
      <c r="DO175" s="1"/>
      <c r="DP175" s="1"/>
      <c r="DQ175" s="1"/>
      <c r="DR175" s="1"/>
      <c r="DS175" s="1"/>
      <c r="DT175" s="1"/>
      <c r="DU175" s="1"/>
      <c r="DV175" s="1"/>
      <c r="DW175" s="1"/>
      <c r="DX175" s="1"/>
      <c r="DY175" s="1"/>
      <c r="DZ175" s="1"/>
      <c r="EA175" s="1"/>
      <c r="EB175" s="1"/>
      <c r="EC175" s="1"/>
      <c r="ED175" s="1"/>
      <c r="EE175" s="1"/>
      <c r="EF175" s="1"/>
      <c r="EG175" s="1"/>
      <c r="EH175" s="1"/>
      <c r="EI175" s="1"/>
      <c r="EJ175" s="1"/>
      <c r="EK175" s="1"/>
      <c r="EL175" s="1"/>
      <c r="EM175" s="1"/>
      <c r="EN175" s="1"/>
      <c r="EO175" s="1"/>
      <c r="EP175" s="1"/>
      <c r="EQ175" s="1"/>
      <c r="ER175" s="1"/>
      <c r="ES175" s="1"/>
      <c r="ET175" s="1"/>
      <c r="EU175" s="1"/>
      <c r="EV175" s="1"/>
      <c r="EW175" s="1"/>
      <c r="EX175" s="1"/>
      <c r="EY175" s="1"/>
      <c r="EZ175" s="1"/>
      <c r="FA175" s="1"/>
      <c r="FB175" s="1"/>
      <c r="FC175" s="1"/>
      <c r="FD175" s="1"/>
      <c r="FE175" s="1"/>
      <c r="FF175" s="1"/>
      <c r="FG175" s="1"/>
      <c r="FH175" s="1"/>
      <c r="FI175" s="1"/>
      <c r="FJ175" s="1"/>
      <c r="FK175" s="1"/>
      <c r="FL175" s="1"/>
      <c r="FM175" s="1"/>
      <c r="FN175" s="1"/>
      <c r="FO175" s="1"/>
      <c r="FP175" s="1"/>
      <c r="FQ175" s="1"/>
      <c r="FR175" s="1"/>
      <c r="FS175" s="1"/>
      <c r="FT175" s="1"/>
      <c r="FU175" s="1"/>
      <c r="FV175" s="1"/>
      <c r="FW175" s="1"/>
      <c r="FX175" s="1"/>
      <c r="FY175" s="1"/>
      <c r="FZ175" s="1"/>
      <c r="GA175" s="1"/>
      <c r="GB175" s="1"/>
      <c r="GC175" s="1"/>
      <c r="GD175" s="1"/>
      <c r="GE175" s="1"/>
      <c r="GF175" s="1"/>
      <c r="GG175" s="1"/>
      <c r="GH175" s="1"/>
      <c r="GI175" s="1"/>
      <c r="GJ175" s="1"/>
      <c r="GK175" s="1"/>
      <c r="GL175" s="1"/>
      <c r="GM175" s="1"/>
      <c r="GN175" s="1"/>
      <c r="GO175" s="1"/>
      <c r="GP175" s="1"/>
      <c r="GQ175" s="1"/>
      <c r="GR175" s="1"/>
      <c r="GS175" s="1"/>
      <c r="GT175" s="1"/>
      <c r="GU175" s="1"/>
      <c r="GV175" s="1"/>
      <c r="GW175" s="1"/>
      <c r="GX175" s="1"/>
      <c r="GY175" s="1"/>
      <c r="GZ175" s="1"/>
      <c r="HA175" s="1"/>
      <c r="HB175" s="1"/>
      <c r="HC175" s="1"/>
      <c r="HD175" s="1"/>
      <c r="HE175" s="1"/>
      <c r="HF175" s="1"/>
      <c r="HG175" s="1"/>
      <c r="HH175" s="1"/>
      <c r="HI175" s="1"/>
      <c r="HJ175" s="1"/>
      <c r="HK175" s="1"/>
      <c r="HL175" s="1"/>
      <c r="HM175" s="1"/>
      <c r="HN175" s="1"/>
      <c r="HO175" s="1"/>
      <c r="HP175" s="1"/>
      <c r="HQ175" s="1"/>
      <c r="HR175" s="1"/>
      <c r="HS175" s="1"/>
      <c r="HT175" s="1"/>
      <c r="HU175" s="1"/>
      <c r="HV175" s="1"/>
      <c r="HW175" s="1"/>
      <c r="HX175" s="1"/>
      <c r="HY175" s="1"/>
      <c r="HZ175" s="1"/>
      <c r="IA175" s="1"/>
      <c r="IB175" s="1"/>
      <c r="IC175" s="1"/>
      <c r="ID175" s="1"/>
      <c r="IE175" s="1"/>
      <c r="IF175" s="1"/>
      <c r="IG175" s="1"/>
      <c r="IH175" s="1"/>
      <c r="II175" s="1"/>
      <c r="IJ175" s="1"/>
      <c r="IK175" s="1"/>
      <c r="IL175" s="1"/>
      <c r="IM175" s="1"/>
      <c r="IN175" s="1"/>
      <c r="IO175" s="1"/>
      <c r="IP175" s="1"/>
      <c r="IQ175" s="1"/>
      <c r="IR175" s="1"/>
      <c r="IS175" s="1"/>
      <c r="IT175" s="1"/>
      <c r="IU175" s="1"/>
      <c r="IV175" s="1"/>
      <c r="IW175" s="1"/>
      <c r="IX175" s="1"/>
      <c r="IY175" s="1"/>
      <c r="IZ175" s="1"/>
      <c r="JA175" s="1"/>
      <c r="JB175" s="1"/>
      <c r="JC175" s="1"/>
      <c r="JD175" s="1"/>
      <c r="JE175" s="1"/>
      <c r="JF175" s="1"/>
      <c r="JG175" s="1"/>
      <c r="JH175" s="1"/>
      <c r="JI175" s="1"/>
      <c r="JJ175" s="1"/>
      <c r="JK175" s="1"/>
      <c r="JL175" s="1"/>
      <c r="JM175" s="1"/>
      <c r="JN175" s="1"/>
      <c r="JO175" s="1"/>
      <c r="JP175" s="1"/>
      <c r="JQ175" s="1"/>
      <c r="JR175" s="1"/>
      <c r="JS175" s="1"/>
      <c r="JT175" s="1"/>
      <c r="JU175" s="1"/>
      <c r="JV175" s="1"/>
      <c r="JW175" s="1"/>
      <c r="JX175" s="1"/>
      <c r="JY175" s="1"/>
      <c r="JZ175" s="1"/>
      <c r="KA175" s="1"/>
      <c r="KB175" s="1"/>
      <c r="KC175" s="1"/>
      <c r="KD175" s="1"/>
      <c r="KE175" s="1"/>
      <c r="KF175" s="1"/>
      <c r="KG175" s="1"/>
      <c r="KH175" s="1"/>
      <c r="KI175" s="1"/>
      <c r="KJ175" s="1"/>
      <c r="KK175" s="1"/>
      <c r="KL175" s="1"/>
      <c r="KM175" s="1"/>
      <c r="KN175" s="1"/>
      <c r="KO175" s="1"/>
      <c r="KP175" s="1"/>
      <c r="KQ175" s="1"/>
      <c r="KR175" s="1"/>
      <c r="KS175" s="1"/>
      <c r="KT175" s="1"/>
      <c r="KU175" s="1"/>
      <c r="KV175" s="1"/>
      <c r="KW175" s="1"/>
      <c r="KX175" s="1"/>
      <c r="KY175" s="1"/>
      <c r="KZ175" s="1"/>
      <c r="LA175" s="1"/>
      <c r="LB175" s="1"/>
      <c r="LC175" s="1"/>
      <c r="LD175" s="1"/>
      <c r="LE175" s="1"/>
      <c r="LF175" s="1"/>
      <c r="LG175" s="1"/>
      <c r="LH175" s="1"/>
      <c r="LI175" s="1"/>
      <c r="LJ175" s="1"/>
      <c r="LK175" s="1"/>
      <c r="LL175" s="1"/>
      <c r="LM175" s="1"/>
      <c r="LN175" s="1"/>
      <c r="LO175" s="1"/>
      <c r="LP175" s="1"/>
      <c r="LQ175" s="1"/>
      <c r="LR175" s="1"/>
      <c r="LS175" s="1"/>
    </row>
    <row r="176" spans="1:331" s="2" customFormat="1" x14ac:dyDescent="0.25">
      <c r="A176" s="2" t="s">
        <v>713</v>
      </c>
      <c r="B176" s="6">
        <v>2079248</v>
      </c>
      <c r="C176" s="94" t="s">
        <v>1648</v>
      </c>
      <c r="D176" s="2">
        <v>0</v>
      </c>
      <c r="H176" s="2" t="s">
        <v>712</v>
      </c>
      <c r="I176" s="2" t="s">
        <v>714</v>
      </c>
      <c r="J176" s="2" t="s">
        <v>712</v>
      </c>
      <c r="K176" s="2" t="s">
        <v>712</v>
      </c>
      <c r="L176" s="2">
        <v>1</v>
      </c>
      <c r="M176" s="2" t="s">
        <v>712</v>
      </c>
      <c r="O176" s="2">
        <v>1</v>
      </c>
      <c r="Q176" s="96" t="s">
        <v>1561</v>
      </c>
      <c r="R176" s="96"/>
      <c r="T176" s="2">
        <v>12</v>
      </c>
      <c r="V176" s="2">
        <v>14</v>
      </c>
      <c r="W176" s="96">
        <v>12</v>
      </c>
      <c r="X176" s="96"/>
      <c r="Y176" s="96"/>
      <c r="Z176" s="2">
        <v>2</v>
      </c>
      <c r="AA176" s="94" t="b">
        <v>1</v>
      </c>
      <c r="AB176" s="1"/>
      <c r="AC176" s="57" t="s">
        <v>1382</v>
      </c>
      <c r="AD176" s="1"/>
      <c r="AE176" s="57"/>
      <c r="AF176" s="1"/>
      <c r="AG176" s="1"/>
      <c r="AH176" s="1"/>
      <c r="AI176" s="1"/>
      <c r="AJ176" s="1"/>
      <c r="AK176" s="1"/>
      <c r="AL176" s="1"/>
      <c r="AM176" s="1"/>
      <c r="AN176" s="1"/>
      <c r="AO176" s="1"/>
      <c r="AP176" s="1"/>
      <c r="AQ176" s="1"/>
      <c r="AR176" s="1"/>
      <c r="AS176" s="1"/>
      <c r="AT176" s="1"/>
      <c r="AU176" s="1"/>
      <c r="AV176" s="1"/>
      <c r="AW176" s="1"/>
      <c r="AX176" s="1"/>
      <c r="AY176" s="1"/>
      <c r="AZ176" s="1"/>
      <c r="BA176" s="1"/>
      <c r="BB176" s="1"/>
      <c r="BC176" s="1"/>
      <c r="BD176" s="1"/>
      <c r="BE176" s="1"/>
      <c r="BF176" s="1"/>
      <c r="BG176" s="1"/>
      <c r="BH176" s="1"/>
      <c r="BI176" s="1"/>
      <c r="BJ176" s="1"/>
      <c r="BK176" s="1"/>
      <c r="BL176" s="1"/>
      <c r="BM176" s="1"/>
      <c r="BN176" s="1"/>
      <c r="BO176" s="1"/>
      <c r="BP176" s="1"/>
      <c r="BQ176" s="1"/>
      <c r="BR176" s="1"/>
      <c r="BS176" s="1"/>
      <c r="BT176" s="1"/>
      <c r="BU176" s="1"/>
      <c r="BV176" s="1"/>
      <c r="BW176" s="1"/>
      <c r="BX176" s="1"/>
      <c r="BY176" s="1"/>
      <c r="BZ176" s="1"/>
      <c r="CA176" s="1"/>
      <c r="CB176" s="1"/>
      <c r="CC176" s="1"/>
      <c r="CD176" s="1"/>
      <c r="CE176" s="1"/>
      <c r="CF176" s="1"/>
      <c r="CG176" s="1"/>
      <c r="CH176" s="1"/>
      <c r="CI176" s="1"/>
      <c r="CJ176" s="1"/>
      <c r="CK176" s="1"/>
      <c r="CL176" s="1"/>
      <c r="CM176" s="1"/>
      <c r="CN176" s="1"/>
      <c r="CO176" s="1"/>
      <c r="CP176" s="1"/>
      <c r="CQ176" s="1"/>
      <c r="CR176" s="1"/>
      <c r="CS176" s="1"/>
      <c r="CT176" s="1"/>
      <c r="CU176" s="1"/>
      <c r="CV176" s="1"/>
      <c r="CW176" s="1"/>
      <c r="CX176" s="1"/>
      <c r="CY176" s="1"/>
      <c r="CZ176" s="1"/>
      <c r="DA176" s="1"/>
      <c r="DB176" s="1"/>
      <c r="DC176" s="1"/>
      <c r="DD176" s="1"/>
      <c r="DE176" s="1"/>
      <c r="DF176" s="1"/>
      <c r="DG176" s="1"/>
      <c r="DH176" s="1"/>
      <c r="DI176" s="1"/>
      <c r="DJ176" s="1"/>
      <c r="DK176" s="1"/>
      <c r="DL176" s="1"/>
      <c r="DM176" s="1"/>
      <c r="DN176" s="1"/>
      <c r="DO176" s="1"/>
      <c r="DP176" s="1"/>
      <c r="DQ176" s="1"/>
      <c r="DR176" s="1"/>
      <c r="DS176" s="1"/>
      <c r="DT176" s="1"/>
      <c r="DU176" s="1"/>
      <c r="DV176" s="1"/>
      <c r="DW176" s="1"/>
      <c r="DX176" s="1"/>
      <c r="DY176" s="1"/>
      <c r="DZ176" s="1"/>
      <c r="EA176" s="1"/>
      <c r="EB176" s="1"/>
      <c r="EC176" s="1"/>
      <c r="ED176" s="1"/>
      <c r="EE176" s="1"/>
      <c r="EF176" s="1"/>
      <c r="EG176" s="1"/>
      <c r="EH176" s="1"/>
      <c r="EI176" s="1"/>
      <c r="EJ176" s="1"/>
      <c r="EK176" s="1"/>
      <c r="EL176" s="1"/>
      <c r="EM176" s="1"/>
      <c r="EN176" s="1"/>
      <c r="EO176" s="1"/>
      <c r="EP176" s="1"/>
      <c r="EQ176" s="1"/>
      <c r="ER176" s="1"/>
      <c r="ES176" s="1"/>
      <c r="ET176" s="1"/>
      <c r="EU176" s="1"/>
      <c r="EV176" s="1"/>
      <c r="EW176" s="1"/>
      <c r="EX176" s="1"/>
      <c r="EY176" s="1"/>
      <c r="EZ176" s="1"/>
      <c r="FA176" s="1"/>
      <c r="FB176" s="1"/>
      <c r="FC176" s="1"/>
      <c r="FD176" s="1"/>
      <c r="FE176" s="1"/>
      <c r="FF176" s="1"/>
      <c r="FG176" s="1"/>
      <c r="FH176" s="1"/>
      <c r="FI176" s="1"/>
      <c r="FJ176" s="1"/>
      <c r="FK176" s="1"/>
      <c r="FL176" s="1"/>
      <c r="FM176" s="1"/>
      <c r="FN176" s="1"/>
      <c r="FO176" s="1"/>
      <c r="FP176" s="1"/>
      <c r="FQ176" s="1"/>
      <c r="FR176" s="1"/>
      <c r="FS176" s="1"/>
      <c r="FT176" s="1"/>
      <c r="FU176" s="1"/>
      <c r="FV176" s="1"/>
      <c r="FW176" s="1"/>
      <c r="FX176" s="1"/>
      <c r="FY176" s="1"/>
      <c r="FZ176" s="1"/>
      <c r="GA176" s="1"/>
      <c r="GB176" s="1"/>
      <c r="GC176" s="1"/>
      <c r="GD176" s="1"/>
      <c r="GE176" s="1"/>
      <c r="GF176" s="1"/>
      <c r="GG176" s="1"/>
      <c r="GH176" s="1"/>
      <c r="GI176" s="1"/>
      <c r="GJ176" s="1"/>
      <c r="GK176" s="1"/>
      <c r="GL176" s="1"/>
      <c r="GM176" s="1"/>
      <c r="GN176" s="1"/>
      <c r="GO176" s="1"/>
      <c r="GP176" s="1"/>
      <c r="GQ176" s="1"/>
      <c r="GR176" s="1"/>
      <c r="GS176" s="1"/>
      <c r="GT176" s="1"/>
      <c r="GU176" s="1"/>
      <c r="GV176" s="1"/>
      <c r="GW176" s="1"/>
      <c r="GX176" s="1"/>
      <c r="GY176" s="1"/>
      <c r="GZ176" s="1"/>
      <c r="HA176" s="1"/>
      <c r="HB176" s="1"/>
      <c r="HC176" s="1"/>
      <c r="HD176" s="1"/>
      <c r="HE176" s="1"/>
      <c r="HF176" s="1"/>
      <c r="HG176" s="1"/>
      <c r="HH176" s="1"/>
      <c r="HI176" s="1"/>
      <c r="HJ176" s="1"/>
      <c r="HK176" s="1"/>
      <c r="HL176" s="1"/>
      <c r="HM176" s="1"/>
      <c r="HN176" s="1"/>
      <c r="HO176" s="1"/>
      <c r="HP176" s="1"/>
      <c r="HQ176" s="1"/>
      <c r="HR176" s="1"/>
      <c r="HS176" s="1"/>
      <c r="HT176" s="1"/>
      <c r="HU176" s="1"/>
      <c r="HV176" s="1"/>
      <c r="HW176" s="1"/>
      <c r="HX176" s="1"/>
      <c r="HY176" s="1"/>
      <c r="HZ176" s="1"/>
      <c r="IA176" s="1"/>
      <c r="IB176" s="1"/>
      <c r="IC176" s="1"/>
      <c r="ID176" s="1"/>
      <c r="IE176" s="1"/>
      <c r="IF176" s="1"/>
      <c r="IG176" s="1"/>
      <c r="IH176" s="1"/>
      <c r="II176" s="1"/>
      <c r="IJ176" s="1"/>
      <c r="IK176" s="1"/>
      <c r="IL176" s="1"/>
      <c r="IM176" s="1"/>
      <c r="IN176" s="1"/>
      <c r="IO176" s="1"/>
      <c r="IP176" s="1"/>
      <c r="IQ176" s="1"/>
      <c r="IR176" s="1"/>
      <c r="IS176" s="1"/>
      <c r="IT176" s="1"/>
      <c r="IU176" s="1"/>
      <c r="IV176" s="1"/>
      <c r="IW176" s="1"/>
      <c r="IX176" s="1"/>
      <c r="IY176" s="1"/>
      <c r="IZ176" s="1"/>
      <c r="JA176" s="1"/>
      <c r="JB176" s="1"/>
      <c r="JC176" s="1"/>
      <c r="JD176" s="1"/>
      <c r="JE176" s="1"/>
      <c r="JF176" s="1"/>
      <c r="JG176" s="1"/>
      <c r="JH176" s="1"/>
      <c r="JI176" s="1"/>
      <c r="JJ176" s="1"/>
      <c r="JK176" s="1"/>
      <c r="JL176" s="1"/>
      <c r="JM176" s="1"/>
      <c r="JN176" s="1"/>
      <c r="JO176" s="1"/>
      <c r="JP176" s="1"/>
      <c r="JQ176" s="1"/>
      <c r="JR176" s="1"/>
      <c r="JS176" s="1"/>
      <c r="JT176" s="1"/>
      <c r="JU176" s="1"/>
      <c r="JV176" s="1"/>
      <c r="JW176" s="1"/>
      <c r="JX176" s="1"/>
      <c r="JY176" s="1"/>
      <c r="JZ176" s="1"/>
      <c r="KA176" s="1"/>
      <c r="KB176" s="1"/>
      <c r="KC176" s="1"/>
      <c r="KD176" s="1"/>
      <c r="KE176" s="1"/>
      <c r="KF176" s="1"/>
      <c r="KG176" s="1"/>
      <c r="KH176" s="1"/>
      <c r="KI176" s="1"/>
      <c r="KJ176" s="1"/>
      <c r="KK176" s="1"/>
      <c r="KL176" s="1"/>
      <c r="KM176" s="1"/>
      <c r="KN176" s="1"/>
      <c r="KO176" s="1"/>
      <c r="KP176" s="1"/>
      <c r="KQ176" s="1"/>
      <c r="KR176" s="1"/>
      <c r="KS176" s="1"/>
      <c r="KT176" s="1"/>
      <c r="KU176" s="1"/>
      <c r="KV176" s="1"/>
      <c r="KW176" s="1"/>
      <c r="KX176" s="1"/>
      <c r="KY176" s="1"/>
      <c r="KZ176" s="1"/>
      <c r="LA176" s="1"/>
      <c r="LB176" s="1"/>
      <c r="LC176" s="1"/>
      <c r="LD176" s="1"/>
      <c r="LE176" s="1"/>
      <c r="LF176" s="1"/>
      <c r="LG176" s="1"/>
      <c r="LH176" s="1"/>
      <c r="LI176" s="1"/>
      <c r="LJ176" s="1"/>
      <c r="LK176" s="1"/>
      <c r="LL176" s="1"/>
      <c r="LM176" s="1"/>
      <c r="LN176" s="1"/>
      <c r="LO176" s="1"/>
      <c r="LP176" s="1"/>
      <c r="LQ176" s="1"/>
      <c r="LR176" s="1"/>
      <c r="LS176" s="1"/>
    </row>
    <row r="177" spans="1:331" s="40" customFormat="1" x14ac:dyDescent="0.25">
      <c r="A177" s="40" t="s">
        <v>715</v>
      </c>
      <c r="B177" s="44">
        <v>2065522</v>
      </c>
      <c r="C177" s="94" t="s">
        <v>1648</v>
      </c>
      <c r="D177" s="40">
        <v>0</v>
      </c>
      <c r="H177" s="40" t="s">
        <v>716</v>
      </c>
      <c r="I177" s="40" t="s">
        <v>717</v>
      </c>
      <c r="J177" s="40" t="s">
        <v>716</v>
      </c>
      <c r="K177" s="40" t="s">
        <v>717</v>
      </c>
      <c r="L177" s="40">
        <v>0</v>
      </c>
      <c r="O177" s="40">
        <v>1</v>
      </c>
      <c r="P177" s="40" t="s">
        <v>718</v>
      </c>
      <c r="Q177" s="96" t="s">
        <v>1562</v>
      </c>
      <c r="R177" s="96"/>
      <c r="S177" s="40">
        <v>13</v>
      </c>
      <c r="W177" s="96">
        <v>13</v>
      </c>
      <c r="X177" s="96"/>
      <c r="Y177" s="96"/>
      <c r="Z177" s="40">
        <v>8</v>
      </c>
      <c r="AA177" s="94" t="b">
        <v>1</v>
      </c>
      <c r="AB177" s="1"/>
      <c r="AC177" s="57" t="s">
        <v>1422</v>
      </c>
      <c r="AD177" s="1"/>
      <c r="AE177" s="57"/>
      <c r="AF177" s="1"/>
      <c r="AG177" s="1"/>
      <c r="AH177" s="1"/>
      <c r="AI177" s="1"/>
      <c r="AJ177" s="1"/>
      <c r="AK177" s="1"/>
      <c r="AL177" s="1"/>
      <c r="AM177" s="1"/>
      <c r="AN177" s="1"/>
      <c r="AO177" s="1"/>
      <c r="AP177" s="1"/>
      <c r="AQ177" s="1"/>
      <c r="AR177" s="1"/>
      <c r="AS177" s="1"/>
      <c r="AT177" s="1"/>
      <c r="AU177" s="1"/>
      <c r="AV177" s="1"/>
      <c r="AW177" s="1"/>
      <c r="AX177" s="1"/>
      <c r="AY177" s="1"/>
      <c r="AZ177" s="1"/>
      <c r="BA177" s="1"/>
      <c r="BB177" s="1"/>
      <c r="BC177" s="1"/>
      <c r="BD177" s="1"/>
      <c r="BE177" s="1"/>
      <c r="BF177" s="1"/>
      <c r="BG177" s="1"/>
      <c r="BH177" s="1"/>
      <c r="BI177" s="1"/>
      <c r="BJ177" s="1"/>
      <c r="BK177" s="1"/>
      <c r="BL177" s="1"/>
      <c r="BM177" s="1"/>
      <c r="BN177" s="1"/>
      <c r="BO177" s="1"/>
      <c r="BP177" s="1"/>
      <c r="BQ177" s="1"/>
      <c r="BR177" s="1"/>
      <c r="BS177" s="1"/>
      <c r="BT177" s="1"/>
      <c r="BU177" s="1"/>
      <c r="BV177" s="1"/>
      <c r="BW177" s="1"/>
      <c r="BX177" s="1"/>
      <c r="BY177" s="1"/>
      <c r="BZ177" s="1"/>
      <c r="CA177" s="1"/>
      <c r="CB177" s="1"/>
      <c r="CC177" s="1"/>
      <c r="CD177" s="1"/>
      <c r="CE177" s="1"/>
      <c r="CF177" s="1"/>
      <c r="CG177" s="1"/>
      <c r="CH177" s="1"/>
      <c r="CI177" s="1"/>
      <c r="CJ177" s="1"/>
      <c r="CK177" s="1"/>
      <c r="CL177" s="1"/>
      <c r="CM177" s="1"/>
      <c r="CN177" s="1"/>
      <c r="CO177" s="1"/>
      <c r="CP177" s="1"/>
      <c r="CQ177" s="1"/>
      <c r="CR177" s="1"/>
      <c r="CS177" s="1"/>
      <c r="CT177" s="1"/>
      <c r="CU177" s="1"/>
      <c r="CV177" s="1"/>
      <c r="CW177" s="1"/>
      <c r="CX177" s="1"/>
      <c r="CY177" s="1"/>
      <c r="CZ177" s="1"/>
      <c r="DA177" s="1"/>
      <c r="DB177" s="1"/>
      <c r="DC177" s="1"/>
      <c r="DD177" s="1"/>
      <c r="DE177" s="1"/>
      <c r="DF177" s="1"/>
      <c r="DG177" s="1"/>
      <c r="DH177" s="1"/>
      <c r="DI177" s="1"/>
      <c r="DJ177" s="1"/>
      <c r="DK177" s="1"/>
      <c r="DL177" s="1"/>
      <c r="DM177" s="1"/>
      <c r="DN177" s="1"/>
      <c r="DO177" s="1"/>
      <c r="DP177" s="1"/>
      <c r="DQ177" s="1"/>
      <c r="DR177" s="1"/>
      <c r="DS177" s="1"/>
      <c r="DT177" s="1"/>
      <c r="DU177" s="1"/>
      <c r="DV177" s="1"/>
      <c r="DW177" s="1"/>
      <c r="DX177" s="1"/>
      <c r="DY177" s="1"/>
      <c r="DZ177" s="1"/>
      <c r="EA177" s="1"/>
      <c r="EB177" s="1"/>
      <c r="EC177" s="1"/>
      <c r="ED177" s="1"/>
      <c r="EE177" s="1"/>
      <c r="EF177" s="1"/>
      <c r="EG177" s="1"/>
      <c r="EH177" s="1"/>
      <c r="EI177" s="1"/>
      <c r="EJ177" s="1"/>
      <c r="EK177" s="1"/>
      <c r="EL177" s="1"/>
      <c r="EM177" s="1"/>
      <c r="EN177" s="1"/>
      <c r="EO177" s="1"/>
      <c r="EP177" s="1"/>
      <c r="EQ177" s="1"/>
      <c r="ER177" s="1"/>
      <c r="ES177" s="1"/>
      <c r="ET177" s="1"/>
      <c r="EU177" s="1"/>
      <c r="EV177" s="1"/>
      <c r="EW177" s="1"/>
      <c r="EX177" s="1"/>
      <c r="EY177" s="1"/>
      <c r="EZ177" s="1"/>
      <c r="FA177" s="1"/>
      <c r="FB177" s="1"/>
      <c r="FC177" s="1"/>
      <c r="FD177" s="1"/>
      <c r="FE177" s="1"/>
      <c r="FF177" s="1"/>
      <c r="FG177" s="1"/>
      <c r="FH177" s="1"/>
      <c r="FI177" s="1"/>
      <c r="FJ177" s="1"/>
      <c r="FK177" s="1"/>
      <c r="FL177" s="1"/>
      <c r="FM177" s="1"/>
      <c r="FN177" s="1"/>
      <c r="FO177" s="1"/>
      <c r="FP177" s="1"/>
      <c r="FQ177" s="1"/>
      <c r="FR177" s="1"/>
      <c r="FS177" s="1"/>
      <c r="FT177" s="1"/>
      <c r="FU177" s="1"/>
      <c r="FV177" s="1"/>
      <c r="FW177" s="1"/>
      <c r="FX177" s="1"/>
      <c r="FY177" s="1"/>
      <c r="FZ177" s="1"/>
      <c r="GA177" s="1"/>
      <c r="GB177" s="1"/>
      <c r="GC177" s="1"/>
      <c r="GD177" s="1"/>
      <c r="GE177" s="1"/>
      <c r="GF177" s="1"/>
      <c r="GG177" s="1"/>
      <c r="GH177" s="1"/>
      <c r="GI177" s="1"/>
      <c r="GJ177" s="1"/>
      <c r="GK177" s="1"/>
      <c r="GL177" s="1"/>
      <c r="GM177" s="1"/>
      <c r="GN177" s="1"/>
      <c r="GO177" s="1"/>
      <c r="GP177" s="1"/>
      <c r="GQ177" s="1"/>
      <c r="GR177" s="1"/>
      <c r="GS177" s="1"/>
      <c r="GT177" s="1"/>
      <c r="GU177" s="1"/>
      <c r="GV177" s="1"/>
      <c r="GW177" s="1"/>
      <c r="GX177" s="1"/>
      <c r="GY177" s="1"/>
      <c r="GZ177" s="1"/>
      <c r="HA177" s="1"/>
      <c r="HB177" s="1"/>
      <c r="HC177" s="1"/>
      <c r="HD177" s="1"/>
      <c r="HE177" s="1"/>
      <c r="HF177" s="1"/>
      <c r="HG177" s="1"/>
      <c r="HH177" s="1"/>
      <c r="HI177" s="1"/>
      <c r="HJ177" s="1"/>
      <c r="HK177" s="1"/>
      <c r="HL177" s="1"/>
      <c r="HM177" s="1"/>
      <c r="HN177" s="1"/>
      <c r="HO177" s="1"/>
      <c r="HP177" s="1"/>
      <c r="HQ177" s="1"/>
      <c r="HR177" s="1"/>
      <c r="HS177" s="1"/>
      <c r="HT177" s="1"/>
      <c r="HU177" s="1"/>
      <c r="HV177" s="1"/>
      <c r="HW177" s="1"/>
      <c r="HX177" s="1"/>
      <c r="HY177" s="1"/>
      <c r="HZ177" s="1"/>
      <c r="IA177" s="1"/>
      <c r="IB177" s="1"/>
      <c r="IC177" s="1"/>
      <c r="ID177" s="1"/>
      <c r="IE177" s="1"/>
      <c r="IF177" s="1"/>
      <c r="IG177" s="1"/>
      <c r="IH177" s="1"/>
      <c r="II177" s="1"/>
      <c r="IJ177" s="1"/>
      <c r="IK177" s="1"/>
      <c r="IL177" s="1"/>
      <c r="IM177" s="1"/>
      <c r="IN177" s="1"/>
      <c r="IO177" s="1"/>
      <c r="IP177" s="1"/>
      <c r="IQ177" s="1"/>
      <c r="IR177" s="1"/>
      <c r="IS177" s="1"/>
      <c r="IT177" s="1"/>
      <c r="IU177" s="1"/>
      <c r="IV177" s="1"/>
      <c r="IW177" s="1"/>
      <c r="IX177" s="1"/>
      <c r="IY177" s="1"/>
      <c r="IZ177" s="1"/>
      <c r="JA177" s="1"/>
      <c r="JB177" s="1"/>
      <c r="JC177" s="1"/>
      <c r="JD177" s="1"/>
      <c r="JE177" s="1"/>
      <c r="JF177" s="1"/>
      <c r="JG177" s="1"/>
      <c r="JH177" s="1"/>
      <c r="JI177" s="1"/>
      <c r="JJ177" s="1"/>
      <c r="JK177" s="1"/>
      <c r="JL177" s="1"/>
      <c r="JM177" s="1"/>
      <c r="JN177" s="1"/>
      <c r="JO177" s="1"/>
      <c r="JP177" s="1"/>
      <c r="JQ177" s="1"/>
      <c r="JR177" s="1"/>
      <c r="JS177" s="1"/>
      <c r="JT177" s="1"/>
      <c r="JU177" s="1"/>
      <c r="JV177" s="1"/>
      <c r="JW177" s="1"/>
      <c r="JX177" s="1"/>
      <c r="JY177" s="1"/>
      <c r="JZ177" s="1"/>
      <c r="KA177" s="1"/>
      <c r="KB177" s="1"/>
      <c r="KC177" s="1"/>
      <c r="KD177" s="1"/>
      <c r="KE177" s="1"/>
      <c r="KF177" s="1"/>
      <c r="KG177" s="1"/>
      <c r="KH177" s="1"/>
      <c r="KI177" s="1"/>
      <c r="KJ177" s="1"/>
      <c r="KK177" s="1"/>
      <c r="KL177" s="1"/>
      <c r="KM177" s="1"/>
      <c r="KN177" s="1"/>
      <c r="KO177" s="1"/>
      <c r="KP177" s="1"/>
      <c r="KQ177" s="1"/>
      <c r="KR177" s="1"/>
      <c r="KS177" s="1"/>
      <c r="KT177" s="1"/>
      <c r="KU177" s="1"/>
      <c r="KV177" s="1"/>
      <c r="KW177" s="1"/>
      <c r="KX177" s="1"/>
      <c r="KY177" s="1"/>
      <c r="KZ177" s="1"/>
      <c r="LA177" s="1"/>
      <c r="LB177" s="1"/>
      <c r="LC177" s="1"/>
      <c r="LD177" s="1"/>
      <c r="LE177" s="1"/>
      <c r="LF177" s="1"/>
      <c r="LG177" s="1"/>
      <c r="LH177" s="1"/>
      <c r="LI177" s="1"/>
      <c r="LJ177" s="1"/>
      <c r="LK177" s="1"/>
      <c r="LL177" s="1"/>
      <c r="LM177" s="1"/>
      <c r="LN177" s="1"/>
      <c r="LO177" s="1"/>
      <c r="LP177" s="1"/>
      <c r="LQ177" s="1"/>
      <c r="LR177" s="1"/>
      <c r="LS177" s="1"/>
    </row>
    <row r="178" spans="1:331" s="30" customFormat="1" x14ac:dyDescent="0.25">
      <c r="A178" s="30" t="s">
        <v>719</v>
      </c>
      <c r="B178" s="34">
        <v>2431691</v>
      </c>
      <c r="C178" s="94" t="s">
        <v>1648</v>
      </c>
      <c r="D178" s="30">
        <v>1</v>
      </c>
      <c r="E178" s="30" t="s">
        <v>720</v>
      </c>
      <c r="H178" s="30" t="s">
        <v>721</v>
      </c>
      <c r="I178" s="30" t="s">
        <v>722</v>
      </c>
      <c r="J178" s="30" t="s">
        <v>721</v>
      </c>
      <c r="K178" s="30" t="s">
        <v>722</v>
      </c>
      <c r="L178" s="30">
        <v>0</v>
      </c>
      <c r="O178" s="30">
        <v>0</v>
      </c>
      <c r="Q178" s="96" t="s">
        <v>1323</v>
      </c>
      <c r="R178" s="96"/>
      <c r="S178" s="30">
        <v>8</v>
      </c>
      <c r="W178" s="96">
        <v>8</v>
      </c>
      <c r="X178" s="96"/>
      <c r="Y178" s="96"/>
      <c r="Z178" s="30">
        <v>6</v>
      </c>
      <c r="AA178" s="94" t="b">
        <v>1</v>
      </c>
      <c r="AB178" s="1"/>
      <c r="AC178" s="57" t="s">
        <v>1386</v>
      </c>
      <c r="AD178" s="1"/>
      <c r="AE178" s="57"/>
      <c r="AF178" s="1"/>
      <c r="AG178" s="1"/>
      <c r="AH178" s="1"/>
      <c r="AI178" s="1"/>
      <c r="AJ178" s="1"/>
      <c r="AK178" s="1"/>
      <c r="AL178" s="1"/>
      <c r="AM178" s="1"/>
      <c r="AN178" s="1"/>
      <c r="AO178" s="1"/>
      <c r="AP178" s="1"/>
      <c r="AQ178" s="1"/>
      <c r="AR178" s="1"/>
      <c r="AS178" s="1"/>
      <c r="AT178" s="1"/>
      <c r="AU178" s="1"/>
      <c r="AV178" s="1"/>
      <c r="AW178" s="1"/>
      <c r="AX178" s="1"/>
      <c r="AY178" s="1"/>
      <c r="AZ178" s="1"/>
      <c r="BA178" s="1"/>
      <c r="BB178" s="1"/>
      <c r="BC178" s="1"/>
      <c r="BD178" s="1"/>
      <c r="BE178" s="1"/>
      <c r="BF178" s="1"/>
      <c r="BG178" s="1"/>
      <c r="BH178" s="1"/>
      <c r="BI178" s="1"/>
      <c r="BJ178" s="1"/>
      <c r="BK178" s="1"/>
      <c r="BL178" s="1"/>
      <c r="BM178" s="1"/>
      <c r="BN178" s="1"/>
      <c r="BO178" s="1"/>
      <c r="BP178" s="1"/>
      <c r="BQ178" s="1"/>
      <c r="BR178" s="1"/>
      <c r="BS178" s="1"/>
      <c r="BT178" s="1"/>
      <c r="BU178" s="1"/>
      <c r="BV178" s="1"/>
      <c r="BW178" s="1"/>
      <c r="BX178" s="1"/>
      <c r="BY178" s="1"/>
      <c r="BZ178" s="1"/>
      <c r="CA178" s="1"/>
      <c r="CB178" s="1"/>
      <c r="CC178" s="1"/>
      <c r="CD178" s="1"/>
      <c r="CE178" s="1"/>
      <c r="CF178" s="1"/>
      <c r="CG178" s="1"/>
      <c r="CH178" s="1"/>
      <c r="CI178" s="1"/>
      <c r="CJ178" s="1"/>
      <c r="CK178" s="1"/>
      <c r="CL178" s="1"/>
      <c r="CM178" s="1"/>
      <c r="CN178" s="1"/>
      <c r="CO178" s="1"/>
      <c r="CP178" s="1"/>
      <c r="CQ178" s="1"/>
      <c r="CR178" s="1"/>
      <c r="CS178" s="1"/>
      <c r="CT178" s="1"/>
      <c r="CU178" s="1"/>
      <c r="CV178" s="1"/>
      <c r="CW178" s="1"/>
      <c r="CX178" s="1"/>
      <c r="CY178" s="1"/>
      <c r="CZ178" s="1"/>
      <c r="DA178" s="1"/>
      <c r="DB178" s="1"/>
      <c r="DC178" s="1"/>
      <c r="DD178" s="1"/>
      <c r="DE178" s="1"/>
      <c r="DF178" s="1"/>
      <c r="DG178" s="1"/>
      <c r="DH178" s="1"/>
      <c r="DI178" s="1"/>
      <c r="DJ178" s="1"/>
      <c r="DK178" s="1"/>
      <c r="DL178" s="1"/>
      <c r="DM178" s="1"/>
      <c r="DN178" s="1"/>
      <c r="DO178" s="1"/>
      <c r="DP178" s="1"/>
      <c r="DQ178" s="1"/>
      <c r="DR178" s="1"/>
      <c r="DS178" s="1"/>
      <c r="DT178" s="1"/>
      <c r="DU178" s="1"/>
      <c r="DV178" s="1"/>
      <c r="DW178" s="1"/>
      <c r="DX178" s="1"/>
      <c r="DY178" s="1"/>
      <c r="DZ178" s="1"/>
      <c r="EA178" s="1"/>
      <c r="EB178" s="1"/>
      <c r="EC178" s="1"/>
      <c r="ED178" s="1"/>
      <c r="EE178" s="1"/>
      <c r="EF178" s="1"/>
      <c r="EG178" s="1"/>
      <c r="EH178" s="1"/>
      <c r="EI178" s="1"/>
      <c r="EJ178" s="1"/>
      <c r="EK178" s="1"/>
      <c r="EL178" s="1"/>
      <c r="EM178" s="1"/>
      <c r="EN178" s="1"/>
      <c r="EO178" s="1"/>
      <c r="EP178" s="1"/>
      <c r="EQ178" s="1"/>
      <c r="ER178" s="1"/>
      <c r="ES178" s="1"/>
      <c r="ET178" s="1"/>
      <c r="EU178" s="1"/>
      <c r="EV178" s="1"/>
      <c r="EW178" s="1"/>
      <c r="EX178" s="1"/>
      <c r="EY178" s="1"/>
      <c r="EZ178" s="1"/>
      <c r="FA178" s="1"/>
      <c r="FB178" s="1"/>
      <c r="FC178" s="1"/>
      <c r="FD178" s="1"/>
      <c r="FE178" s="1"/>
      <c r="FF178" s="1"/>
      <c r="FG178" s="1"/>
      <c r="FH178" s="1"/>
      <c r="FI178" s="1"/>
      <c r="FJ178" s="1"/>
      <c r="FK178" s="1"/>
      <c r="FL178" s="1"/>
      <c r="FM178" s="1"/>
      <c r="FN178" s="1"/>
      <c r="FO178" s="1"/>
      <c r="FP178" s="1"/>
      <c r="FQ178" s="1"/>
      <c r="FR178" s="1"/>
      <c r="FS178" s="1"/>
      <c r="FT178" s="1"/>
      <c r="FU178" s="1"/>
      <c r="FV178" s="1"/>
      <c r="FW178" s="1"/>
      <c r="FX178" s="1"/>
      <c r="FY178" s="1"/>
      <c r="FZ178" s="1"/>
      <c r="GA178" s="1"/>
      <c r="GB178" s="1"/>
      <c r="GC178" s="1"/>
      <c r="GD178" s="1"/>
      <c r="GE178" s="1"/>
      <c r="GF178" s="1"/>
      <c r="GG178" s="1"/>
      <c r="GH178" s="1"/>
      <c r="GI178" s="1"/>
      <c r="GJ178" s="1"/>
      <c r="GK178" s="1"/>
      <c r="GL178" s="1"/>
      <c r="GM178" s="1"/>
      <c r="GN178" s="1"/>
      <c r="GO178" s="1"/>
      <c r="GP178" s="1"/>
      <c r="GQ178" s="1"/>
      <c r="GR178" s="1"/>
      <c r="GS178" s="1"/>
      <c r="GT178" s="1"/>
      <c r="GU178" s="1"/>
      <c r="GV178" s="1"/>
      <c r="GW178" s="1"/>
      <c r="GX178" s="1"/>
      <c r="GY178" s="1"/>
      <c r="GZ178" s="1"/>
      <c r="HA178" s="1"/>
      <c r="HB178" s="1"/>
      <c r="HC178" s="1"/>
      <c r="HD178" s="1"/>
      <c r="HE178" s="1"/>
      <c r="HF178" s="1"/>
      <c r="HG178" s="1"/>
      <c r="HH178" s="1"/>
      <c r="HI178" s="1"/>
      <c r="HJ178" s="1"/>
      <c r="HK178" s="1"/>
      <c r="HL178" s="1"/>
      <c r="HM178" s="1"/>
      <c r="HN178" s="1"/>
      <c r="HO178" s="1"/>
      <c r="HP178" s="1"/>
      <c r="HQ178" s="1"/>
      <c r="HR178" s="1"/>
      <c r="HS178" s="1"/>
      <c r="HT178" s="1"/>
      <c r="HU178" s="1"/>
      <c r="HV178" s="1"/>
      <c r="HW178" s="1"/>
      <c r="HX178" s="1"/>
      <c r="HY178" s="1"/>
      <c r="HZ178" s="1"/>
      <c r="IA178" s="1"/>
      <c r="IB178" s="1"/>
      <c r="IC178" s="1"/>
      <c r="ID178" s="1"/>
      <c r="IE178" s="1"/>
      <c r="IF178" s="1"/>
      <c r="IG178" s="1"/>
      <c r="IH178" s="1"/>
      <c r="II178" s="1"/>
      <c r="IJ178" s="1"/>
      <c r="IK178" s="1"/>
      <c r="IL178" s="1"/>
      <c r="IM178" s="1"/>
      <c r="IN178" s="1"/>
      <c r="IO178" s="1"/>
      <c r="IP178" s="1"/>
      <c r="IQ178" s="1"/>
      <c r="IR178" s="1"/>
      <c r="IS178" s="1"/>
      <c r="IT178" s="1"/>
      <c r="IU178" s="1"/>
      <c r="IV178" s="1"/>
      <c r="IW178" s="1"/>
      <c r="IX178" s="1"/>
      <c r="IY178" s="1"/>
      <c r="IZ178" s="1"/>
      <c r="JA178" s="1"/>
      <c r="JB178" s="1"/>
      <c r="JC178" s="1"/>
      <c r="JD178" s="1"/>
      <c r="JE178" s="1"/>
      <c r="JF178" s="1"/>
      <c r="JG178" s="1"/>
      <c r="JH178" s="1"/>
      <c r="JI178" s="1"/>
      <c r="JJ178" s="1"/>
      <c r="JK178" s="1"/>
      <c r="JL178" s="1"/>
      <c r="JM178" s="1"/>
      <c r="JN178" s="1"/>
      <c r="JO178" s="1"/>
      <c r="JP178" s="1"/>
      <c r="JQ178" s="1"/>
      <c r="JR178" s="1"/>
      <c r="JS178" s="1"/>
      <c r="JT178" s="1"/>
      <c r="JU178" s="1"/>
      <c r="JV178" s="1"/>
      <c r="JW178" s="1"/>
      <c r="JX178" s="1"/>
      <c r="JY178" s="1"/>
      <c r="JZ178" s="1"/>
      <c r="KA178" s="1"/>
      <c r="KB178" s="1"/>
      <c r="KC178" s="1"/>
      <c r="KD178" s="1"/>
      <c r="KE178" s="1"/>
      <c r="KF178" s="1"/>
      <c r="KG178" s="1"/>
      <c r="KH178" s="1"/>
      <c r="KI178" s="1"/>
      <c r="KJ178" s="1"/>
      <c r="KK178" s="1"/>
      <c r="KL178" s="1"/>
      <c r="KM178" s="1"/>
      <c r="KN178" s="1"/>
      <c r="KO178" s="1"/>
      <c r="KP178" s="1"/>
      <c r="KQ178" s="1"/>
      <c r="KR178" s="1"/>
      <c r="KS178" s="1"/>
      <c r="KT178" s="1"/>
      <c r="KU178" s="1"/>
      <c r="KV178" s="1"/>
      <c r="KW178" s="1"/>
      <c r="KX178" s="1"/>
      <c r="KY178" s="1"/>
      <c r="KZ178" s="1"/>
      <c r="LA178" s="1"/>
      <c r="LB178" s="1"/>
      <c r="LC178" s="1"/>
      <c r="LD178" s="1"/>
      <c r="LE178" s="1"/>
      <c r="LF178" s="1"/>
      <c r="LG178" s="1"/>
      <c r="LH178" s="1"/>
      <c r="LI178" s="1"/>
      <c r="LJ178" s="1"/>
      <c r="LK178" s="1"/>
      <c r="LL178" s="1"/>
      <c r="LM178" s="1"/>
      <c r="LN178" s="1"/>
      <c r="LO178" s="1"/>
      <c r="LP178" s="1"/>
      <c r="LQ178" s="1"/>
      <c r="LR178" s="1"/>
      <c r="LS178" s="1"/>
    </row>
    <row r="179" spans="1:331" s="30" customFormat="1" x14ac:dyDescent="0.25">
      <c r="A179" s="30" t="s">
        <v>723</v>
      </c>
      <c r="B179" s="34">
        <v>2232469</v>
      </c>
      <c r="C179" s="94" t="s">
        <v>1648</v>
      </c>
      <c r="D179" s="30">
        <v>1</v>
      </c>
      <c r="E179" s="30" t="s">
        <v>699</v>
      </c>
      <c r="H179" s="30" t="s">
        <v>724</v>
      </c>
      <c r="I179" s="30" t="s">
        <v>699</v>
      </c>
      <c r="J179" s="30" t="s">
        <v>724</v>
      </c>
      <c r="K179" s="30" t="s">
        <v>1561</v>
      </c>
      <c r="L179" s="30">
        <v>0</v>
      </c>
      <c r="O179" s="30">
        <v>0</v>
      </c>
      <c r="Q179" s="96" t="s">
        <v>1563</v>
      </c>
      <c r="R179" s="96"/>
      <c r="S179" s="30">
        <v>5.2</v>
      </c>
      <c r="U179" s="30">
        <v>7</v>
      </c>
      <c r="W179" s="96">
        <v>5</v>
      </c>
      <c r="X179" s="96"/>
      <c r="Y179" s="96"/>
      <c r="Z179" s="30">
        <v>6</v>
      </c>
      <c r="AA179" s="94" t="b">
        <v>1</v>
      </c>
      <c r="AB179" s="1"/>
      <c r="AC179" s="57" t="s">
        <v>1915</v>
      </c>
      <c r="AD179" s="1"/>
      <c r="AE179" s="57"/>
      <c r="AF179" s="1"/>
      <c r="AG179" s="1"/>
      <c r="AH179" s="1"/>
      <c r="AI179" s="1"/>
      <c r="AJ179" s="1"/>
      <c r="AK179" s="1"/>
      <c r="AL179" s="1"/>
      <c r="AM179" s="1"/>
      <c r="AN179" s="1"/>
      <c r="AO179" s="1"/>
      <c r="AP179" s="1"/>
      <c r="AQ179" s="1"/>
      <c r="AR179" s="1"/>
      <c r="AS179" s="1"/>
      <c r="AT179" s="1"/>
      <c r="AU179" s="1"/>
      <c r="AV179" s="1"/>
      <c r="AW179" s="1"/>
      <c r="AX179" s="1"/>
      <c r="AY179" s="1"/>
      <c r="AZ179" s="1"/>
      <c r="BA179" s="1"/>
      <c r="BB179" s="1"/>
      <c r="BC179" s="1"/>
      <c r="BD179" s="1"/>
      <c r="BE179" s="1"/>
      <c r="BF179" s="1"/>
      <c r="BG179" s="1"/>
      <c r="BH179" s="1"/>
      <c r="BI179" s="1"/>
      <c r="BJ179" s="1"/>
      <c r="BK179" s="1"/>
      <c r="BL179" s="1"/>
      <c r="BM179" s="1"/>
      <c r="BN179" s="1"/>
      <c r="BO179" s="1"/>
      <c r="BP179" s="1"/>
      <c r="BQ179" s="1"/>
      <c r="BR179" s="1"/>
      <c r="BS179" s="1"/>
      <c r="BT179" s="1"/>
      <c r="BU179" s="1"/>
      <c r="BV179" s="1"/>
      <c r="BW179" s="1"/>
      <c r="BX179" s="1"/>
      <c r="BY179" s="1"/>
      <c r="BZ179" s="1"/>
      <c r="CA179" s="1"/>
      <c r="CB179" s="1"/>
      <c r="CC179" s="1"/>
      <c r="CD179" s="1"/>
      <c r="CE179" s="1"/>
      <c r="CF179" s="1"/>
      <c r="CG179" s="1"/>
      <c r="CH179" s="1"/>
      <c r="CI179" s="1"/>
      <c r="CJ179" s="1"/>
      <c r="CK179" s="1"/>
      <c r="CL179" s="1"/>
      <c r="CM179" s="1"/>
      <c r="CN179" s="1"/>
      <c r="CO179" s="1"/>
      <c r="CP179" s="1"/>
      <c r="CQ179" s="1"/>
      <c r="CR179" s="1"/>
      <c r="CS179" s="1"/>
      <c r="CT179" s="1"/>
      <c r="CU179" s="1"/>
      <c r="CV179" s="1"/>
      <c r="CW179" s="1"/>
      <c r="CX179" s="1"/>
      <c r="CY179" s="1"/>
      <c r="CZ179" s="1"/>
      <c r="DA179" s="1"/>
      <c r="DB179" s="1"/>
      <c r="DC179" s="1"/>
      <c r="DD179" s="1"/>
      <c r="DE179" s="1"/>
      <c r="DF179" s="1"/>
      <c r="DG179" s="1"/>
      <c r="DH179" s="1"/>
      <c r="DI179" s="1"/>
      <c r="DJ179" s="1"/>
      <c r="DK179" s="1"/>
      <c r="DL179" s="1"/>
      <c r="DM179" s="1"/>
      <c r="DN179" s="1"/>
      <c r="DO179" s="1"/>
      <c r="DP179" s="1"/>
      <c r="DQ179" s="1"/>
      <c r="DR179" s="1"/>
      <c r="DS179" s="1"/>
      <c r="DT179" s="1"/>
      <c r="DU179" s="1"/>
      <c r="DV179" s="1"/>
      <c r="DW179" s="1"/>
      <c r="DX179" s="1"/>
      <c r="DY179" s="1"/>
      <c r="DZ179" s="1"/>
      <c r="EA179" s="1"/>
      <c r="EB179" s="1"/>
      <c r="EC179" s="1"/>
      <c r="ED179" s="1"/>
      <c r="EE179" s="1"/>
      <c r="EF179" s="1"/>
      <c r="EG179" s="1"/>
      <c r="EH179" s="1"/>
      <c r="EI179" s="1"/>
      <c r="EJ179" s="1"/>
      <c r="EK179" s="1"/>
      <c r="EL179" s="1"/>
      <c r="EM179" s="1"/>
      <c r="EN179" s="1"/>
      <c r="EO179" s="1"/>
      <c r="EP179" s="1"/>
      <c r="EQ179" s="1"/>
      <c r="ER179" s="1"/>
      <c r="ES179" s="1"/>
      <c r="ET179" s="1"/>
      <c r="EU179" s="1"/>
      <c r="EV179" s="1"/>
      <c r="EW179" s="1"/>
      <c r="EX179" s="1"/>
      <c r="EY179" s="1"/>
      <c r="EZ179" s="1"/>
      <c r="FA179" s="1"/>
      <c r="FB179" s="1"/>
      <c r="FC179" s="1"/>
      <c r="FD179" s="1"/>
      <c r="FE179" s="1"/>
      <c r="FF179" s="1"/>
      <c r="FG179" s="1"/>
      <c r="FH179" s="1"/>
      <c r="FI179" s="1"/>
      <c r="FJ179" s="1"/>
      <c r="FK179" s="1"/>
      <c r="FL179" s="1"/>
      <c r="FM179" s="1"/>
      <c r="FN179" s="1"/>
      <c r="FO179" s="1"/>
      <c r="FP179" s="1"/>
      <c r="FQ179" s="1"/>
      <c r="FR179" s="1"/>
      <c r="FS179" s="1"/>
      <c r="FT179" s="1"/>
      <c r="FU179" s="1"/>
      <c r="FV179" s="1"/>
      <c r="FW179" s="1"/>
      <c r="FX179" s="1"/>
      <c r="FY179" s="1"/>
      <c r="FZ179" s="1"/>
      <c r="GA179" s="1"/>
      <c r="GB179" s="1"/>
      <c r="GC179" s="1"/>
      <c r="GD179" s="1"/>
      <c r="GE179" s="1"/>
      <c r="GF179" s="1"/>
      <c r="GG179" s="1"/>
      <c r="GH179" s="1"/>
      <c r="GI179" s="1"/>
      <c r="GJ179" s="1"/>
      <c r="GK179" s="1"/>
      <c r="GL179" s="1"/>
      <c r="GM179" s="1"/>
      <c r="GN179" s="1"/>
      <c r="GO179" s="1"/>
      <c r="GP179" s="1"/>
      <c r="GQ179" s="1"/>
      <c r="GR179" s="1"/>
      <c r="GS179" s="1"/>
      <c r="GT179" s="1"/>
      <c r="GU179" s="1"/>
      <c r="GV179" s="1"/>
      <c r="GW179" s="1"/>
      <c r="GX179" s="1"/>
      <c r="GY179" s="1"/>
      <c r="GZ179" s="1"/>
      <c r="HA179" s="1"/>
      <c r="HB179" s="1"/>
      <c r="HC179" s="1"/>
      <c r="HD179" s="1"/>
      <c r="HE179" s="1"/>
      <c r="HF179" s="1"/>
      <c r="HG179" s="1"/>
      <c r="HH179" s="1"/>
      <c r="HI179" s="1"/>
      <c r="HJ179" s="1"/>
      <c r="HK179" s="1"/>
      <c r="HL179" s="1"/>
      <c r="HM179" s="1"/>
      <c r="HN179" s="1"/>
      <c r="HO179" s="1"/>
      <c r="HP179" s="1"/>
      <c r="HQ179" s="1"/>
      <c r="HR179" s="1"/>
      <c r="HS179" s="1"/>
      <c r="HT179" s="1"/>
      <c r="HU179" s="1"/>
      <c r="HV179" s="1"/>
      <c r="HW179" s="1"/>
      <c r="HX179" s="1"/>
      <c r="HY179" s="1"/>
      <c r="HZ179" s="1"/>
      <c r="IA179" s="1"/>
      <c r="IB179" s="1"/>
      <c r="IC179" s="1"/>
      <c r="ID179" s="1"/>
      <c r="IE179" s="1"/>
      <c r="IF179" s="1"/>
      <c r="IG179" s="1"/>
      <c r="IH179" s="1"/>
      <c r="II179" s="1"/>
      <c r="IJ179" s="1"/>
      <c r="IK179" s="1"/>
      <c r="IL179" s="1"/>
      <c r="IM179" s="1"/>
      <c r="IN179" s="1"/>
      <c r="IO179" s="1"/>
      <c r="IP179" s="1"/>
      <c r="IQ179" s="1"/>
      <c r="IR179" s="1"/>
      <c r="IS179" s="1"/>
      <c r="IT179" s="1"/>
      <c r="IU179" s="1"/>
      <c r="IV179" s="1"/>
      <c r="IW179" s="1"/>
      <c r="IX179" s="1"/>
      <c r="IY179" s="1"/>
      <c r="IZ179" s="1"/>
      <c r="JA179" s="1"/>
      <c r="JB179" s="1"/>
      <c r="JC179" s="1"/>
      <c r="JD179" s="1"/>
      <c r="JE179" s="1"/>
      <c r="JF179" s="1"/>
      <c r="JG179" s="1"/>
      <c r="JH179" s="1"/>
      <c r="JI179" s="1"/>
      <c r="JJ179" s="1"/>
      <c r="JK179" s="1"/>
      <c r="JL179" s="1"/>
      <c r="JM179" s="1"/>
      <c r="JN179" s="1"/>
      <c r="JO179" s="1"/>
      <c r="JP179" s="1"/>
      <c r="JQ179" s="1"/>
      <c r="JR179" s="1"/>
      <c r="JS179" s="1"/>
      <c r="JT179" s="1"/>
      <c r="JU179" s="1"/>
      <c r="JV179" s="1"/>
      <c r="JW179" s="1"/>
      <c r="JX179" s="1"/>
      <c r="JY179" s="1"/>
      <c r="JZ179" s="1"/>
      <c r="KA179" s="1"/>
      <c r="KB179" s="1"/>
      <c r="KC179" s="1"/>
      <c r="KD179" s="1"/>
      <c r="KE179" s="1"/>
      <c r="KF179" s="1"/>
      <c r="KG179" s="1"/>
      <c r="KH179" s="1"/>
      <c r="KI179" s="1"/>
      <c r="KJ179" s="1"/>
      <c r="KK179" s="1"/>
      <c r="KL179" s="1"/>
      <c r="KM179" s="1"/>
      <c r="KN179" s="1"/>
      <c r="KO179" s="1"/>
      <c r="KP179" s="1"/>
      <c r="KQ179" s="1"/>
      <c r="KR179" s="1"/>
      <c r="KS179" s="1"/>
      <c r="KT179" s="1"/>
      <c r="KU179" s="1"/>
      <c r="KV179" s="1"/>
      <c r="KW179" s="1"/>
      <c r="KX179" s="1"/>
      <c r="KY179" s="1"/>
      <c r="KZ179" s="1"/>
      <c r="LA179" s="1"/>
      <c r="LB179" s="1"/>
      <c r="LC179" s="1"/>
      <c r="LD179" s="1"/>
      <c r="LE179" s="1"/>
      <c r="LF179" s="1"/>
      <c r="LG179" s="1"/>
      <c r="LH179" s="1"/>
      <c r="LI179" s="1"/>
      <c r="LJ179" s="1"/>
      <c r="LK179" s="1"/>
      <c r="LL179" s="1"/>
      <c r="LM179" s="1"/>
      <c r="LN179" s="1"/>
      <c r="LO179" s="1"/>
      <c r="LP179" s="1"/>
      <c r="LQ179" s="1"/>
      <c r="LR179" s="1"/>
      <c r="LS179" s="1"/>
    </row>
    <row r="180" spans="1:331" s="45" customFormat="1" x14ac:dyDescent="0.25">
      <c r="A180" s="45" t="s">
        <v>725</v>
      </c>
      <c r="B180" s="45">
        <v>2330532</v>
      </c>
      <c r="C180" s="96" t="s">
        <v>1648</v>
      </c>
      <c r="D180" s="45">
        <v>0</v>
      </c>
      <c r="H180" s="45" t="s">
        <v>726</v>
      </c>
      <c r="I180" s="45" t="s">
        <v>727</v>
      </c>
      <c r="J180" s="45" t="s">
        <v>726</v>
      </c>
      <c r="K180" s="45" t="s">
        <v>1692</v>
      </c>
      <c r="L180" s="45">
        <v>0</v>
      </c>
      <c r="O180" s="45">
        <v>1</v>
      </c>
      <c r="Q180" s="96" t="s">
        <v>1564</v>
      </c>
      <c r="R180" s="96"/>
      <c r="S180" s="45">
        <v>27</v>
      </c>
      <c r="W180" s="96">
        <v>27</v>
      </c>
      <c r="X180" s="96"/>
      <c r="Y180" s="96"/>
      <c r="Z180" s="45">
        <v>-1</v>
      </c>
      <c r="AA180" s="94" t="b">
        <v>0</v>
      </c>
      <c r="AB180" s="1"/>
      <c r="AC180" s="99" t="s">
        <v>1238</v>
      </c>
      <c r="AD180" s="96"/>
      <c r="AE180" s="99"/>
      <c r="AF180" s="96"/>
      <c r="AG180" s="96"/>
      <c r="AH180" s="96"/>
      <c r="AI180" s="96"/>
      <c r="AJ180" s="96"/>
      <c r="AK180" s="96"/>
      <c r="AL180" s="96"/>
      <c r="AM180" s="96"/>
      <c r="AN180" s="96"/>
      <c r="AO180" s="96"/>
      <c r="AP180" s="96"/>
      <c r="AQ180" s="96"/>
      <c r="AR180" s="96"/>
      <c r="AS180" s="96"/>
      <c r="AT180" s="96"/>
      <c r="AU180" s="96"/>
      <c r="AV180" s="96"/>
      <c r="AW180" s="96"/>
      <c r="AX180" s="96"/>
      <c r="AY180" s="96"/>
      <c r="AZ180" s="96"/>
      <c r="BA180" s="96"/>
      <c r="BB180" s="96"/>
      <c r="BC180" s="96"/>
      <c r="BD180" s="96"/>
      <c r="BE180" s="96"/>
      <c r="BF180" s="96"/>
      <c r="BG180" s="96"/>
      <c r="BH180" s="96"/>
      <c r="BI180" s="96"/>
      <c r="BJ180" s="96"/>
      <c r="BK180" s="96"/>
      <c r="BL180" s="96"/>
      <c r="BM180" s="96"/>
      <c r="BN180" s="96"/>
      <c r="BO180" s="96"/>
      <c r="BP180" s="96"/>
      <c r="BQ180" s="96"/>
      <c r="BR180" s="96"/>
      <c r="BS180" s="96"/>
      <c r="BT180" s="96"/>
      <c r="BU180" s="96"/>
      <c r="BV180" s="96"/>
      <c r="BW180" s="96"/>
      <c r="BX180" s="96"/>
      <c r="BY180" s="96"/>
      <c r="BZ180" s="96"/>
      <c r="CA180" s="96"/>
      <c r="CB180" s="96"/>
      <c r="CC180" s="96"/>
      <c r="CD180" s="96"/>
      <c r="CE180" s="96"/>
      <c r="CF180" s="96"/>
      <c r="CG180" s="96"/>
      <c r="CH180" s="96"/>
      <c r="CI180" s="96"/>
      <c r="CJ180" s="96"/>
      <c r="CK180" s="96"/>
      <c r="CL180" s="96"/>
      <c r="CM180" s="96"/>
      <c r="CN180" s="96"/>
      <c r="CO180" s="96"/>
      <c r="CP180" s="96"/>
      <c r="CQ180" s="96"/>
      <c r="CR180" s="96"/>
      <c r="CS180" s="96"/>
      <c r="CT180" s="96"/>
      <c r="CU180" s="96"/>
      <c r="CV180" s="96"/>
      <c r="CW180" s="1"/>
      <c r="CX180" s="1"/>
      <c r="CY180" s="1"/>
      <c r="CZ180" s="1"/>
      <c r="DA180" s="1"/>
      <c r="DB180" s="1"/>
      <c r="DC180" s="1"/>
      <c r="DD180" s="1"/>
      <c r="DE180" s="1"/>
      <c r="DF180" s="1"/>
      <c r="DG180" s="1"/>
      <c r="DH180" s="1"/>
      <c r="DI180" s="1"/>
      <c r="DJ180" s="1"/>
      <c r="DK180" s="1"/>
      <c r="DL180" s="1"/>
      <c r="DM180" s="1"/>
      <c r="DN180" s="1"/>
      <c r="DO180" s="1"/>
      <c r="DP180" s="1"/>
      <c r="DQ180" s="1"/>
      <c r="DR180" s="1"/>
      <c r="DS180" s="1"/>
      <c r="DT180" s="1"/>
      <c r="DU180" s="1"/>
      <c r="DV180" s="1"/>
      <c r="DW180" s="1"/>
      <c r="DX180" s="1"/>
      <c r="DY180" s="1"/>
      <c r="DZ180" s="1"/>
      <c r="EA180" s="1"/>
      <c r="EB180" s="1"/>
      <c r="EC180" s="1"/>
      <c r="ED180" s="1"/>
      <c r="EE180" s="1"/>
      <c r="EF180" s="1"/>
      <c r="EG180" s="1"/>
      <c r="EH180" s="1"/>
      <c r="EI180" s="1"/>
      <c r="EJ180" s="1"/>
      <c r="EK180" s="1"/>
      <c r="EL180" s="1"/>
      <c r="EM180" s="1"/>
      <c r="EN180" s="1"/>
      <c r="EO180" s="1"/>
      <c r="EP180" s="1"/>
      <c r="EQ180" s="1"/>
      <c r="ER180" s="1"/>
      <c r="ES180" s="1"/>
      <c r="ET180" s="1"/>
      <c r="EU180" s="1"/>
      <c r="EV180" s="1"/>
      <c r="EW180" s="1"/>
      <c r="EX180" s="1"/>
      <c r="EY180" s="1"/>
      <c r="EZ180" s="1"/>
      <c r="FA180" s="1"/>
      <c r="FB180" s="1"/>
      <c r="FC180" s="1"/>
      <c r="FD180" s="1"/>
      <c r="FE180" s="1"/>
      <c r="FF180" s="1"/>
      <c r="FG180" s="1"/>
      <c r="FH180" s="1"/>
      <c r="FI180" s="1"/>
      <c r="FJ180" s="1"/>
      <c r="FK180" s="1"/>
      <c r="FL180" s="1"/>
      <c r="FM180" s="1"/>
      <c r="FN180" s="1"/>
      <c r="FO180" s="1"/>
      <c r="FP180" s="1"/>
      <c r="FQ180" s="1"/>
      <c r="FR180" s="1"/>
      <c r="FS180" s="1"/>
      <c r="FT180" s="1"/>
      <c r="FU180" s="1"/>
      <c r="FV180" s="1"/>
      <c r="FW180" s="1"/>
      <c r="FX180" s="1"/>
      <c r="FY180" s="1"/>
      <c r="FZ180" s="1"/>
      <c r="GA180" s="1"/>
      <c r="GB180" s="1"/>
      <c r="GC180" s="1"/>
      <c r="GD180" s="1"/>
      <c r="GE180" s="1"/>
      <c r="GF180" s="1"/>
      <c r="GG180" s="1"/>
      <c r="GH180" s="1"/>
      <c r="GI180" s="1"/>
      <c r="GJ180" s="1"/>
      <c r="GK180" s="1"/>
      <c r="GL180" s="1"/>
      <c r="GM180" s="1"/>
      <c r="GN180" s="1"/>
      <c r="GO180" s="1"/>
      <c r="GP180" s="1"/>
      <c r="GQ180" s="1"/>
      <c r="GR180" s="1"/>
      <c r="GS180" s="1"/>
      <c r="GT180" s="1"/>
      <c r="GU180" s="1"/>
      <c r="GV180" s="1"/>
      <c r="GW180" s="1"/>
      <c r="GX180" s="1"/>
      <c r="GY180" s="1"/>
      <c r="GZ180" s="1"/>
      <c r="HA180" s="1"/>
      <c r="HB180" s="1"/>
      <c r="HC180" s="1"/>
      <c r="HD180" s="1"/>
      <c r="HE180" s="1"/>
      <c r="HF180" s="1"/>
      <c r="HG180" s="1"/>
      <c r="HH180" s="1"/>
      <c r="HI180" s="1"/>
      <c r="HJ180" s="1"/>
      <c r="HK180" s="1"/>
      <c r="HL180" s="1"/>
      <c r="HM180" s="1"/>
      <c r="HN180" s="1"/>
      <c r="HO180" s="1"/>
      <c r="HP180" s="1"/>
      <c r="HQ180" s="1"/>
      <c r="HR180" s="1"/>
      <c r="HS180" s="1"/>
      <c r="HT180" s="1"/>
      <c r="HU180" s="1"/>
      <c r="HV180" s="1"/>
      <c r="HW180" s="1"/>
      <c r="HX180" s="1"/>
      <c r="HY180" s="1"/>
      <c r="HZ180" s="1"/>
      <c r="IA180" s="1"/>
      <c r="IB180" s="1"/>
      <c r="IC180" s="1"/>
      <c r="ID180" s="1"/>
      <c r="IE180" s="1"/>
      <c r="IF180" s="1"/>
      <c r="IG180" s="1"/>
      <c r="IH180" s="1"/>
      <c r="II180" s="1"/>
      <c r="IJ180" s="1"/>
      <c r="IK180" s="1"/>
      <c r="IL180" s="1"/>
      <c r="IM180" s="1"/>
      <c r="IN180" s="1"/>
      <c r="IO180" s="1"/>
      <c r="IP180" s="1"/>
      <c r="IQ180" s="1"/>
      <c r="IR180" s="1"/>
      <c r="IS180" s="1"/>
      <c r="IT180" s="1"/>
      <c r="IU180" s="1"/>
      <c r="IV180" s="1"/>
      <c r="IW180" s="1"/>
      <c r="IX180" s="1"/>
      <c r="IY180" s="1"/>
      <c r="IZ180" s="1"/>
      <c r="JA180" s="1"/>
      <c r="JB180" s="1"/>
      <c r="JC180" s="1"/>
      <c r="JD180" s="1"/>
      <c r="JE180" s="1"/>
      <c r="JF180" s="1"/>
      <c r="JG180" s="1"/>
      <c r="JH180" s="1"/>
      <c r="JI180" s="1"/>
      <c r="JJ180" s="1"/>
      <c r="JK180" s="1"/>
      <c r="JL180" s="1"/>
      <c r="JM180" s="1"/>
      <c r="JN180" s="1"/>
      <c r="JO180" s="1"/>
      <c r="JP180" s="1"/>
      <c r="JQ180" s="1"/>
      <c r="JR180" s="1"/>
      <c r="JS180" s="1"/>
      <c r="JT180" s="1"/>
      <c r="JU180" s="1"/>
      <c r="JV180" s="1"/>
      <c r="JW180" s="1"/>
      <c r="JX180" s="1"/>
      <c r="JY180" s="1"/>
      <c r="JZ180" s="1"/>
      <c r="KA180" s="1"/>
      <c r="KB180" s="1"/>
      <c r="KC180" s="1"/>
      <c r="KD180" s="1"/>
      <c r="KE180" s="1"/>
      <c r="KF180" s="1"/>
      <c r="KG180" s="1"/>
      <c r="KH180" s="1"/>
      <c r="KI180" s="1"/>
      <c r="KJ180" s="1"/>
      <c r="KK180" s="1"/>
      <c r="KL180" s="1"/>
      <c r="KM180" s="1"/>
      <c r="KN180" s="1"/>
      <c r="KO180" s="1"/>
      <c r="KP180" s="1"/>
      <c r="KQ180" s="1"/>
      <c r="KR180" s="1"/>
      <c r="KS180" s="1"/>
      <c r="KT180" s="1"/>
      <c r="KU180" s="1"/>
      <c r="KV180" s="1"/>
      <c r="KW180" s="1"/>
      <c r="KX180" s="1"/>
      <c r="KY180" s="1"/>
      <c r="KZ180" s="1"/>
      <c r="LA180" s="1"/>
      <c r="LB180" s="1"/>
      <c r="LC180" s="1"/>
      <c r="LD180" s="1"/>
      <c r="LE180" s="1"/>
      <c r="LF180" s="1"/>
      <c r="LG180" s="1"/>
      <c r="LH180" s="1"/>
      <c r="LI180" s="1"/>
      <c r="LJ180" s="1"/>
      <c r="LK180" s="1"/>
      <c r="LL180" s="1"/>
      <c r="LM180" s="1"/>
      <c r="LN180" s="1"/>
      <c r="LO180" s="1"/>
      <c r="LP180" s="1"/>
      <c r="LQ180" s="1"/>
      <c r="LR180" s="1"/>
      <c r="LS180" s="1"/>
    </row>
    <row r="181" spans="1:331" s="30" customFormat="1" x14ac:dyDescent="0.25">
      <c r="A181" s="30" t="s">
        <v>1962</v>
      </c>
      <c r="B181" s="30">
        <v>2403137</v>
      </c>
      <c r="C181" s="96" t="s">
        <v>1648</v>
      </c>
      <c r="D181" s="30">
        <v>1</v>
      </c>
      <c r="E181" s="30" t="s">
        <v>1509</v>
      </c>
      <c r="H181" s="30" t="s">
        <v>1508</v>
      </c>
      <c r="I181" s="30" t="s">
        <v>1963</v>
      </c>
      <c r="J181" s="30" t="s">
        <v>1757</v>
      </c>
      <c r="K181" s="30" t="s">
        <v>1963</v>
      </c>
      <c r="L181" s="30">
        <v>0</v>
      </c>
      <c r="O181" s="30">
        <v>0</v>
      </c>
      <c r="Q181" s="96" t="s">
        <v>1775</v>
      </c>
      <c r="R181" s="96"/>
      <c r="S181" s="30">
        <v>8</v>
      </c>
      <c r="W181" s="96">
        <v>8</v>
      </c>
      <c r="X181" s="96"/>
      <c r="Y181" s="96"/>
      <c r="Z181" s="30">
        <v>6</v>
      </c>
      <c r="AA181" s="96" t="b">
        <v>1</v>
      </c>
      <c r="AB181" s="92"/>
      <c r="AC181" s="96" t="s">
        <v>2003</v>
      </c>
      <c r="AD181" s="96"/>
      <c r="AE181" s="96"/>
      <c r="AF181" s="96"/>
      <c r="AG181" s="96"/>
      <c r="AH181" s="96"/>
      <c r="AI181" s="96"/>
      <c r="AJ181" s="96"/>
      <c r="AK181" s="96"/>
      <c r="AL181" s="96"/>
      <c r="AM181" s="96"/>
      <c r="AN181" s="96"/>
      <c r="AO181" s="96"/>
      <c r="AP181" s="96"/>
      <c r="AQ181" s="96"/>
      <c r="AR181" s="96"/>
      <c r="AS181" s="96"/>
      <c r="AT181" s="96"/>
      <c r="AU181" s="96"/>
      <c r="AV181" s="96"/>
      <c r="AW181" s="96"/>
      <c r="AX181" s="96"/>
      <c r="AY181" s="96"/>
      <c r="AZ181" s="96"/>
      <c r="BA181" s="96"/>
      <c r="BB181" s="96"/>
      <c r="BC181" s="96"/>
      <c r="BD181" s="96"/>
      <c r="BE181" s="96"/>
      <c r="BF181" s="96"/>
      <c r="BG181" s="96"/>
      <c r="BH181" s="96"/>
      <c r="BI181" s="96"/>
      <c r="BJ181" s="96"/>
      <c r="BK181" s="96"/>
      <c r="BL181" s="96"/>
      <c r="BM181" s="96"/>
      <c r="BN181" s="96"/>
      <c r="BO181" s="96"/>
      <c r="BP181" s="96"/>
      <c r="BQ181" s="96"/>
      <c r="BR181" s="96"/>
      <c r="BS181" s="96"/>
      <c r="BT181" s="96"/>
      <c r="BU181" s="96"/>
      <c r="BV181" s="96"/>
      <c r="BW181" s="96"/>
      <c r="BX181" s="96"/>
      <c r="BY181" s="96"/>
      <c r="BZ181" s="96"/>
      <c r="CA181" s="96"/>
      <c r="CB181" s="96"/>
      <c r="CC181" s="96"/>
      <c r="CD181" s="96"/>
      <c r="CE181" s="96"/>
      <c r="CF181" s="96"/>
      <c r="CG181" s="96"/>
      <c r="CH181" s="96"/>
      <c r="CI181" s="96"/>
      <c r="CJ181" s="96"/>
      <c r="CK181" s="96"/>
      <c r="CL181" s="96"/>
      <c r="CM181" s="96"/>
      <c r="CN181" s="96"/>
      <c r="CO181" s="96"/>
      <c r="CP181" s="96"/>
      <c r="CQ181" s="96"/>
      <c r="CR181" s="96"/>
      <c r="CS181" s="96"/>
      <c r="CT181" s="96"/>
      <c r="CU181" s="96"/>
      <c r="CV181" s="96"/>
      <c r="CW181" s="96"/>
      <c r="CX181" s="96"/>
      <c r="CY181" s="96"/>
      <c r="CZ181" s="96"/>
      <c r="DA181" s="96"/>
      <c r="DB181" s="96"/>
      <c r="DC181" s="96"/>
      <c r="DD181" s="96"/>
      <c r="DE181" s="96"/>
      <c r="DF181" s="96"/>
    </row>
    <row r="182" spans="1:331" s="40" customFormat="1" x14ac:dyDescent="0.25">
      <c r="A182" s="40" t="s">
        <v>1964</v>
      </c>
      <c r="B182" s="40">
        <v>2644334</v>
      </c>
      <c r="C182" s="96" t="s">
        <v>1648</v>
      </c>
      <c r="D182" s="40">
        <v>0</v>
      </c>
      <c r="H182" s="40" t="s">
        <v>1760</v>
      </c>
      <c r="I182" s="40" t="s">
        <v>1757</v>
      </c>
      <c r="J182" s="40" t="s">
        <v>1760</v>
      </c>
      <c r="K182" s="40" t="s">
        <v>1757</v>
      </c>
      <c r="L182" s="40">
        <v>0</v>
      </c>
      <c r="O182" s="40">
        <v>1</v>
      </c>
      <c r="P182" s="40" t="s">
        <v>1774</v>
      </c>
      <c r="Q182" s="96" t="s">
        <v>1965</v>
      </c>
      <c r="R182" s="96"/>
      <c r="S182" s="40">
        <v>10</v>
      </c>
      <c r="W182" s="96">
        <v>10</v>
      </c>
      <c r="X182" s="96"/>
      <c r="Y182" s="96"/>
      <c r="Z182" s="40">
        <v>8</v>
      </c>
      <c r="AA182" s="96" t="b">
        <v>1</v>
      </c>
      <c r="AB182" s="92"/>
      <c r="AC182" s="96" t="s">
        <v>2004</v>
      </c>
      <c r="AD182" s="96"/>
      <c r="AE182" s="96"/>
      <c r="AF182" s="96"/>
      <c r="AG182" s="96"/>
      <c r="AH182" s="96"/>
      <c r="AI182" s="96"/>
      <c r="AJ182" s="96"/>
      <c r="AK182" s="96"/>
      <c r="AL182" s="96"/>
      <c r="AM182" s="96"/>
      <c r="AN182" s="96"/>
      <c r="AO182" s="96"/>
      <c r="AP182" s="96"/>
      <c r="AQ182" s="96"/>
      <c r="AR182" s="96"/>
      <c r="AS182" s="96"/>
      <c r="AT182" s="96"/>
      <c r="AU182" s="96"/>
      <c r="AV182" s="96"/>
      <c r="AW182" s="96"/>
      <c r="AX182" s="96"/>
      <c r="AY182" s="96"/>
      <c r="AZ182" s="96"/>
      <c r="BA182" s="96"/>
      <c r="BB182" s="96"/>
      <c r="BC182" s="96"/>
      <c r="BD182" s="96"/>
      <c r="BE182" s="96"/>
      <c r="BF182" s="96"/>
      <c r="BG182" s="96"/>
      <c r="BH182" s="96"/>
      <c r="BI182" s="96"/>
      <c r="BJ182" s="96"/>
      <c r="BK182" s="96"/>
      <c r="BL182" s="96"/>
      <c r="BM182" s="96"/>
      <c r="BN182" s="96"/>
      <c r="BO182" s="96"/>
      <c r="BP182" s="96"/>
      <c r="BQ182" s="96"/>
      <c r="BR182" s="96"/>
      <c r="BS182" s="96"/>
      <c r="BT182" s="96"/>
      <c r="BU182" s="96"/>
      <c r="BV182" s="96"/>
      <c r="BW182" s="96"/>
      <c r="BX182" s="96"/>
      <c r="BY182" s="96"/>
      <c r="BZ182" s="96"/>
      <c r="CA182" s="96"/>
      <c r="CB182" s="96"/>
      <c r="CC182" s="96"/>
      <c r="CD182" s="96"/>
      <c r="CE182" s="96"/>
      <c r="CF182" s="96"/>
      <c r="CG182" s="96"/>
      <c r="CH182" s="96"/>
      <c r="CI182" s="96"/>
      <c r="CJ182" s="96"/>
      <c r="CK182" s="96"/>
      <c r="CL182" s="96"/>
      <c r="CM182" s="96"/>
      <c r="CN182" s="96"/>
      <c r="CO182" s="96"/>
      <c r="CP182" s="96"/>
      <c r="CQ182" s="96"/>
      <c r="CR182" s="96"/>
      <c r="CS182" s="96"/>
      <c r="CT182" s="96"/>
      <c r="CU182" s="96"/>
      <c r="CV182" s="96"/>
      <c r="CW182" s="96"/>
      <c r="CX182" s="96"/>
      <c r="CY182" s="96"/>
      <c r="CZ182" s="96"/>
      <c r="DA182" s="96"/>
      <c r="DB182" s="96"/>
      <c r="DC182" s="96"/>
      <c r="DD182" s="96"/>
      <c r="DE182" s="96"/>
      <c r="DF182" s="96"/>
    </row>
    <row r="183" spans="1:331" s="49" customFormat="1" x14ac:dyDescent="0.25">
      <c r="A183" s="49" t="s">
        <v>1966</v>
      </c>
      <c r="B183" s="49">
        <v>2001777</v>
      </c>
      <c r="C183" s="96" t="s">
        <v>1648</v>
      </c>
      <c r="D183" s="49">
        <v>0</v>
      </c>
      <c r="H183" s="49" t="s">
        <v>1803</v>
      </c>
      <c r="I183" s="49" t="s">
        <v>1768</v>
      </c>
      <c r="J183" s="49" t="s">
        <v>1803</v>
      </c>
      <c r="K183" s="49" t="s">
        <v>1768</v>
      </c>
      <c r="L183" s="49">
        <v>0</v>
      </c>
      <c r="O183" s="49">
        <v>1</v>
      </c>
      <c r="Q183" s="96"/>
      <c r="R183" s="96" t="s">
        <v>1967</v>
      </c>
      <c r="T183" s="49">
        <v>10</v>
      </c>
      <c r="W183" s="96">
        <v>10</v>
      </c>
      <c r="X183" s="96"/>
      <c r="Y183" s="96"/>
      <c r="Z183" s="49">
        <v>9</v>
      </c>
      <c r="AA183" s="96" t="b">
        <v>1</v>
      </c>
      <c r="AB183" s="92"/>
      <c r="AC183" s="96" t="s">
        <v>2005</v>
      </c>
      <c r="AD183" s="96"/>
      <c r="AE183" s="96"/>
      <c r="AF183" s="96"/>
      <c r="AG183" s="96"/>
      <c r="AH183" s="96"/>
      <c r="AI183" s="96"/>
      <c r="AJ183" s="96"/>
      <c r="AK183" s="96"/>
      <c r="AL183" s="96"/>
      <c r="AM183" s="96"/>
      <c r="AN183" s="96"/>
      <c r="AO183" s="96"/>
      <c r="AP183" s="96"/>
      <c r="AQ183" s="96"/>
      <c r="AR183" s="96"/>
      <c r="AS183" s="96"/>
      <c r="AT183" s="96"/>
      <c r="AU183" s="96"/>
      <c r="AV183" s="96"/>
      <c r="AW183" s="96"/>
      <c r="AX183" s="96"/>
      <c r="AY183" s="96"/>
      <c r="AZ183" s="96"/>
      <c r="BA183" s="96"/>
      <c r="BB183" s="96"/>
      <c r="BC183" s="96"/>
      <c r="BD183" s="96"/>
      <c r="BE183" s="96"/>
      <c r="BF183" s="96"/>
      <c r="BG183" s="96"/>
      <c r="BH183" s="96"/>
      <c r="BI183" s="96"/>
      <c r="BJ183" s="96"/>
      <c r="BK183" s="96"/>
      <c r="BL183" s="96"/>
      <c r="BM183" s="96"/>
      <c r="BN183" s="96"/>
      <c r="BO183" s="96"/>
      <c r="BP183" s="96"/>
      <c r="BQ183" s="96"/>
      <c r="BR183" s="96"/>
      <c r="BS183" s="96"/>
      <c r="BT183" s="96"/>
      <c r="BU183" s="96"/>
      <c r="BV183" s="96"/>
      <c r="BW183" s="96"/>
      <c r="BX183" s="96"/>
      <c r="BY183" s="96"/>
      <c r="BZ183" s="96"/>
      <c r="CA183" s="96"/>
      <c r="CB183" s="96"/>
      <c r="CC183" s="96"/>
      <c r="CD183" s="96"/>
      <c r="CE183" s="96"/>
      <c r="CF183" s="96"/>
      <c r="CG183" s="96"/>
      <c r="CH183" s="96"/>
      <c r="CI183" s="96"/>
      <c r="CJ183" s="96"/>
      <c r="CK183" s="96"/>
      <c r="CL183" s="96"/>
      <c r="CM183" s="96"/>
      <c r="CN183" s="96"/>
      <c r="CO183" s="96"/>
      <c r="CP183" s="96"/>
      <c r="CQ183" s="96"/>
      <c r="CR183" s="96"/>
      <c r="CS183" s="96"/>
      <c r="CT183" s="96"/>
      <c r="CU183" s="96"/>
      <c r="CV183" s="96"/>
      <c r="CW183" s="96"/>
      <c r="CX183" s="96"/>
      <c r="CY183" s="96"/>
      <c r="CZ183" s="96"/>
      <c r="DA183" s="96"/>
      <c r="DB183" s="96"/>
      <c r="DC183" s="96"/>
      <c r="DD183" s="96"/>
      <c r="DE183" s="96"/>
      <c r="DF183" s="96"/>
    </row>
    <row r="184" spans="1:331" s="3" customFormat="1" x14ac:dyDescent="0.25">
      <c r="A184" s="3" t="s">
        <v>1968</v>
      </c>
      <c r="B184" s="3">
        <v>2269616</v>
      </c>
      <c r="C184" s="96" t="s">
        <v>1648</v>
      </c>
      <c r="D184" s="3">
        <v>0</v>
      </c>
      <c r="H184" s="3" t="s">
        <v>1969</v>
      </c>
      <c r="I184" s="3" t="s">
        <v>1967</v>
      </c>
      <c r="J184" s="3" t="s">
        <v>1970</v>
      </c>
      <c r="K184" s="3" t="s">
        <v>1967</v>
      </c>
      <c r="L184" s="3">
        <v>1</v>
      </c>
      <c r="M184" s="3" t="s">
        <v>1735</v>
      </c>
      <c r="O184" s="3">
        <v>0</v>
      </c>
      <c r="Q184" s="96" t="s">
        <v>1828</v>
      </c>
      <c r="R184" s="96"/>
      <c r="T184" s="3">
        <v>10</v>
      </c>
      <c r="V184" s="3">
        <v>11</v>
      </c>
      <c r="W184" s="96">
        <v>10</v>
      </c>
      <c r="X184" s="96"/>
      <c r="Y184" s="96"/>
      <c r="Z184" s="3">
        <v>1</v>
      </c>
      <c r="AA184" s="96" t="b">
        <v>1</v>
      </c>
      <c r="AB184" s="92"/>
      <c r="AC184" s="96" t="s">
        <v>2006</v>
      </c>
      <c r="AD184" s="96"/>
      <c r="AE184" s="96"/>
      <c r="AF184" s="96"/>
      <c r="AG184" s="96"/>
      <c r="AH184" s="96"/>
      <c r="AI184" s="96"/>
      <c r="AJ184" s="96"/>
      <c r="AK184" s="96"/>
      <c r="AL184" s="96"/>
      <c r="AM184" s="96"/>
      <c r="AN184" s="96"/>
      <c r="AO184" s="96"/>
      <c r="AP184" s="96"/>
      <c r="AQ184" s="96"/>
      <c r="AR184" s="96"/>
      <c r="AS184" s="96"/>
      <c r="AT184" s="96"/>
      <c r="AU184" s="96"/>
      <c r="AV184" s="96"/>
      <c r="AW184" s="96"/>
      <c r="AX184" s="96"/>
      <c r="AY184" s="96"/>
      <c r="AZ184" s="96"/>
      <c r="BA184" s="96"/>
      <c r="BB184" s="96"/>
      <c r="BC184" s="96"/>
      <c r="BD184" s="96"/>
      <c r="BE184" s="96"/>
      <c r="BF184" s="96"/>
      <c r="BG184" s="96"/>
      <c r="BH184" s="96"/>
      <c r="BI184" s="96"/>
      <c r="BJ184" s="96"/>
      <c r="BK184" s="96"/>
      <c r="BL184" s="96"/>
      <c r="BM184" s="96"/>
      <c r="BN184" s="96"/>
      <c r="BO184" s="96"/>
      <c r="BP184" s="96"/>
      <c r="BQ184" s="96"/>
      <c r="BR184" s="96"/>
      <c r="BS184" s="96"/>
      <c r="BT184" s="96"/>
      <c r="BU184" s="96"/>
      <c r="BV184" s="96"/>
      <c r="BW184" s="96"/>
      <c r="BX184" s="96"/>
      <c r="BY184" s="96"/>
      <c r="BZ184" s="96"/>
      <c r="CA184" s="96"/>
      <c r="CB184" s="96"/>
      <c r="CC184" s="96"/>
      <c r="CD184" s="96"/>
      <c r="CE184" s="96"/>
      <c r="CF184" s="96"/>
      <c r="CG184" s="96"/>
      <c r="CH184" s="96"/>
      <c r="CI184" s="96"/>
      <c r="CJ184" s="96"/>
      <c r="CK184" s="96"/>
      <c r="CL184" s="96"/>
      <c r="CM184" s="96"/>
      <c r="CN184" s="96"/>
      <c r="CO184" s="96"/>
      <c r="CP184" s="96"/>
      <c r="CQ184" s="96"/>
      <c r="CR184" s="96"/>
      <c r="CS184" s="96"/>
      <c r="CT184" s="96"/>
      <c r="CU184" s="96"/>
      <c r="CV184" s="96"/>
      <c r="CW184" s="96"/>
      <c r="CX184" s="96"/>
      <c r="CY184" s="96"/>
      <c r="CZ184" s="96"/>
      <c r="DA184" s="96"/>
      <c r="DB184" s="96"/>
      <c r="DC184" s="96"/>
      <c r="DD184" s="96"/>
      <c r="DE184" s="96"/>
      <c r="DF184" s="96"/>
    </row>
    <row r="185" spans="1:331" s="25" customFormat="1" x14ac:dyDescent="0.25">
      <c r="A185" s="25" t="s">
        <v>1971</v>
      </c>
      <c r="B185" s="25">
        <v>2122392</v>
      </c>
      <c r="C185" s="96" t="s">
        <v>1648</v>
      </c>
      <c r="D185" s="25">
        <v>0</v>
      </c>
      <c r="H185" s="25" t="s">
        <v>1782</v>
      </c>
      <c r="I185" s="25" t="s">
        <v>1969</v>
      </c>
      <c r="J185" s="25" t="s">
        <v>2007</v>
      </c>
      <c r="K185" s="25" t="s">
        <v>1969</v>
      </c>
      <c r="L185" s="25">
        <v>0</v>
      </c>
      <c r="O185" s="25">
        <v>0</v>
      </c>
      <c r="Q185" s="96" t="s">
        <v>1822</v>
      </c>
      <c r="R185" s="96"/>
      <c r="T185" s="25">
        <v>10</v>
      </c>
      <c r="W185" s="96">
        <v>10</v>
      </c>
      <c r="X185" s="96"/>
      <c r="Y185" s="96"/>
      <c r="Z185" s="25">
        <v>5</v>
      </c>
      <c r="AA185" s="96" t="b">
        <v>1</v>
      </c>
      <c r="AB185" s="92" t="s">
        <v>1894</v>
      </c>
      <c r="AC185" s="96" t="s">
        <v>2008</v>
      </c>
      <c r="AD185" s="96"/>
      <c r="AE185" s="96"/>
      <c r="AF185" s="96"/>
      <c r="AG185" s="96"/>
      <c r="AH185" s="96"/>
      <c r="AI185" s="96"/>
      <c r="AJ185" s="96"/>
      <c r="AK185" s="96"/>
      <c r="AL185" s="96"/>
      <c r="AM185" s="96"/>
      <c r="AN185" s="96"/>
      <c r="AO185" s="96"/>
      <c r="AP185" s="96"/>
      <c r="AQ185" s="96"/>
      <c r="AR185" s="96"/>
      <c r="AS185" s="96"/>
      <c r="AT185" s="96"/>
      <c r="AU185" s="96"/>
      <c r="AV185" s="96"/>
      <c r="AW185" s="96"/>
      <c r="AX185" s="96"/>
      <c r="AY185" s="96"/>
      <c r="AZ185" s="96"/>
      <c r="BA185" s="96"/>
      <c r="BB185" s="96"/>
      <c r="BC185" s="96"/>
      <c r="BD185" s="96"/>
      <c r="BE185" s="96"/>
      <c r="BF185" s="96"/>
      <c r="BG185" s="96"/>
      <c r="BH185" s="96"/>
      <c r="BI185" s="96"/>
      <c r="BJ185" s="96"/>
      <c r="BK185" s="96"/>
      <c r="BL185" s="96"/>
      <c r="BM185" s="96"/>
      <c r="BN185" s="96"/>
      <c r="BO185" s="96"/>
      <c r="BP185" s="96"/>
      <c r="BQ185" s="96"/>
      <c r="BR185" s="96"/>
      <c r="BS185" s="96"/>
      <c r="BT185" s="96"/>
      <c r="BU185" s="96"/>
      <c r="BV185" s="96"/>
      <c r="BW185" s="96"/>
      <c r="BX185" s="96"/>
      <c r="BY185" s="96"/>
      <c r="BZ185" s="96"/>
      <c r="CA185" s="96"/>
      <c r="CB185" s="96"/>
      <c r="CC185" s="96"/>
      <c r="CD185" s="96"/>
      <c r="CE185" s="96"/>
      <c r="CF185" s="96"/>
      <c r="CG185" s="96"/>
      <c r="CH185" s="96"/>
      <c r="CI185" s="96"/>
      <c r="CJ185" s="96"/>
      <c r="CK185" s="96"/>
      <c r="CL185" s="96"/>
      <c r="CM185" s="96"/>
      <c r="CN185" s="96"/>
      <c r="CO185" s="96"/>
      <c r="CP185" s="96"/>
      <c r="CQ185" s="96"/>
      <c r="CR185" s="96"/>
      <c r="CS185" s="96"/>
      <c r="CT185" s="96"/>
      <c r="CU185" s="96"/>
      <c r="CV185" s="96"/>
      <c r="CW185" s="96"/>
      <c r="CX185" s="96"/>
      <c r="CY185" s="96"/>
      <c r="CZ185" s="96"/>
      <c r="DA185" s="96"/>
      <c r="DB185" s="96"/>
      <c r="DC185" s="96"/>
      <c r="DD185" s="96"/>
      <c r="DE185" s="96"/>
      <c r="DF185" s="96"/>
    </row>
    <row r="186" spans="1:331" s="25" customFormat="1" x14ac:dyDescent="0.25">
      <c r="A186" s="25" t="s">
        <v>1972</v>
      </c>
      <c r="B186" s="25">
        <v>2358928</v>
      </c>
      <c r="C186" s="96" t="s">
        <v>1648</v>
      </c>
      <c r="D186" s="25">
        <v>0</v>
      </c>
      <c r="H186" s="25" t="s">
        <v>1468</v>
      </c>
      <c r="I186" s="25" t="s">
        <v>1468</v>
      </c>
      <c r="J186" s="25" t="s">
        <v>1761</v>
      </c>
      <c r="K186" s="25" t="s">
        <v>1468</v>
      </c>
      <c r="L186" s="25">
        <v>0</v>
      </c>
      <c r="O186" s="25">
        <v>0</v>
      </c>
      <c r="Q186" s="96" t="s">
        <v>1973</v>
      </c>
      <c r="R186" s="96"/>
      <c r="S186" s="25">
        <v>7</v>
      </c>
      <c r="W186" s="96">
        <v>7</v>
      </c>
      <c r="X186" s="96"/>
      <c r="Y186" s="96"/>
      <c r="Z186" s="25">
        <v>5</v>
      </c>
      <c r="AA186" s="96" t="b">
        <v>1</v>
      </c>
      <c r="AB186" s="92"/>
      <c r="AC186" s="96" t="s">
        <v>2009</v>
      </c>
      <c r="AD186" s="96"/>
      <c r="AE186" s="96"/>
      <c r="AF186" s="96"/>
      <c r="AG186" s="96"/>
      <c r="AH186" s="96"/>
      <c r="AI186" s="96"/>
      <c r="AJ186" s="96"/>
      <c r="AK186" s="96"/>
      <c r="AL186" s="96"/>
      <c r="AM186" s="96"/>
      <c r="AN186" s="96"/>
      <c r="AO186" s="96"/>
      <c r="AP186" s="96"/>
      <c r="AQ186" s="96"/>
      <c r="AR186" s="96"/>
      <c r="AS186" s="96"/>
      <c r="AT186" s="96"/>
      <c r="AU186" s="96"/>
      <c r="AV186" s="96"/>
      <c r="AW186" s="96"/>
      <c r="AX186" s="96"/>
      <c r="AY186" s="96"/>
      <c r="AZ186" s="96"/>
      <c r="BA186" s="96"/>
      <c r="BB186" s="96"/>
      <c r="BC186" s="96"/>
      <c r="BD186" s="96"/>
      <c r="BE186" s="96"/>
      <c r="BF186" s="96"/>
      <c r="BG186" s="96"/>
      <c r="BH186" s="96"/>
      <c r="BI186" s="96"/>
      <c r="BJ186" s="96"/>
      <c r="BK186" s="96"/>
      <c r="BL186" s="96"/>
      <c r="BM186" s="96"/>
      <c r="BN186" s="96"/>
      <c r="BO186" s="96"/>
      <c r="BP186" s="96"/>
      <c r="BQ186" s="96"/>
      <c r="BR186" s="96"/>
      <c r="BS186" s="96"/>
      <c r="BT186" s="96"/>
      <c r="BU186" s="96"/>
      <c r="BV186" s="96"/>
      <c r="BW186" s="96"/>
      <c r="BX186" s="96"/>
      <c r="BY186" s="96"/>
      <c r="BZ186" s="96"/>
      <c r="CA186" s="96"/>
      <c r="CB186" s="96"/>
      <c r="CC186" s="96"/>
      <c r="CD186" s="96"/>
      <c r="CE186" s="96"/>
      <c r="CF186" s="96"/>
      <c r="CG186" s="96"/>
      <c r="CH186" s="96"/>
      <c r="CI186" s="96"/>
      <c r="CJ186" s="96"/>
      <c r="CK186" s="96"/>
      <c r="CL186" s="96"/>
      <c r="CM186" s="96"/>
      <c r="CN186" s="96"/>
      <c r="CO186" s="96"/>
      <c r="CP186" s="96"/>
      <c r="CQ186" s="96"/>
      <c r="CR186" s="96"/>
      <c r="CS186" s="96"/>
      <c r="CT186" s="96"/>
      <c r="CU186" s="96"/>
      <c r="CV186" s="96"/>
      <c r="CW186" s="96"/>
      <c r="CX186" s="96"/>
      <c r="CY186" s="96"/>
      <c r="CZ186" s="96"/>
      <c r="DA186" s="96"/>
      <c r="DB186" s="96"/>
      <c r="DC186" s="96"/>
      <c r="DD186" s="96"/>
      <c r="DE186" s="96"/>
      <c r="DF186" s="96"/>
    </row>
    <row r="187" spans="1:331" s="40" customFormat="1" x14ac:dyDescent="0.25">
      <c r="A187" s="40" t="s">
        <v>1974</v>
      </c>
      <c r="B187" s="40">
        <v>2617461</v>
      </c>
      <c r="C187" s="96" t="s">
        <v>1648</v>
      </c>
      <c r="D187" s="40">
        <v>0</v>
      </c>
      <c r="H187" s="40" t="s">
        <v>1674</v>
      </c>
      <c r="I187" s="40" t="s">
        <v>1975</v>
      </c>
      <c r="J187" s="40" t="s">
        <v>1674</v>
      </c>
      <c r="K187" s="40" t="s">
        <v>1975</v>
      </c>
      <c r="L187" s="40">
        <v>0</v>
      </c>
      <c r="O187" s="40">
        <v>1</v>
      </c>
      <c r="P187" s="40" t="s">
        <v>1823</v>
      </c>
      <c r="Q187" s="96" t="s">
        <v>1976</v>
      </c>
      <c r="R187" s="96"/>
      <c r="T187" s="40">
        <v>15</v>
      </c>
      <c r="W187" s="96">
        <v>15</v>
      </c>
      <c r="X187" s="96"/>
      <c r="Y187" s="96"/>
      <c r="Z187" s="40">
        <v>8</v>
      </c>
      <c r="AA187" s="96" t="b">
        <v>1</v>
      </c>
      <c r="AB187" s="96"/>
      <c r="AC187" s="96" t="s">
        <v>2010</v>
      </c>
      <c r="AD187" s="96"/>
      <c r="AE187" s="96"/>
      <c r="AF187" s="96"/>
      <c r="AG187" s="96"/>
      <c r="AH187" s="96"/>
      <c r="AI187" s="96"/>
      <c r="AJ187" s="96"/>
      <c r="AK187" s="96"/>
      <c r="AL187" s="96"/>
      <c r="AM187" s="96"/>
      <c r="AN187" s="96"/>
      <c r="AO187" s="96"/>
      <c r="AP187" s="96"/>
      <c r="AQ187" s="96"/>
      <c r="AR187" s="96"/>
      <c r="AS187" s="96"/>
      <c r="AT187" s="96"/>
      <c r="AU187" s="96"/>
      <c r="AV187" s="96"/>
      <c r="AW187" s="96"/>
      <c r="AX187" s="96"/>
      <c r="AY187" s="96"/>
      <c r="AZ187" s="96"/>
      <c r="BA187" s="96"/>
      <c r="BB187" s="96"/>
      <c r="BC187" s="96"/>
      <c r="BD187" s="96"/>
      <c r="BE187" s="96"/>
      <c r="BF187" s="96"/>
      <c r="BG187" s="96"/>
      <c r="BH187" s="96"/>
      <c r="BI187" s="96"/>
      <c r="BJ187" s="96"/>
      <c r="BK187" s="96"/>
      <c r="BL187" s="96"/>
      <c r="BM187" s="96"/>
      <c r="BN187" s="96"/>
      <c r="BO187" s="96"/>
      <c r="BP187" s="96"/>
      <c r="BQ187" s="96"/>
      <c r="BR187" s="96"/>
      <c r="BS187" s="96"/>
      <c r="BT187" s="96"/>
      <c r="BU187" s="96"/>
      <c r="BV187" s="96"/>
      <c r="BW187" s="96"/>
      <c r="BX187" s="96"/>
      <c r="BY187" s="96"/>
      <c r="BZ187" s="96"/>
      <c r="CA187" s="96"/>
      <c r="CB187" s="96"/>
      <c r="CC187" s="96"/>
      <c r="CD187" s="96"/>
      <c r="CE187" s="96"/>
      <c r="CF187" s="96"/>
      <c r="CG187" s="96"/>
      <c r="CH187" s="96"/>
      <c r="CI187" s="96"/>
      <c r="CJ187" s="96"/>
      <c r="CK187" s="96"/>
      <c r="CL187" s="96"/>
      <c r="CM187" s="96"/>
      <c r="CN187" s="96"/>
      <c r="CO187" s="96"/>
      <c r="CP187" s="96"/>
      <c r="CQ187" s="96"/>
      <c r="CR187" s="96"/>
      <c r="CS187" s="96"/>
      <c r="CT187" s="96"/>
      <c r="CU187" s="96"/>
      <c r="CV187" s="96"/>
    </row>
    <row r="188" spans="1:331" x14ac:dyDescent="0.25">
      <c r="A188" s="35" t="s">
        <v>1977</v>
      </c>
      <c r="B188" s="35">
        <v>2596955</v>
      </c>
      <c r="C188" s="96" t="s">
        <v>1648</v>
      </c>
      <c r="D188" s="35">
        <v>0</v>
      </c>
      <c r="E188" s="35"/>
      <c r="F188" s="35"/>
      <c r="G188" s="35"/>
      <c r="H188" s="35" t="s">
        <v>1958</v>
      </c>
      <c r="I188" s="35" t="s">
        <v>1812</v>
      </c>
      <c r="J188" s="35" t="s">
        <v>1819</v>
      </c>
      <c r="K188" s="35" t="s">
        <v>1812</v>
      </c>
      <c r="L188" s="35">
        <v>0</v>
      </c>
      <c r="M188" s="35"/>
      <c r="N188" s="35"/>
      <c r="O188" s="35">
        <v>1</v>
      </c>
      <c r="P188" s="35"/>
      <c r="R188" s="96" t="s">
        <v>1931</v>
      </c>
      <c r="S188" s="35"/>
      <c r="T188" s="35"/>
      <c r="U188" s="35">
        <v>6</v>
      </c>
      <c r="V188" s="35"/>
      <c r="W188" s="96">
        <v>6</v>
      </c>
      <c r="Z188" s="35">
        <v>9</v>
      </c>
      <c r="AA188" s="94" t="b">
        <v>1</v>
      </c>
      <c r="AB188" s="17" t="s">
        <v>1991</v>
      </c>
      <c r="AC188" s="96" t="s">
        <v>2011</v>
      </c>
      <c r="AD188" s="96"/>
      <c r="AE188" s="99"/>
      <c r="AF188" s="96"/>
      <c r="AG188" s="96"/>
      <c r="AH188" s="96"/>
      <c r="AI188" s="96"/>
      <c r="AJ188" s="96"/>
      <c r="AK188" s="96"/>
      <c r="AL188" s="96"/>
      <c r="AM188" s="96"/>
      <c r="AN188" s="96"/>
      <c r="AO188" s="96"/>
      <c r="AP188" s="96"/>
      <c r="AQ188" s="96"/>
      <c r="AR188" s="96"/>
      <c r="AS188" s="96"/>
      <c r="AT188" s="96"/>
      <c r="AU188" s="96"/>
      <c r="AV188" s="96"/>
      <c r="AW188" s="96"/>
      <c r="AX188" s="96"/>
      <c r="AY188" s="96"/>
      <c r="AZ188" s="96"/>
      <c r="BA188" s="96"/>
      <c r="BB188" s="96"/>
      <c r="BC188" s="96"/>
      <c r="BD188" s="96"/>
      <c r="BE188" s="96"/>
      <c r="BF188" s="96"/>
      <c r="BG188" s="96"/>
      <c r="BH188" s="96"/>
      <c r="BI188" s="96"/>
      <c r="BJ188" s="96"/>
      <c r="BK188" s="96"/>
      <c r="BL188" s="96"/>
      <c r="BM188" s="96"/>
      <c r="BN188" s="96"/>
      <c r="BO188" s="96"/>
      <c r="BP188" s="96"/>
      <c r="BQ188" s="96"/>
      <c r="BR188" s="96"/>
      <c r="BS188" s="96"/>
      <c r="BT188" s="96"/>
      <c r="BU188" s="96"/>
      <c r="BV188" s="96"/>
      <c r="BW188" s="96"/>
      <c r="BX188" s="96"/>
      <c r="BY188" s="96"/>
      <c r="BZ188" s="96"/>
      <c r="CA188" s="96"/>
      <c r="CB188" s="96"/>
      <c r="CC188" s="96"/>
      <c r="CD188" s="96"/>
      <c r="CE188" s="96"/>
      <c r="CF188" s="96"/>
      <c r="CG188" s="96"/>
      <c r="CH188" s="96"/>
      <c r="CI188" s="96"/>
      <c r="CJ188" s="96"/>
      <c r="CK188" s="96"/>
      <c r="CL188" s="96"/>
      <c r="CM188" s="96"/>
      <c r="CN188" s="96"/>
      <c r="CO188" s="96"/>
      <c r="CP188" s="96"/>
      <c r="CQ188" s="96"/>
      <c r="CR188" s="96"/>
      <c r="CS188" s="96"/>
      <c r="CT188" s="96"/>
      <c r="CU188" s="96"/>
      <c r="CV188" s="96"/>
    </row>
    <row r="189" spans="1:331" x14ac:dyDescent="0.25">
      <c r="A189" s="25" t="s">
        <v>1978</v>
      </c>
      <c r="B189" s="25">
        <v>2119459</v>
      </c>
      <c r="C189" s="96" t="s">
        <v>1648</v>
      </c>
      <c r="D189" s="25">
        <v>0</v>
      </c>
      <c r="E189" s="25"/>
      <c r="F189" s="25"/>
      <c r="G189" s="25"/>
      <c r="H189" s="25" t="s">
        <v>1979</v>
      </c>
      <c r="I189" s="25" t="s">
        <v>1736</v>
      </c>
      <c r="J189" s="25" t="s">
        <v>1856</v>
      </c>
      <c r="K189" s="25" t="s">
        <v>1736</v>
      </c>
      <c r="L189" s="25">
        <v>0</v>
      </c>
      <c r="M189" s="25"/>
      <c r="N189" s="25"/>
      <c r="O189" s="25">
        <v>1</v>
      </c>
      <c r="P189" s="25"/>
      <c r="Q189" s="96" t="s">
        <v>1980</v>
      </c>
      <c r="S189" s="25"/>
      <c r="T189" s="25">
        <v>6</v>
      </c>
      <c r="U189" s="25"/>
      <c r="V189" s="25"/>
      <c r="W189" s="96">
        <v>6</v>
      </c>
      <c r="Z189" s="25">
        <v>5</v>
      </c>
      <c r="AA189" s="94" t="b">
        <v>1</v>
      </c>
      <c r="AC189" s="96" t="s">
        <v>2012</v>
      </c>
      <c r="AD189" s="96"/>
      <c r="AE189" s="99"/>
      <c r="AF189" s="96"/>
      <c r="AG189" s="96"/>
      <c r="AH189" s="96"/>
      <c r="AI189" s="96"/>
      <c r="AJ189" s="96"/>
      <c r="AK189" s="96"/>
      <c r="AL189" s="96"/>
      <c r="AM189" s="96"/>
      <c r="AN189" s="96"/>
      <c r="AO189" s="96"/>
      <c r="AP189" s="96"/>
      <c r="AQ189" s="96"/>
      <c r="AR189" s="96"/>
      <c r="AS189" s="96"/>
      <c r="AT189" s="96"/>
      <c r="AU189" s="96"/>
      <c r="AV189" s="96"/>
      <c r="AW189" s="96"/>
      <c r="AX189" s="96"/>
      <c r="AY189" s="96"/>
      <c r="AZ189" s="96"/>
      <c r="BA189" s="96"/>
      <c r="BB189" s="96"/>
      <c r="BC189" s="96"/>
      <c r="BD189" s="96"/>
      <c r="BE189" s="96"/>
      <c r="BF189" s="96"/>
      <c r="BG189" s="96"/>
      <c r="BH189" s="96"/>
      <c r="BI189" s="96"/>
      <c r="BJ189" s="96"/>
      <c r="BK189" s="96"/>
      <c r="BL189" s="96"/>
      <c r="BM189" s="96"/>
      <c r="BN189" s="96"/>
      <c r="BO189" s="96"/>
      <c r="BP189" s="96"/>
      <c r="BQ189" s="96"/>
      <c r="BR189" s="96"/>
      <c r="BS189" s="96"/>
      <c r="BT189" s="96"/>
      <c r="BU189" s="96"/>
      <c r="BV189" s="96"/>
      <c r="BW189" s="96"/>
      <c r="BX189" s="96"/>
      <c r="BY189" s="96"/>
      <c r="BZ189" s="96"/>
      <c r="CA189" s="96"/>
      <c r="CB189" s="96"/>
      <c r="CC189" s="96"/>
      <c r="CD189" s="96"/>
      <c r="CE189" s="96"/>
      <c r="CF189" s="96"/>
      <c r="CG189" s="96"/>
      <c r="CH189" s="96"/>
      <c r="CI189" s="96"/>
      <c r="CJ189" s="96"/>
      <c r="CK189" s="96"/>
      <c r="CL189" s="96"/>
      <c r="CM189" s="96"/>
      <c r="CN189" s="96"/>
      <c r="CO189" s="96"/>
      <c r="CP189" s="96"/>
      <c r="CQ189" s="96"/>
      <c r="CR189" s="96"/>
      <c r="CS189" s="96"/>
      <c r="CT189" s="96"/>
      <c r="CU189" s="96"/>
      <c r="CV189" s="96"/>
    </row>
    <row r="190" spans="1:331" s="3" customFormat="1" x14ac:dyDescent="0.25">
      <c r="A190" s="3" t="s">
        <v>1981</v>
      </c>
      <c r="B190" s="3">
        <v>2183532</v>
      </c>
      <c r="C190" s="96" t="s">
        <v>1648</v>
      </c>
      <c r="D190" s="3">
        <v>0</v>
      </c>
      <c r="H190" s="3" t="s">
        <v>1979</v>
      </c>
      <c r="I190" s="3" t="s">
        <v>1982</v>
      </c>
      <c r="J190" s="3" t="s">
        <v>1979</v>
      </c>
      <c r="K190" s="3" t="s">
        <v>1982</v>
      </c>
      <c r="L190" s="3">
        <v>1</v>
      </c>
      <c r="M190" s="3" t="s">
        <v>1983</v>
      </c>
      <c r="O190" s="3">
        <v>0</v>
      </c>
      <c r="Q190" s="96" t="s">
        <v>1984</v>
      </c>
      <c r="R190" s="96"/>
      <c r="S190" s="3">
        <v>6</v>
      </c>
      <c r="T190" s="3">
        <v>13</v>
      </c>
      <c r="V190" s="3">
        <v>15</v>
      </c>
      <c r="W190" s="96">
        <v>13</v>
      </c>
      <c r="X190" s="96"/>
      <c r="Y190" s="96"/>
      <c r="Z190" s="3">
        <v>1</v>
      </c>
      <c r="AA190" s="96" t="b">
        <v>1</v>
      </c>
      <c r="AB190" s="96"/>
      <c r="AC190" s="96" t="s">
        <v>2013</v>
      </c>
      <c r="AD190" s="96"/>
      <c r="AE190" s="96"/>
      <c r="AF190" s="96"/>
      <c r="AG190" s="96"/>
      <c r="AH190" s="96"/>
      <c r="AI190" s="96"/>
      <c r="AJ190" s="96"/>
      <c r="AK190" s="96"/>
      <c r="AL190" s="96"/>
      <c r="AM190" s="96"/>
      <c r="AN190" s="96"/>
      <c r="AO190" s="96"/>
      <c r="AP190" s="96"/>
      <c r="AQ190" s="96"/>
      <c r="AR190" s="96"/>
      <c r="AS190" s="96"/>
      <c r="AT190" s="96"/>
      <c r="AU190" s="96"/>
      <c r="AV190" s="96"/>
      <c r="AW190" s="96"/>
      <c r="AX190" s="96"/>
      <c r="AY190" s="96"/>
      <c r="AZ190" s="96"/>
      <c r="BA190" s="96"/>
      <c r="BB190" s="96"/>
      <c r="BC190" s="96"/>
      <c r="BD190" s="96"/>
      <c r="BE190" s="96"/>
      <c r="BF190" s="96"/>
      <c r="BG190" s="96"/>
      <c r="BH190" s="96"/>
      <c r="BI190" s="96"/>
      <c r="BJ190" s="96"/>
      <c r="BK190" s="96"/>
      <c r="BL190" s="96"/>
      <c r="BM190" s="96"/>
      <c r="BN190" s="96"/>
      <c r="BO190" s="96"/>
      <c r="BP190" s="96"/>
      <c r="BQ190" s="96"/>
      <c r="BR190" s="96"/>
      <c r="BS190" s="96"/>
      <c r="BT190" s="96"/>
      <c r="BU190" s="96"/>
      <c r="BV190" s="96"/>
      <c r="BW190" s="96"/>
      <c r="BX190" s="96"/>
      <c r="BY190" s="96"/>
      <c r="BZ190" s="96"/>
      <c r="CA190" s="96"/>
      <c r="CB190" s="96"/>
      <c r="CC190" s="96"/>
      <c r="CD190" s="96"/>
      <c r="CE190" s="96"/>
      <c r="CF190" s="96"/>
      <c r="CG190" s="96"/>
      <c r="CH190" s="96"/>
      <c r="CI190" s="96"/>
      <c r="CJ190" s="96"/>
      <c r="CK190" s="96"/>
      <c r="CL190" s="96"/>
      <c r="CM190" s="96"/>
      <c r="CN190" s="96"/>
      <c r="CO190" s="96"/>
      <c r="CP190" s="96"/>
      <c r="CQ190" s="96"/>
      <c r="CR190" s="96"/>
      <c r="CS190" s="96"/>
      <c r="CT190" s="96"/>
      <c r="CU190" s="96"/>
      <c r="CV190" s="96"/>
    </row>
    <row r="191" spans="1:331" x14ac:dyDescent="0.25">
      <c r="A191" s="25" t="s">
        <v>1985</v>
      </c>
      <c r="B191" s="25">
        <v>2322665</v>
      </c>
      <c r="C191" s="96" t="s">
        <v>1648</v>
      </c>
      <c r="D191" s="25">
        <v>0</v>
      </c>
      <c r="E191" s="25"/>
      <c r="F191" s="25"/>
      <c r="G191" s="25"/>
      <c r="H191" s="25" t="s">
        <v>1813</v>
      </c>
      <c r="I191" s="25" t="s">
        <v>1828</v>
      </c>
      <c r="J191" s="25" t="s">
        <v>1813</v>
      </c>
      <c r="K191" s="25" t="s">
        <v>1828</v>
      </c>
      <c r="L191" s="25">
        <v>0</v>
      </c>
      <c r="M191" s="25"/>
      <c r="N191" s="25"/>
      <c r="O191" s="25">
        <v>0</v>
      </c>
      <c r="P191" s="25"/>
      <c r="Q191" s="96" t="s">
        <v>1984</v>
      </c>
      <c r="S191" s="25"/>
      <c r="T191" s="25">
        <v>2</v>
      </c>
      <c r="U191" s="25"/>
      <c r="V191" s="25"/>
      <c r="W191" s="96">
        <v>2</v>
      </c>
      <c r="Z191" s="25">
        <v>5</v>
      </c>
      <c r="AA191" s="94" t="b">
        <v>1</v>
      </c>
      <c r="AB191" s="96"/>
      <c r="AC191" s="96" t="s">
        <v>2014</v>
      </c>
      <c r="AD191" s="96"/>
      <c r="AE191" s="99"/>
      <c r="AF191" s="96"/>
      <c r="AG191" s="96"/>
      <c r="AH191" s="96"/>
      <c r="AI191" s="96"/>
      <c r="AJ191" s="96"/>
      <c r="AK191" s="96"/>
      <c r="AL191" s="96"/>
      <c r="AM191" s="96"/>
      <c r="AN191" s="96"/>
      <c r="AO191" s="96"/>
      <c r="AP191" s="96"/>
      <c r="AQ191" s="96"/>
      <c r="AR191" s="96"/>
      <c r="AS191" s="96"/>
      <c r="AT191" s="96"/>
      <c r="AU191" s="96"/>
      <c r="AV191" s="96"/>
      <c r="AW191" s="96"/>
      <c r="AX191" s="96"/>
      <c r="AY191" s="96"/>
      <c r="AZ191" s="96"/>
      <c r="BA191" s="96"/>
      <c r="BB191" s="96"/>
      <c r="BC191" s="96"/>
      <c r="BD191" s="96"/>
      <c r="BE191" s="96"/>
      <c r="BF191" s="96"/>
      <c r="BG191" s="96"/>
      <c r="BH191" s="96"/>
      <c r="BI191" s="96"/>
      <c r="BJ191" s="96"/>
      <c r="BK191" s="96"/>
      <c r="BL191" s="96"/>
      <c r="BM191" s="96"/>
      <c r="BN191" s="96"/>
      <c r="BO191" s="96"/>
      <c r="BP191" s="96"/>
      <c r="BQ191" s="96"/>
      <c r="BR191" s="96"/>
      <c r="BS191" s="96"/>
      <c r="BT191" s="96"/>
      <c r="BU191" s="96"/>
      <c r="BV191" s="96"/>
      <c r="BW191" s="96"/>
      <c r="BX191" s="96"/>
      <c r="BY191" s="96"/>
      <c r="BZ191" s="96"/>
      <c r="CA191" s="96"/>
      <c r="CB191" s="96"/>
      <c r="CC191" s="96"/>
      <c r="CD191" s="96"/>
      <c r="CE191" s="96"/>
      <c r="CF191" s="96"/>
      <c r="CG191" s="96"/>
      <c r="CH191" s="96"/>
      <c r="CI191" s="96"/>
      <c r="CJ191" s="96"/>
      <c r="CK191" s="96"/>
      <c r="CL191" s="96"/>
      <c r="CM191" s="96"/>
      <c r="CN191" s="96"/>
      <c r="CO191" s="96"/>
      <c r="CP191" s="96"/>
      <c r="CQ191" s="96"/>
      <c r="CR191" s="96"/>
      <c r="CS191" s="96"/>
      <c r="CT191" s="96"/>
      <c r="CU191" s="96"/>
      <c r="CV191" s="96"/>
    </row>
    <row r="192" spans="1:331" x14ac:dyDescent="0.25">
      <c r="A192" s="25" t="s">
        <v>1986</v>
      </c>
      <c r="B192" s="25">
        <v>2239374</v>
      </c>
      <c r="C192" s="96" t="s">
        <v>1648</v>
      </c>
      <c r="D192" s="25">
        <v>0</v>
      </c>
      <c r="E192" s="25"/>
      <c r="F192" s="25"/>
      <c r="G192" s="25"/>
      <c r="H192" s="25" t="s">
        <v>1856</v>
      </c>
      <c r="I192" s="25" t="s">
        <v>1932</v>
      </c>
      <c r="J192" s="25" t="s">
        <v>1987</v>
      </c>
      <c r="K192" s="25" t="s">
        <v>1932</v>
      </c>
      <c r="L192" s="25">
        <v>0</v>
      </c>
      <c r="M192" s="25"/>
      <c r="N192" s="25"/>
      <c r="O192" s="25">
        <v>0</v>
      </c>
      <c r="P192" s="25"/>
      <c r="Q192" s="96" t="s">
        <v>1834</v>
      </c>
      <c r="S192" s="25">
        <v>7</v>
      </c>
      <c r="T192" s="25"/>
      <c r="U192" s="25"/>
      <c r="V192" s="25"/>
      <c r="W192" s="96">
        <v>7</v>
      </c>
      <c r="Z192" s="25">
        <v>5</v>
      </c>
      <c r="AA192" s="94" t="b">
        <v>1</v>
      </c>
      <c r="AB192" s="96"/>
      <c r="AC192" s="96" t="s">
        <v>2015</v>
      </c>
      <c r="AD192" s="96"/>
      <c r="AE192" s="99"/>
      <c r="AF192" s="96"/>
      <c r="AG192" s="96"/>
      <c r="AH192" s="96"/>
      <c r="AI192" s="96"/>
      <c r="AJ192" s="96"/>
      <c r="AK192" s="96"/>
      <c r="AL192" s="96"/>
      <c r="AM192" s="96"/>
      <c r="AN192" s="96"/>
      <c r="AO192" s="96"/>
      <c r="AP192" s="96"/>
      <c r="AQ192" s="96"/>
      <c r="AR192" s="96"/>
      <c r="AS192" s="96"/>
      <c r="AT192" s="96"/>
      <c r="AU192" s="96"/>
      <c r="AV192" s="96"/>
      <c r="AW192" s="96"/>
      <c r="AX192" s="96"/>
      <c r="AY192" s="96"/>
      <c r="AZ192" s="96"/>
      <c r="BA192" s="96"/>
      <c r="BB192" s="96"/>
      <c r="BC192" s="96"/>
      <c r="BD192" s="96"/>
      <c r="BE192" s="96"/>
      <c r="BF192" s="96"/>
      <c r="BG192" s="96"/>
      <c r="BH192" s="96"/>
      <c r="BI192" s="96"/>
      <c r="BJ192" s="96"/>
      <c r="BK192" s="96"/>
      <c r="BL192" s="96"/>
      <c r="BM192" s="96"/>
      <c r="BN192" s="96"/>
      <c r="BO192" s="96"/>
      <c r="BP192" s="96"/>
      <c r="BQ192" s="96"/>
      <c r="BR192" s="96"/>
      <c r="BS192" s="96"/>
      <c r="BT192" s="96"/>
      <c r="BU192" s="96"/>
      <c r="BV192" s="96"/>
      <c r="BW192" s="96"/>
      <c r="BX192" s="96"/>
      <c r="BY192" s="96"/>
      <c r="BZ192" s="96"/>
      <c r="CA192" s="96"/>
      <c r="CB192" s="96"/>
      <c r="CC192" s="96"/>
      <c r="CD192" s="96"/>
      <c r="CE192" s="96"/>
      <c r="CF192" s="96"/>
      <c r="CG192" s="96"/>
      <c r="CH192" s="96"/>
      <c r="CI192" s="96"/>
      <c r="CJ192" s="96"/>
      <c r="CK192" s="96"/>
      <c r="CL192" s="96"/>
      <c r="CM192" s="96"/>
      <c r="CN192" s="96"/>
      <c r="CO192" s="96"/>
      <c r="CP192" s="96"/>
      <c r="CQ192" s="96"/>
      <c r="CR192" s="96"/>
      <c r="CS192" s="96"/>
      <c r="CT192" s="96"/>
      <c r="CU192" s="96"/>
      <c r="CV192" s="96"/>
    </row>
    <row r="193" spans="1:331" x14ac:dyDescent="0.25">
      <c r="A193" s="25" t="s">
        <v>1988</v>
      </c>
      <c r="B193" s="25">
        <v>2139928</v>
      </c>
      <c r="C193" s="96" t="s">
        <v>1648</v>
      </c>
      <c r="D193" s="25">
        <v>0</v>
      </c>
      <c r="E193" s="25"/>
      <c r="F193" s="25"/>
      <c r="G193" s="25"/>
      <c r="H193" s="25" t="s">
        <v>1740</v>
      </c>
      <c r="I193" s="25" t="s">
        <v>1989</v>
      </c>
      <c r="J193" s="25" t="s">
        <v>1740</v>
      </c>
      <c r="K193" s="25" t="s">
        <v>1989</v>
      </c>
      <c r="L193" s="25">
        <v>0</v>
      </c>
      <c r="M193" s="25"/>
      <c r="N193" s="25"/>
      <c r="O193" s="25">
        <v>0</v>
      </c>
      <c r="P193" s="25"/>
      <c r="Q193" s="96" t="s">
        <v>1990</v>
      </c>
      <c r="S193" s="25"/>
      <c r="T193" s="25">
        <v>7</v>
      </c>
      <c r="U193" s="25"/>
      <c r="V193" s="25"/>
      <c r="W193" s="96">
        <v>7</v>
      </c>
      <c r="Z193" s="25">
        <v>5</v>
      </c>
      <c r="AA193" s="94" t="b">
        <v>1</v>
      </c>
      <c r="AC193" s="96" t="s">
        <v>2016</v>
      </c>
      <c r="AD193" s="96"/>
      <c r="AE193" s="99"/>
      <c r="AF193" s="96"/>
      <c r="AG193" s="96"/>
      <c r="AH193" s="96"/>
      <c r="AI193" s="96"/>
      <c r="AJ193" s="96"/>
      <c r="AK193" s="96"/>
      <c r="AL193" s="96"/>
      <c r="AM193" s="96"/>
      <c r="AN193" s="96"/>
      <c r="AO193" s="96"/>
      <c r="AP193" s="96"/>
      <c r="AQ193" s="96"/>
      <c r="AR193" s="96"/>
      <c r="AS193" s="96"/>
      <c r="AT193" s="96"/>
      <c r="AU193" s="96"/>
      <c r="AV193" s="96"/>
      <c r="AW193" s="96"/>
      <c r="AX193" s="96"/>
      <c r="AY193" s="96"/>
      <c r="AZ193" s="96"/>
      <c r="BA193" s="96"/>
      <c r="BB193" s="96"/>
      <c r="BC193" s="96"/>
      <c r="BD193" s="96"/>
      <c r="BE193" s="96"/>
      <c r="BF193" s="96"/>
      <c r="BG193" s="96"/>
      <c r="BH193" s="96"/>
      <c r="BI193" s="96"/>
      <c r="BJ193" s="96"/>
      <c r="BK193" s="96"/>
      <c r="BL193" s="96"/>
      <c r="BM193" s="96"/>
      <c r="BN193" s="96"/>
      <c r="BO193" s="96"/>
      <c r="BP193" s="96"/>
      <c r="BQ193" s="96"/>
      <c r="BR193" s="96"/>
      <c r="BS193" s="96"/>
      <c r="BT193" s="96"/>
      <c r="BU193" s="96"/>
      <c r="BV193" s="96"/>
      <c r="BW193" s="96"/>
      <c r="BX193" s="96"/>
      <c r="BY193" s="96"/>
      <c r="BZ193" s="96"/>
      <c r="CA193" s="96"/>
      <c r="CB193" s="96"/>
      <c r="CC193" s="96"/>
      <c r="CD193" s="96"/>
      <c r="CE193" s="96"/>
      <c r="CF193" s="96"/>
      <c r="CG193" s="96"/>
      <c r="CH193" s="96"/>
      <c r="CI193" s="96"/>
      <c r="CJ193" s="96"/>
      <c r="CK193" s="96"/>
      <c r="CL193" s="96"/>
      <c r="CM193" s="96"/>
      <c r="CN193" s="96"/>
      <c r="CO193" s="96"/>
      <c r="CP193" s="96"/>
      <c r="CQ193" s="96"/>
      <c r="CR193" s="96"/>
      <c r="CS193" s="96"/>
      <c r="CT193" s="96"/>
      <c r="CU193" s="96"/>
      <c r="CV193" s="96"/>
    </row>
    <row r="194" spans="1:331" x14ac:dyDescent="0.25">
      <c r="A194" s="35" t="s">
        <v>1992</v>
      </c>
      <c r="B194" s="35">
        <v>2507989</v>
      </c>
      <c r="C194" s="96" t="s">
        <v>1648</v>
      </c>
      <c r="D194" s="35">
        <v>0</v>
      </c>
      <c r="E194" s="35"/>
      <c r="F194" s="35"/>
      <c r="G194" s="35"/>
      <c r="H194" s="35" t="s">
        <v>1739</v>
      </c>
      <c r="I194" s="35" t="s">
        <v>1993</v>
      </c>
      <c r="J194" s="35" t="s">
        <v>1739</v>
      </c>
      <c r="K194" s="35" t="s">
        <v>1993</v>
      </c>
      <c r="L194" s="35">
        <v>0</v>
      </c>
      <c r="M194" s="35"/>
      <c r="N194" s="35"/>
      <c r="O194" s="35">
        <v>0</v>
      </c>
      <c r="P194" s="35"/>
      <c r="R194" s="96" t="s">
        <v>1994</v>
      </c>
      <c r="S194" s="35">
        <v>10</v>
      </c>
      <c r="T194" s="35"/>
      <c r="U194" s="35"/>
      <c r="V194" s="35"/>
      <c r="W194" s="96">
        <v>10</v>
      </c>
      <c r="Z194" s="35">
        <v>9</v>
      </c>
      <c r="AA194" s="96" t="b">
        <v>1</v>
      </c>
      <c r="AC194" s="1" t="s">
        <v>1333</v>
      </c>
      <c r="AD194" s="1"/>
      <c r="AE194" s="1"/>
    </row>
    <row r="195" spans="1:331" s="45" customFormat="1" x14ac:dyDescent="0.25">
      <c r="A195" s="45" t="s">
        <v>728</v>
      </c>
      <c r="C195" s="96" t="s">
        <v>1649</v>
      </c>
      <c r="Q195" s="96"/>
      <c r="R195" s="96"/>
      <c r="W195" s="96"/>
      <c r="X195" s="96"/>
      <c r="Y195" s="96"/>
      <c r="Z195" s="45">
        <v>-1</v>
      </c>
      <c r="AA195" s="94" t="b">
        <v>0</v>
      </c>
      <c r="AB195" s="1"/>
      <c r="AC195" s="57" t="s">
        <v>1293</v>
      </c>
      <c r="AD195" s="1"/>
      <c r="AE195" s="57"/>
      <c r="AF195" s="1"/>
      <c r="AG195" s="1"/>
      <c r="AH195" s="1"/>
      <c r="AI195" s="1"/>
      <c r="AJ195" s="1"/>
      <c r="AK195" s="1"/>
      <c r="AL195" s="1"/>
      <c r="AM195" s="1"/>
      <c r="AN195" s="1"/>
      <c r="AO195" s="1"/>
      <c r="AP195" s="1"/>
      <c r="AQ195" s="1"/>
      <c r="AR195" s="1"/>
      <c r="AS195" s="1"/>
      <c r="AT195" s="1"/>
      <c r="AU195" s="1"/>
      <c r="AV195" s="1"/>
      <c r="AW195" s="1"/>
      <c r="AX195" s="1"/>
      <c r="AY195" s="1"/>
      <c r="AZ195" s="1"/>
      <c r="BA195" s="1"/>
      <c r="BB195" s="1"/>
      <c r="BC195" s="1"/>
      <c r="BD195" s="1"/>
      <c r="BE195" s="1"/>
      <c r="BF195" s="1"/>
      <c r="BG195" s="1"/>
      <c r="BH195" s="1"/>
      <c r="BI195" s="1"/>
      <c r="BJ195" s="1"/>
      <c r="BK195" s="1"/>
      <c r="BL195" s="1"/>
      <c r="BM195" s="1"/>
      <c r="BN195" s="1"/>
      <c r="BO195" s="1"/>
      <c r="BP195" s="1"/>
      <c r="BQ195" s="1"/>
      <c r="BR195" s="1"/>
      <c r="BS195" s="1"/>
      <c r="BT195" s="1"/>
      <c r="BU195" s="1"/>
      <c r="BV195" s="1"/>
      <c r="BW195" s="1"/>
      <c r="BX195" s="1"/>
      <c r="BY195" s="1"/>
      <c r="BZ195" s="1"/>
      <c r="CA195" s="1"/>
      <c r="CB195" s="1"/>
      <c r="CC195" s="1"/>
      <c r="CD195" s="1"/>
      <c r="CE195" s="1"/>
      <c r="CF195" s="1"/>
      <c r="CG195" s="1"/>
      <c r="CH195" s="1"/>
      <c r="CI195" s="1"/>
      <c r="CJ195" s="1"/>
      <c r="CK195" s="1"/>
      <c r="CL195" s="1"/>
      <c r="CM195" s="1"/>
      <c r="CN195" s="1"/>
      <c r="CO195" s="1"/>
      <c r="CP195" s="1"/>
      <c r="CQ195" s="1"/>
      <c r="CR195" s="1"/>
      <c r="CS195" s="1"/>
      <c r="CT195" s="1"/>
      <c r="CU195" s="1"/>
      <c r="CV195" s="1"/>
      <c r="CW195" s="1"/>
      <c r="CX195" s="1"/>
      <c r="CY195" s="1"/>
      <c r="CZ195" s="1"/>
      <c r="DA195" s="1"/>
      <c r="DB195" s="1"/>
      <c r="DC195" s="1"/>
      <c r="DD195" s="1"/>
      <c r="DE195" s="1"/>
      <c r="DF195" s="1"/>
      <c r="DG195" s="1"/>
      <c r="DH195" s="1"/>
      <c r="DI195" s="1"/>
      <c r="DJ195" s="1"/>
      <c r="DK195" s="1"/>
      <c r="DL195" s="1"/>
      <c r="DM195" s="1"/>
      <c r="DN195" s="1"/>
      <c r="DO195" s="1"/>
      <c r="DP195" s="1"/>
      <c r="DQ195" s="1"/>
      <c r="DR195" s="1"/>
      <c r="DS195" s="1"/>
      <c r="DT195" s="1"/>
      <c r="DU195" s="1"/>
      <c r="DV195" s="1"/>
      <c r="DW195" s="1"/>
      <c r="DX195" s="1"/>
      <c r="DY195" s="1"/>
      <c r="DZ195" s="1"/>
      <c r="EA195" s="1"/>
      <c r="EB195" s="1"/>
      <c r="EC195" s="1"/>
      <c r="ED195" s="1"/>
      <c r="EE195" s="1"/>
      <c r="EF195" s="1"/>
      <c r="EG195" s="1"/>
      <c r="EH195" s="1"/>
      <c r="EI195" s="1"/>
      <c r="EJ195" s="1"/>
      <c r="EK195" s="1"/>
      <c r="EL195" s="1"/>
      <c r="EM195" s="1"/>
      <c r="EN195" s="1"/>
      <c r="EO195" s="1"/>
      <c r="EP195" s="1"/>
      <c r="EQ195" s="1"/>
      <c r="ER195" s="1"/>
      <c r="ES195" s="1"/>
      <c r="ET195" s="1"/>
      <c r="EU195" s="1"/>
      <c r="EV195" s="1"/>
      <c r="EW195" s="1"/>
      <c r="EX195" s="1"/>
      <c r="EY195" s="1"/>
      <c r="EZ195" s="1"/>
      <c r="FA195" s="1"/>
      <c r="FB195" s="1"/>
      <c r="FC195" s="1"/>
      <c r="FD195" s="1"/>
      <c r="FE195" s="1"/>
      <c r="FF195" s="1"/>
      <c r="FG195" s="1"/>
      <c r="FH195" s="1"/>
      <c r="FI195" s="1"/>
      <c r="FJ195" s="1"/>
      <c r="FK195" s="1"/>
      <c r="FL195" s="1"/>
      <c r="FM195" s="1"/>
      <c r="FN195" s="1"/>
      <c r="FO195" s="1"/>
      <c r="FP195" s="1"/>
      <c r="FQ195" s="1"/>
      <c r="FR195" s="1"/>
      <c r="FS195" s="1"/>
      <c r="FT195" s="1"/>
      <c r="FU195" s="1"/>
      <c r="FV195" s="1"/>
      <c r="FW195" s="1"/>
      <c r="FX195" s="1"/>
      <c r="FY195" s="1"/>
      <c r="FZ195" s="1"/>
      <c r="GA195" s="1"/>
      <c r="GB195" s="1"/>
      <c r="GC195" s="1"/>
      <c r="GD195" s="1"/>
      <c r="GE195" s="1"/>
      <c r="GF195" s="1"/>
      <c r="GG195" s="1"/>
      <c r="GH195" s="1"/>
      <c r="GI195" s="1"/>
      <c r="GJ195" s="1"/>
      <c r="GK195" s="1"/>
      <c r="GL195" s="1"/>
      <c r="GM195" s="1"/>
      <c r="GN195" s="1"/>
      <c r="GO195" s="1"/>
      <c r="GP195" s="1"/>
      <c r="GQ195" s="1"/>
      <c r="GR195" s="1"/>
      <c r="GS195" s="1"/>
      <c r="GT195" s="1"/>
      <c r="GU195" s="1"/>
      <c r="GV195" s="1"/>
      <c r="GW195" s="1"/>
      <c r="GX195" s="1"/>
      <c r="GY195" s="1"/>
      <c r="GZ195" s="1"/>
      <c r="HA195" s="1"/>
      <c r="HB195" s="1"/>
      <c r="HC195" s="1"/>
      <c r="HD195" s="1"/>
      <c r="HE195" s="1"/>
      <c r="HF195" s="1"/>
      <c r="HG195" s="1"/>
      <c r="HH195" s="1"/>
      <c r="HI195" s="1"/>
      <c r="HJ195" s="1"/>
      <c r="HK195" s="1"/>
      <c r="HL195" s="1"/>
      <c r="HM195" s="1"/>
      <c r="HN195" s="1"/>
      <c r="HO195" s="1"/>
      <c r="HP195" s="1"/>
      <c r="HQ195" s="1"/>
      <c r="HR195" s="1"/>
      <c r="HS195" s="1"/>
      <c r="HT195" s="1"/>
      <c r="HU195" s="1"/>
      <c r="HV195" s="1"/>
      <c r="HW195" s="1"/>
      <c r="HX195" s="1"/>
      <c r="HY195" s="1"/>
      <c r="HZ195" s="1"/>
      <c r="IA195" s="1"/>
      <c r="IB195" s="1"/>
      <c r="IC195" s="1"/>
      <c r="ID195" s="1"/>
      <c r="IE195" s="1"/>
      <c r="IF195" s="1"/>
      <c r="IG195" s="1"/>
      <c r="IH195" s="1"/>
      <c r="II195" s="1"/>
      <c r="IJ195" s="1"/>
      <c r="IK195" s="1"/>
      <c r="IL195" s="1"/>
      <c r="IM195" s="1"/>
      <c r="IN195" s="1"/>
      <c r="IO195" s="1"/>
      <c r="IP195" s="1"/>
      <c r="IQ195" s="1"/>
      <c r="IR195" s="1"/>
      <c r="IS195" s="1"/>
      <c r="IT195" s="1"/>
      <c r="IU195" s="1"/>
      <c r="IV195" s="1"/>
      <c r="IW195" s="1"/>
      <c r="IX195" s="1"/>
      <c r="IY195" s="1"/>
      <c r="IZ195" s="1"/>
      <c r="JA195" s="1"/>
      <c r="JB195" s="1"/>
      <c r="JC195" s="1"/>
      <c r="JD195" s="1"/>
      <c r="JE195" s="1"/>
      <c r="JF195" s="1"/>
      <c r="JG195" s="1"/>
      <c r="JH195" s="1"/>
      <c r="JI195" s="1"/>
      <c r="JJ195" s="1"/>
      <c r="JK195" s="1"/>
      <c r="JL195" s="1"/>
      <c r="JM195" s="1"/>
      <c r="JN195" s="1"/>
      <c r="JO195" s="1"/>
      <c r="JP195" s="1"/>
      <c r="JQ195" s="1"/>
      <c r="JR195" s="1"/>
      <c r="JS195" s="1"/>
      <c r="JT195" s="1"/>
      <c r="JU195" s="1"/>
      <c r="JV195" s="1"/>
      <c r="JW195" s="1"/>
      <c r="JX195" s="1"/>
      <c r="JY195" s="1"/>
      <c r="JZ195" s="1"/>
      <c r="KA195" s="1"/>
      <c r="KB195" s="1"/>
      <c r="KC195" s="1"/>
      <c r="KD195" s="1"/>
      <c r="KE195" s="1"/>
      <c r="KF195" s="1"/>
      <c r="KG195" s="1"/>
      <c r="KH195" s="1"/>
      <c r="KI195" s="1"/>
      <c r="KJ195" s="1"/>
      <c r="KK195" s="1"/>
      <c r="KL195" s="1"/>
      <c r="KM195" s="1"/>
      <c r="KN195" s="1"/>
      <c r="KO195" s="1"/>
      <c r="KP195" s="1"/>
      <c r="KQ195" s="1"/>
      <c r="KR195" s="1"/>
      <c r="KS195" s="1"/>
      <c r="KT195" s="1"/>
      <c r="KU195" s="1"/>
      <c r="KV195" s="1"/>
      <c r="KW195" s="1"/>
      <c r="KX195" s="1"/>
      <c r="KY195" s="1"/>
      <c r="KZ195" s="1"/>
      <c r="LA195" s="1"/>
      <c r="LB195" s="1"/>
      <c r="LC195" s="1"/>
      <c r="LD195" s="1"/>
      <c r="LE195" s="1"/>
      <c r="LF195" s="1"/>
      <c r="LG195" s="1"/>
      <c r="LH195" s="1"/>
      <c r="LI195" s="1"/>
      <c r="LJ195" s="1"/>
      <c r="LK195" s="1"/>
      <c r="LL195" s="1"/>
      <c r="LM195" s="1"/>
      <c r="LN195" s="1"/>
      <c r="LO195" s="1"/>
      <c r="LP195" s="1"/>
      <c r="LQ195" s="1"/>
      <c r="LR195" s="1"/>
      <c r="LS195" s="1"/>
    </row>
    <row r="196" spans="1:331" s="45" customFormat="1" x14ac:dyDescent="0.25">
      <c r="A196" s="45" t="s">
        <v>729</v>
      </c>
      <c r="C196" s="96" t="s">
        <v>1649</v>
      </c>
      <c r="D196" s="45">
        <v>2</v>
      </c>
      <c r="E196" s="45" t="s">
        <v>730</v>
      </c>
      <c r="F196" s="45" t="s">
        <v>730</v>
      </c>
      <c r="H196" s="45" t="s">
        <v>730</v>
      </c>
      <c r="I196" s="45" t="s">
        <v>730</v>
      </c>
      <c r="J196" s="45" t="s">
        <v>730</v>
      </c>
      <c r="K196" s="45" t="s">
        <v>264</v>
      </c>
      <c r="L196" s="45">
        <v>0</v>
      </c>
      <c r="O196" s="45">
        <v>1</v>
      </c>
      <c r="P196" s="45" t="s">
        <v>730</v>
      </c>
      <c r="Q196" s="96" t="s">
        <v>1565</v>
      </c>
      <c r="R196" s="96"/>
      <c r="S196" s="45">
        <v>15</v>
      </c>
      <c r="W196" s="96"/>
      <c r="X196" s="96"/>
      <c r="Y196" s="96"/>
      <c r="Z196" s="45">
        <v>-1</v>
      </c>
      <c r="AA196" s="94" t="b">
        <v>0</v>
      </c>
      <c r="AB196" s="1"/>
      <c r="AC196" s="57" t="s">
        <v>1274</v>
      </c>
      <c r="AD196" s="1"/>
      <c r="AE196" t="s">
        <v>1865</v>
      </c>
      <c r="AF196" s="1"/>
      <c r="AG196" s="1"/>
      <c r="AH196" s="1"/>
      <c r="AI196" s="1"/>
      <c r="AJ196" s="1"/>
      <c r="AK196" s="1"/>
      <c r="AL196" s="1"/>
      <c r="AM196" s="1"/>
      <c r="AN196" s="1"/>
      <c r="AO196" s="1"/>
      <c r="AP196" s="1"/>
      <c r="AQ196" s="1"/>
      <c r="AR196" s="1"/>
      <c r="AS196" s="1"/>
      <c r="AT196" s="1"/>
      <c r="AU196" s="1"/>
      <c r="AV196" s="1"/>
      <c r="AW196" s="1"/>
      <c r="AX196" s="1"/>
      <c r="AY196" s="1"/>
      <c r="AZ196" s="1"/>
      <c r="BA196" s="1"/>
      <c r="BB196" s="1"/>
      <c r="BC196" s="1"/>
      <c r="BD196" s="1"/>
      <c r="BE196" s="1"/>
      <c r="BF196" s="1"/>
      <c r="BG196" s="1"/>
      <c r="BH196" s="1"/>
      <c r="BI196" s="1"/>
      <c r="BJ196" s="1"/>
      <c r="BK196" s="1"/>
      <c r="BL196" s="1"/>
      <c r="BM196" s="1"/>
      <c r="BN196" s="1"/>
      <c r="BO196" s="1"/>
      <c r="BP196" s="1"/>
      <c r="BQ196" s="1"/>
      <c r="BR196" s="1"/>
      <c r="BS196" s="1"/>
      <c r="BT196" s="1"/>
      <c r="BU196" s="1"/>
      <c r="BV196" s="1"/>
      <c r="BW196" s="1"/>
      <c r="BX196" s="1"/>
      <c r="BY196" s="1"/>
      <c r="BZ196" s="1"/>
      <c r="CA196" s="1"/>
      <c r="CB196" s="1"/>
      <c r="CC196" s="1"/>
      <c r="CD196" s="1"/>
      <c r="CE196" s="1"/>
      <c r="CF196" s="1"/>
      <c r="CG196" s="1"/>
      <c r="CH196" s="1"/>
      <c r="CI196" s="1"/>
      <c r="CJ196" s="1"/>
      <c r="CK196" s="1"/>
      <c r="CL196" s="1"/>
      <c r="CM196" s="1"/>
      <c r="CN196" s="1"/>
      <c r="CO196" s="1"/>
      <c r="CP196" s="1"/>
      <c r="CQ196" s="1"/>
      <c r="CR196" s="1"/>
      <c r="CS196" s="1"/>
      <c r="CT196" s="1"/>
      <c r="CU196" s="1"/>
      <c r="CV196" s="1"/>
      <c r="CW196" s="1"/>
      <c r="CX196" s="1"/>
      <c r="CY196" s="1"/>
      <c r="CZ196" s="1"/>
      <c r="DA196" s="1"/>
      <c r="DB196" s="1"/>
      <c r="DC196" s="1"/>
      <c r="DD196" s="1"/>
      <c r="DE196" s="1"/>
      <c r="DF196" s="1"/>
      <c r="DG196" s="1"/>
      <c r="DH196" s="1"/>
      <c r="DI196" s="1"/>
      <c r="DJ196" s="1"/>
      <c r="DK196" s="1"/>
      <c r="DL196" s="1"/>
      <c r="DM196" s="1"/>
      <c r="DN196" s="1"/>
      <c r="DO196" s="1"/>
      <c r="DP196" s="1"/>
      <c r="DQ196" s="1"/>
      <c r="DR196" s="1"/>
      <c r="DS196" s="1"/>
      <c r="DT196" s="1"/>
      <c r="DU196" s="1"/>
      <c r="DV196" s="1"/>
      <c r="DW196" s="1"/>
      <c r="DX196" s="1"/>
      <c r="DY196" s="1"/>
      <c r="DZ196" s="1"/>
      <c r="EA196" s="1"/>
      <c r="EB196" s="1"/>
      <c r="EC196" s="1"/>
      <c r="ED196" s="1"/>
      <c r="EE196" s="1"/>
      <c r="EF196" s="1"/>
      <c r="EG196" s="1"/>
      <c r="EH196" s="1"/>
      <c r="EI196" s="1"/>
      <c r="EJ196" s="1"/>
      <c r="EK196" s="1"/>
      <c r="EL196" s="1"/>
      <c r="EM196" s="1"/>
      <c r="EN196" s="1"/>
      <c r="EO196" s="1"/>
      <c r="EP196" s="1"/>
      <c r="EQ196" s="1"/>
      <c r="ER196" s="1"/>
      <c r="ES196" s="1"/>
      <c r="ET196" s="1"/>
      <c r="EU196" s="1"/>
      <c r="EV196" s="1"/>
      <c r="EW196" s="1"/>
      <c r="EX196" s="1"/>
      <c r="EY196" s="1"/>
      <c r="EZ196" s="1"/>
      <c r="FA196" s="1"/>
      <c r="FB196" s="1"/>
      <c r="FC196" s="1"/>
      <c r="FD196" s="1"/>
      <c r="FE196" s="1"/>
      <c r="FF196" s="1"/>
      <c r="FG196" s="1"/>
      <c r="FH196" s="1"/>
      <c r="FI196" s="1"/>
      <c r="FJ196" s="1"/>
      <c r="FK196" s="1"/>
      <c r="FL196" s="1"/>
      <c r="FM196" s="1"/>
      <c r="FN196" s="1"/>
      <c r="FO196" s="1"/>
      <c r="FP196" s="1"/>
      <c r="FQ196" s="1"/>
      <c r="FR196" s="1"/>
      <c r="FS196" s="1"/>
      <c r="FT196" s="1"/>
      <c r="FU196" s="1"/>
      <c r="FV196" s="1"/>
      <c r="FW196" s="1"/>
      <c r="FX196" s="1"/>
      <c r="FY196" s="1"/>
      <c r="FZ196" s="1"/>
      <c r="GA196" s="1"/>
      <c r="GB196" s="1"/>
      <c r="GC196" s="1"/>
      <c r="GD196" s="1"/>
      <c r="GE196" s="1"/>
      <c r="GF196" s="1"/>
      <c r="GG196" s="1"/>
      <c r="GH196" s="1"/>
      <c r="GI196" s="1"/>
      <c r="GJ196" s="1"/>
      <c r="GK196" s="1"/>
      <c r="GL196" s="1"/>
      <c r="GM196" s="1"/>
      <c r="GN196" s="1"/>
      <c r="GO196" s="1"/>
      <c r="GP196" s="1"/>
      <c r="GQ196" s="1"/>
      <c r="GR196" s="1"/>
      <c r="GS196" s="1"/>
      <c r="GT196" s="1"/>
      <c r="GU196" s="1"/>
      <c r="GV196" s="1"/>
      <c r="GW196" s="1"/>
      <c r="GX196" s="1"/>
      <c r="GY196" s="1"/>
      <c r="GZ196" s="1"/>
      <c r="HA196" s="1"/>
      <c r="HB196" s="1"/>
      <c r="HC196" s="1"/>
      <c r="HD196" s="1"/>
      <c r="HE196" s="1"/>
      <c r="HF196" s="1"/>
      <c r="HG196" s="1"/>
      <c r="HH196" s="1"/>
      <c r="HI196" s="1"/>
      <c r="HJ196" s="1"/>
      <c r="HK196" s="1"/>
      <c r="HL196" s="1"/>
      <c r="HM196" s="1"/>
      <c r="HN196" s="1"/>
      <c r="HO196" s="1"/>
      <c r="HP196" s="1"/>
      <c r="HQ196" s="1"/>
      <c r="HR196" s="1"/>
      <c r="HS196" s="1"/>
      <c r="HT196" s="1"/>
      <c r="HU196" s="1"/>
      <c r="HV196" s="1"/>
      <c r="HW196" s="1"/>
      <c r="HX196" s="1"/>
      <c r="HY196" s="1"/>
      <c r="HZ196" s="1"/>
      <c r="IA196" s="1"/>
      <c r="IB196" s="1"/>
      <c r="IC196" s="1"/>
      <c r="ID196" s="1"/>
      <c r="IE196" s="1"/>
      <c r="IF196" s="1"/>
      <c r="IG196" s="1"/>
      <c r="IH196" s="1"/>
      <c r="II196" s="1"/>
      <c r="IJ196" s="1"/>
      <c r="IK196" s="1"/>
      <c r="IL196" s="1"/>
      <c r="IM196" s="1"/>
      <c r="IN196" s="1"/>
      <c r="IO196" s="1"/>
      <c r="IP196" s="1"/>
      <c r="IQ196" s="1"/>
      <c r="IR196" s="1"/>
      <c r="IS196" s="1"/>
      <c r="IT196" s="1"/>
      <c r="IU196" s="1"/>
      <c r="IV196" s="1"/>
      <c r="IW196" s="1"/>
      <c r="IX196" s="1"/>
      <c r="IY196" s="1"/>
      <c r="IZ196" s="1"/>
      <c r="JA196" s="1"/>
      <c r="JB196" s="1"/>
      <c r="JC196" s="1"/>
      <c r="JD196" s="1"/>
      <c r="JE196" s="1"/>
      <c r="JF196" s="1"/>
      <c r="JG196" s="1"/>
      <c r="JH196" s="1"/>
      <c r="JI196" s="1"/>
      <c r="JJ196" s="1"/>
      <c r="JK196" s="1"/>
      <c r="JL196" s="1"/>
      <c r="JM196" s="1"/>
      <c r="JN196" s="1"/>
      <c r="JO196" s="1"/>
      <c r="JP196" s="1"/>
      <c r="JQ196" s="1"/>
      <c r="JR196" s="1"/>
      <c r="JS196" s="1"/>
      <c r="JT196" s="1"/>
      <c r="JU196" s="1"/>
      <c r="JV196" s="1"/>
      <c r="JW196" s="1"/>
      <c r="JX196" s="1"/>
      <c r="JY196" s="1"/>
      <c r="JZ196" s="1"/>
      <c r="KA196" s="1"/>
      <c r="KB196" s="1"/>
      <c r="KC196" s="1"/>
      <c r="KD196" s="1"/>
      <c r="KE196" s="1"/>
      <c r="KF196" s="1"/>
      <c r="KG196" s="1"/>
      <c r="KH196" s="1"/>
      <c r="KI196" s="1"/>
      <c r="KJ196" s="1"/>
      <c r="KK196" s="1"/>
      <c r="KL196" s="1"/>
      <c r="KM196" s="1"/>
      <c r="KN196" s="1"/>
      <c r="KO196" s="1"/>
      <c r="KP196" s="1"/>
      <c r="KQ196" s="1"/>
      <c r="KR196" s="1"/>
      <c r="KS196" s="1"/>
      <c r="KT196" s="1"/>
      <c r="KU196" s="1"/>
      <c r="KV196" s="1"/>
      <c r="KW196" s="1"/>
      <c r="KX196" s="1"/>
      <c r="KY196" s="1"/>
      <c r="KZ196" s="1"/>
      <c r="LA196" s="1"/>
      <c r="LB196" s="1"/>
      <c r="LC196" s="1"/>
      <c r="LD196" s="1"/>
      <c r="LE196" s="1"/>
      <c r="LF196" s="1"/>
      <c r="LG196" s="1"/>
      <c r="LH196" s="1"/>
      <c r="LI196" s="1"/>
      <c r="LJ196" s="1"/>
      <c r="LK196" s="1"/>
      <c r="LL196" s="1"/>
      <c r="LM196" s="1"/>
      <c r="LN196" s="1"/>
      <c r="LO196" s="1"/>
      <c r="LP196" s="1"/>
      <c r="LQ196" s="1"/>
      <c r="LR196" s="1"/>
      <c r="LS196" s="1"/>
    </row>
    <row r="197" spans="1:331" s="40" customFormat="1" x14ac:dyDescent="0.25">
      <c r="A197" s="40" t="s">
        <v>731</v>
      </c>
      <c r="B197" s="44" t="s">
        <v>732</v>
      </c>
      <c r="C197" s="94" t="s">
        <v>1649</v>
      </c>
      <c r="D197" s="40">
        <v>0</v>
      </c>
      <c r="H197" s="40" t="s">
        <v>733</v>
      </c>
      <c r="I197" s="40" t="s">
        <v>733</v>
      </c>
      <c r="J197" s="40" t="s">
        <v>734</v>
      </c>
      <c r="K197" s="40" t="s">
        <v>733</v>
      </c>
      <c r="L197" s="40">
        <v>0</v>
      </c>
      <c r="O197" s="40">
        <v>1</v>
      </c>
      <c r="P197" s="40" t="s">
        <v>734</v>
      </c>
      <c r="Q197" s="96" t="s">
        <v>1566</v>
      </c>
      <c r="R197" s="96"/>
      <c r="S197" s="40">
        <v>23</v>
      </c>
      <c r="T197" s="40">
        <v>10.5</v>
      </c>
      <c r="U197" s="40">
        <v>18</v>
      </c>
      <c r="V197" s="40">
        <v>11</v>
      </c>
      <c r="W197" s="96">
        <v>23</v>
      </c>
      <c r="X197" s="96"/>
      <c r="Y197" s="96"/>
      <c r="Z197" s="40">
        <v>8</v>
      </c>
      <c r="AA197" s="94" t="b">
        <v>1</v>
      </c>
      <c r="AB197" s="1"/>
      <c r="AC197" s="57" t="s">
        <v>1397</v>
      </c>
      <c r="AD197" s="1"/>
      <c r="AE197" s="57"/>
      <c r="AF197" s="1"/>
      <c r="AG197" s="1"/>
      <c r="AH197" s="1"/>
      <c r="AI197" s="1"/>
      <c r="AJ197" s="1"/>
      <c r="AK197" s="1"/>
      <c r="AL197" s="1"/>
      <c r="AM197" s="1"/>
      <c r="AN197" s="1"/>
      <c r="AO197" s="1"/>
      <c r="AP197" s="1"/>
      <c r="AQ197" s="1"/>
      <c r="AR197" s="1"/>
      <c r="AS197" s="1"/>
      <c r="AT197" s="1"/>
      <c r="AU197" s="1"/>
      <c r="AV197" s="1"/>
      <c r="AW197" s="1"/>
      <c r="AX197" s="1"/>
      <c r="AY197" s="1"/>
      <c r="AZ197" s="1"/>
      <c r="BA197" s="1"/>
      <c r="BB197" s="1"/>
      <c r="BC197" s="1"/>
      <c r="BD197" s="1"/>
      <c r="BE197" s="1"/>
      <c r="BF197" s="1"/>
      <c r="BG197" s="1"/>
      <c r="BH197" s="1"/>
      <c r="BI197" s="1"/>
      <c r="BJ197" s="1"/>
      <c r="BK197" s="1"/>
      <c r="BL197" s="1"/>
      <c r="BM197" s="96"/>
      <c r="BN197" s="96"/>
      <c r="BO197" s="96"/>
      <c r="BP197" s="96"/>
      <c r="BQ197" s="96"/>
      <c r="BR197" s="96"/>
      <c r="BS197" s="96"/>
      <c r="BT197" s="96"/>
      <c r="BU197" s="96"/>
      <c r="BV197" s="96"/>
      <c r="BW197" s="96"/>
      <c r="BX197" s="96"/>
      <c r="BY197" s="96"/>
      <c r="BZ197" s="96"/>
      <c r="CA197" s="96"/>
      <c r="CB197" s="96"/>
      <c r="CC197" s="96"/>
      <c r="CD197" s="96"/>
      <c r="CE197" s="96"/>
      <c r="CF197" s="96"/>
      <c r="CG197" s="96"/>
      <c r="CH197" s="96"/>
      <c r="CI197" s="96"/>
      <c r="CJ197" s="96"/>
      <c r="CK197" s="96"/>
      <c r="CL197" s="96"/>
      <c r="CM197" s="96"/>
      <c r="CN197" s="96"/>
      <c r="CO197" s="96"/>
      <c r="CP197" s="96"/>
      <c r="CQ197" s="96"/>
      <c r="CR197" s="96"/>
      <c r="CS197" s="96"/>
      <c r="CT197" s="96"/>
      <c r="CU197" s="1"/>
      <c r="CV197" s="1"/>
      <c r="CW197" s="1"/>
      <c r="CX197" s="1"/>
      <c r="CY197" s="1"/>
      <c r="CZ197" s="1"/>
      <c r="DA197" s="1"/>
      <c r="DB197" s="1"/>
      <c r="DC197" s="1"/>
      <c r="DD197" s="1"/>
      <c r="DE197" s="1"/>
      <c r="DF197" s="1"/>
      <c r="DG197" s="1"/>
      <c r="DH197" s="1"/>
      <c r="DI197" s="1"/>
      <c r="DJ197" s="1"/>
      <c r="DK197" s="1"/>
      <c r="DL197" s="1"/>
      <c r="DM197" s="1"/>
      <c r="DN197" s="1"/>
      <c r="DO197" s="1"/>
      <c r="DP197" s="1"/>
      <c r="DQ197" s="1"/>
      <c r="DR197" s="1"/>
      <c r="DS197" s="1"/>
      <c r="DT197" s="1"/>
      <c r="DU197" s="1"/>
      <c r="DV197" s="1"/>
      <c r="DW197" s="1"/>
      <c r="DX197" s="1"/>
      <c r="DY197" s="1"/>
      <c r="DZ197" s="1"/>
      <c r="EA197" s="1"/>
      <c r="EB197" s="1"/>
      <c r="EC197" s="1"/>
      <c r="ED197" s="1"/>
      <c r="EE197" s="1"/>
      <c r="EF197" s="1"/>
      <c r="EG197" s="1"/>
      <c r="EH197" s="1"/>
      <c r="EI197" s="1"/>
      <c r="EJ197" s="1"/>
      <c r="EK197" s="1"/>
      <c r="EL197" s="1"/>
      <c r="EM197" s="1"/>
      <c r="EN197" s="1"/>
      <c r="EO197" s="1"/>
      <c r="EP197" s="1"/>
      <c r="EQ197" s="1"/>
      <c r="ER197" s="1"/>
      <c r="ES197" s="1"/>
      <c r="ET197" s="1"/>
      <c r="EU197" s="1"/>
      <c r="EV197" s="1"/>
      <c r="EW197" s="1"/>
      <c r="EX197" s="1"/>
      <c r="EY197" s="1"/>
      <c r="EZ197" s="1"/>
      <c r="FA197" s="1"/>
      <c r="FB197" s="1"/>
      <c r="FC197" s="1"/>
      <c r="FD197" s="1"/>
      <c r="FE197" s="1"/>
      <c r="FF197" s="1"/>
      <c r="FG197" s="1"/>
      <c r="FH197" s="1"/>
      <c r="FI197" s="1"/>
      <c r="FJ197" s="1"/>
      <c r="FK197" s="1"/>
      <c r="FL197" s="1"/>
      <c r="FM197" s="1"/>
      <c r="FN197" s="1"/>
      <c r="FO197" s="1"/>
      <c r="FP197" s="1"/>
      <c r="FQ197" s="1"/>
      <c r="FR197" s="1"/>
      <c r="FS197" s="1"/>
      <c r="FT197" s="1"/>
      <c r="FU197" s="1"/>
      <c r="FV197" s="1"/>
      <c r="FW197" s="1"/>
      <c r="FX197" s="1"/>
      <c r="FY197" s="1"/>
      <c r="FZ197" s="1"/>
      <c r="GA197" s="1"/>
      <c r="GB197" s="1"/>
      <c r="GC197" s="1"/>
      <c r="GD197" s="1"/>
      <c r="GE197" s="1"/>
      <c r="GF197" s="1"/>
      <c r="GG197" s="1"/>
      <c r="GH197" s="1"/>
      <c r="GI197" s="1"/>
      <c r="GJ197" s="1"/>
      <c r="GK197" s="1"/>
      <c r="GL197" s="1"/>
      <c r="GM197" s="1"/>
      <c r="GN197" s="1"/>
      <c r="GO197" s="1"/>
      <c r="GP197" s="1"/>
      <c r="GQ197" s="1"/>
      <c r="GR197" s="1"/>
      <c r="GS197" s="1"/>
      <c r="GT197" s="1"/>
      <c r="GU197" s="1"/>
      <c r="GV197" s="1"/>
      <c r="GW197" s="1"/>
      <c r="GX197" s="1"/>
      <c r="GY197" s="1"/>
      <c r="GZ197" s="1"/>
      <c r="HA197" s="1"/>
      <c r="HB197" s="1"/>
      <c r="HC197" s="1"/>
      <c r="HD197" s="1"/>
      <c r="HE197" s="1"/>
      <c r="HF197" s="1"/>
      <c r="HG197" s="1"/>
      <c r="HH197" s="1"/>
      <c r="HI197" s="1"/>
      <c r="HJ197" s="1"/>
      <c r="HK197" s="1"/>
      <c r="HL197" s="1"/>
      <c r="HM197" s="1"/>
      <c r="HN197" s="1"/>
      <c r="HO197" s="1"/>
      <c r="HP197" s="1"/>
      <c r="HQ197" s="1"/>
      <c r="HR197" s="1"/>
      <c r="HS197" s="1"/>
      <c r="HT197" s="1"/>
      <c r="HU197" s="1"/>
      <c r="HV197" s="1"/>
      <c r="HW197" s="1"/>
      <c r="HX197" s="1"/>
      <c r="HY197" s="1"/>
      <c r="HZ197" s="1"/>
      <c r="IA197" s="1"/>
      <c r="IB197" s="1"/>
      <c r="IC197" s="1"/>
      <c r="ID197" s="1"/>
      <c r="IE197" s="1"/>
      <c r="IF197" s="1"/>
      <c r="IG197" s="1"/>
      <c r="IH197" s="1"/>
      <c r="II197" s="1"/>
      <c r="IJ197" s="1"/>
      <c r="IK197" s="1"/>
      <c r="IL197" s="1"/>
      <c r="IM197" s="1"/>
      <c r="IN197" s="1"/>
      <c r="IO197" s="1"/>
      <c r="IP197" s="1"/>
      <c r="IQ197" s="1"/>
      <c r="IR197" s="1"/>
      <c r="IS197" s="1"/>
      <c r="IT197" s="1"/>
      <c r="IU197" s="1"/>
      <c r="IV197" s="1"/>
      <c r="IW197" s="1"/>
      <c r="IX197" s="1"/>
      <c r="IY197" s="1"/>
      <c r="IZ197" s="1"/>
      <c r="JA197" s="1"/>
      <c r="JB197" s="1"/>
      <c r="JC197" s="1"/>
      <c r="JD197" s="1"/>
      <c r="JE197" s="1"/>
      <c r="JF197" s="1"/>
      <c r="JG197" s="1"/>
      <c r="JH197" s="1"/>
      <c r="JI197" s="1"/>
      <c r="JJ197" s="1"/>
      <c r="JK197" s="1"/>
      <c r="JL197" s="1"/>
      <c r="JM197" s="1"/>
      <c r="JN197" s="1"/>
      <c r="JO197" s="1"/>
      <c r="JP197" s="1"/>
      <c r="JQ197" s="1"/>
      <c r="JR197" s="1"/>
      <c r="JS197" s="1"/>
      <c r="JT197" s="1"/>
      <c r="JU197" s="1"/>
      <c r="JV197" s="1"/>
      <c r="JW197" s="1"/>
      <c r="JX197" s="1"/>
      <c r="JY197" s="1"/>
      <c r="JZ197" s="1"/>
      <c r="KA197" s="1"/>
      <c r="KB197" s="1"/>
      <c r="KC197" s="1"/>
      <c r="KD197" s="1"/>
      <c r="KE197" s="1"/>
      <c r="KF197" s="1"/>
      <c r="KG197" s="1"/>
      <c r="KH197" s="1"/>
      <c r="KI197" s="1"/>
      <c r="KJ197" s="1"/>
      <c r="KK197" s="1"/>
      <c r="KL197" s="1"/>
      <c r="KM197" s="1"/>
      <c r="KN197" s="1"/>
      <c r="KO197" s="1"/>
      <c r="KP197" s="1"/>
      <c r="KQ197" s="1"/>
      <c r="KR197" s="1"/>
      <c r="KS197" s="1"/>
      <c r="KT197" s="1"/>
      <c r="KU197" s="1"/>
      <c r="KV197" s="1"/>
      <c r="KW197" s="1"/>
      <c r="KX197" s="1"/>
      <c r="KY197" s="1"/>
      <c r="KZ197" s="1"/>
      <c r="LA197" s="1"/>
      <c r="LB197" s="1"/>
      <c r="LC197" s="1"/>
      <c r="LD197" s="1"/>
      <c r="LE197" s="1"/>
      <c r="LF197" s="1"/>
      <c r="LG197" s="1"/>
      <c r="LH197" s="1"/>
      <c r="LI197" s="1"/>
      <c r="LJ197" s="1"/>
      <c r="LK197" s="1"/>
      <c r="LL197" s="1"/>
      <c r="LM197" s="1"/>
      <c r="LN197" s="1"/>
      <c r="LO197" s="1"/>
      <c r="LP197" s="1"/>
      <c r="LQ197" s="1"/>
      <c r="LR197" s="1"/>
      <c r="LS197" s="1"/>
    </row>
    <row r="198" spans="1:331" s="40" customFormat="1" x14ac:dyDescent="0.25">
      <c r="A198" s="40" t="s">
        <v>735</v>
      </c>
      <c r="B198" s="44" t="s">
        <v>736</v>
      </c>
      <c r="C198" s="94" t="s">
        <v>1649</v>
      </c>
      <c r="D198" s="40">
        <v>0</v>
      </c>
      <c r="H198" s="40" t="s">
        <v>737</v>
      </c>
      <c r="I198" s="40" t="s">
        <v>738</v>
      </c>
      <c r="J198" s="40" t="s">
        <v>737</v>
      </c>
      <c r="K198" s="40" t="s">
        <v>1693</v>
      </c>
      <c r="L198" s="40">
        <v>0</v>
      </c>
      <c r="O198" s="40">
        <v>1</v>
      </c>
      <c r="P198" s="77">
        <v>45030</v>
      </c>
      <c r="Q198" s="96" t="s">
        <v>603</v>
      </c>
      <c r="R198" s="96"/>
      <c r="S198" s="40">
        <v>10</v>
      </c>
      <c r="T198" s="40">
        <v>19</v>
      </c>
      <c r="U198" s="40">
        <v>11</v>
      </c>
      <c r="V198" s="40">
        <v>12</v>
      </c>
      <c r="W198" s="96">
        <v>19</v>
      </c>
      <c r="X198" s="96"/>
      <c r="Y198" s="96"/>
      <c r="Z198" s="40">
        <v>8</v>
      </c>
      <c r="AA198" s="94" t="b">
        <v>1</v>
      </c>
      <c r="AB198" s="1"/>
      <c r="AC198" s="57" t="s">
        <v>1639</v>
      </c>
      <c r="AD198" s="1"/>
      <c r="AE198" s="57"/>
      <c r="AF198" s="1"/>
      <c r="AG198" s="1"/>
      <c r="AH198" s="1"/>
      <c r="AI198" s="1"/>
      <c r="AJ198" s="1"/>
      <c r="AK198" s="1"/>
      <c r="AL198" s="1"/>
      <c r="AM198" s="1"/>
      <c r="AN198" s="1"/>
      <c r="AO198" s="1"/>
      <c r="AP198" s="1"/>
      <c r="AQ198" s="1"/>
      <c r="AR198" s="1"/>
      <c r="AS198" s="1"/>
      <c r="AT198" s="1"/>
      <c r="AU198" s="1"/>
      <c r="AV198" s="1"/>
      <c r="AW198" s="1"/>
      <c r="AX198" s="1"/>
      <c r="AY198" s="1"/>
      <c r="AZ198" s="1"/>
      <c r="BA198" s="1"/>
      <c r="BB198" s="1"/>
      <c r="BC198" s="1"/>
      <c r="BD198" s="1"/>
      <c r="BE198" s="1"/>
      <c r="BF198" s="1"/>
      <c r="BG198" s="1"/>
      <c r="BH198" s="1"/>
      <c r="BI198" s="1"/>
      <c r="BJ198" s="1"/>
      <c r="BK198" s="1"/>
      <c r="BL198" s="1"/>
      <c r="BM198" s="96"/>
      <c r="BN198" s="96"/>
      <c r="BO198" s="96"/>
      <c r="BP198" s="96"/>
      <c r="BQ198" s="96"/>
      <c r="BR198" s="96"/>
      <c r="BS198" s="96"/>
      <c r="BT198" s="96"/>
      <c r="BU198" s="96"/>
      <c r="BV198" s="96"/>
      <c r="BW198" s="96"/>
      <c r="BX198" s="96"/>
      <c r="BY198" s="96"/>
      <c r="BZ198" s="96"/>
      <c r="CA198" s="96"/>
      <c r="CB198" s="96"/>
      <c r="CC198" s="96"/>
      <c r="CD198" s="96"/>
      <c r="CE198" s="96"/>
      <c r="CF198" s="96"/>
      <c r="CG198" s="96"/>
      <c r="CH198" s="96"/>
      <c r="CI198" s="96"/>
      <c r="CJ198" s="96"/>
      <c r="CK198" s="96"/>
      <c r="CL198" s="96"/>
      <c r="CM198" s="96"/>
      <c r="CN198" s="96"/>
      <c r="CO198" s="96"/>
      <c r="CP198" s="96"/>
      <c r="CQ198" s="96"/>
      <c r="CR198" s="96"/>
      <c r="CS198" s="96"/>
      <c r="CT198" s="96"/>
      <c r="CU198" s="1"/>
      <c r="CV198" s="1"/>
      <c r="CW198" s="1"/>
      <c r="CX198" s="1"/>
      <c r="CY198" s="1"/>
      <c r="CZ198" s="1"/>
      <c r="DA198" s="1"/>
      <c r="DB198" s="1"/>
      <c r="DC198" s="1"/>
      <c r="DD198" s="1"/>
      <c r="DE198" s="1"/>
      <c r="DF198" s="1"/>
      <c r="DG198" s="1"/>
      <c r="DH198" s="1"/>
      <c r="DI198" s="1"/>
      <c r="DJ198" s="1"/>
      <c r="DK198" s="1"/>
      <c r="DL198" s="1"/>
      <c r="DM198" s="1"/>
      <c r="DN198" s="1"/>
      <c r="DO198" s="1"/>
      <c r="DP198" s="1"/>
      <c r="DQ198" s="1"/>
      <c r="DR198" s="1"/>
      <c r="DS198" s="1"/>
      <c r="DT198" s="1"/>
      <c r="DU198" s="1"/>
      <c r="DV198" s="1"/>
      <c r="DW198" s="1"/>
      <c r="DX198" s="1"/>
      <c r="DY198" s="1"/>
      <c r="DZ198" s="1"/>
      <c r="EA198" s="1"/>
      <c r="EB198" s="1"/>
      <c r="EC198" s="1"/>
      <c r="ED198" s="1"/>
      <c r="EE198" s="1"/>
      <c r="EF198" s="1"/>
      <c r="EG198" s="1"/>
      <c r="EH198" s="1"/>
      <c r="EI198" s="1"/>
      <c r="EJ198" s="1"/>
      <c r="EK198" s="1"/>
      <c r="EL198" s="1"/>
      <c r="EM198" s="1"/>
      <c r="EN198" s="1"/>
      <c r="EO198" s="1"/>
      <c r="EP198" s="1"/>
      <c r="EQ198" s="1"/>
      <c r="ER198" s="1"/>
      <c r="ES198" s="1"/>
      <c r="ET198" s="1"/>
      <c r="EU198" s="1"/>
      <c r="EV198" s="1"/>
      <c r="EW198" s="1"/>
      <c r="EX198" s="1"/>
      <c r="EY198" s="1"/>
      <c r="EZ198" s="1"/>
      <c r="FA198" s="1"/>
      <c r="FB198" s="1"/>
      <c r="FC198" s="1"/>
      <c r="FD198" s="1"/>
      <c r="FE198" s="1"/>
      <c r="FF198" s="1"/>
      <c r="FG198" s="1"/>
      <c r="FH198" s="1"/>
      <c r="FI198" s="1"/>
      <c r="FJ198" s="1"/>
      <c r="FK198" s="1"/>
      <c r="FL198" s="1"/>
      <c r="FM198" s="1"/>
      <c r="FN198" s="1"/>
      <c r="FO198" s="1"/>
      <c r="FP198" s="1"/>
      <c r="FQ198" s="1"/>
      <c r="FR198" s="1"/>
      <c r="FS198" s="1"/>
      <c r="FT198" s="1"/>
      <c r="FU198" s="1"/>
      <c r="FV198" s="1"/>
      <c r="FW198" s="1"/>
      <c r="FX198" s="1"/>
      <c r="FY198" s="1"/>
      <c r="FZ198" s="1"/>
      <c r="GA198" s="1"/>
      <c r="GB198" s="1"/>
      <c r="GC198" s="1"/>
      <c r="GD198" s="1"/>
      <c r="GE198" s="1"/>
      <c r="GF198" s="1"/>
      <c r="GG198" s="1"/>
      <c r="GH198" s="1"/>
      <c r="GI198" s="1"/>
      <c r="GJ198" s="1"/>
      <c r="GK198" s="1"/>
      <c r="GL198" s="1"/>
      <c r="GM198" s="1"/>
      <c r="GN198" s="1"/>
      <c r="GO198" s="1"/>
      <c r="GP198" s="1"/>
      <c r="GQ198" s="1"/>
      <c r="GR198" s="1"/>
      <c r="GS198" s="1"/>
      <c r="GT198" s="1"/>
      <c r="GU198" s="1"/>
      <c r="GV198" s="1"/>
      <c r="GW198" s="1"/>
      <c r="GX198" s="1"/>
      <c r="GY198" s="1"/>
      <c r="GZ198" s="1"/>
      <c r="HA198" s="1"/>
      <c r="HB198" s="1"/>
      <c r="HC198" s="1"/>
      <c r="HD198" s="1"/>
      <c r="HE198" s="1"/>
      <c r="HF198" s="1"/>
      <c r="HG198" s="1"/>
      <c r="HH198" s="1"/>
      <c r="HI198" s="1"/>
      <c r="HJ198" s="1"/>
      <c r="HK198" s="1"/>
      <c r="HL198" s="1"/>
      <c r="HM198" s="1"/>
      <c r="HN198" s="1"/>
      <c r="HO198" s="1"/>
      <c r="HP198" s="1"/>
      <c r="HQ198" s="1"/>
      <c r="HR198" s="1"/>
      <c r="HS198" s="1"/>
      <c r="HT198" s="1"/>
      <c r="HU198" s="1"/>
      <c r="HV198" s="1"/>
      <c r="HW198" s="1"/>
      <c r="HX198" s="1"/>
      <c r="HY198" s="1"/>
      <c r="HZ198" s="1"/>
      <c r="IA198" s="1"/>
      <c r="IB198" s="1"/>
      <c r="IC198" s="1"/>
      <c r="ID198" s="1"/>
      <c r="IE198" s="1"/>
      <c r="IF198" s="1"/>
      <c r="IG198" s="1"/>
      <c r="IH198" s="1"/>
      <c r="II198" s="1"/>
      <c r="IJ198" s="1"/>
      <c r="IK198" s="1"/>
      <c r="IL198" s="1"/>
      <c r="IM198" s="1"/>
      <c r="IN198" s="1"/>
      <c r="IO198" s="1"/>
      <c r="IP198" s="1"/>
      <c r="IQ198" s="1"/>
      <c r="IR198" s="1"/>
      <c r="IS198" s="1"/>
      <c r="IT198" s="1"/>
      <c r="IU198" s="1"/>
      <c r="IV198" s="1"/>
      <c r="IW198" s="1"/>
      <c r="IX198" s="1"/>
      <c r="IY198" s="1"/>
      <c r="IZ198" s="1"/>
      <c r="JA198" s="1"/>
      <c r="JB198" s="1"/>
      <c r="JC198" s="1"/>
      <c r="JD198" s="1"/>
      <c r="JE198" s="1"/>
      <c r="JF198" s="1"/>
      <c r="JG198" s="1"/>
      <c r="JH198" s="1"/>
      <c r="JI198" s="1"/>
      <c r="JJ198" s="1"/>
      <c r="JK198" s="1"/>
      <c r="JL198" s="1"/>
      <c r="JM198" s="1"/>
      <c r="JN198" s="1"/>
      <c r="JO198" s="1"/>
      <c r="JP198" s="1"/>
      <c r="JQ198" s="1"/>
      <c r="JR198" s="1"/>
      <c r="JS198" s="1"/>
      <c r="JT198" s="1"/>
      <c r="JU198" s="1"/>
      <c r="JV198" s="1"/>
      <c r="JW198" s="1"/>
      <c r="JX198" s="1"/>
      <c r="JY198" s="1"/>
      <c r="JZ198" s="1"/>
      <c r="KA198" s="1"/>
      <c r="KB198" s="1"/>
      <c r="KC198" s="1"/>
      <c r="KD198" s="1"/>
      <c r="KE198" s="1"/>
      <c r="KF198" s="1"/>
      <c r="KG198" s="1"/>
      <c r="KH198" s="1"/>
      <c r="KI198" s="1"/>
      <c r="KJ198" s="1"/>
      <c r="KK198" s="1"/>
      <c r="KL198" s="1"/>
      <c r="KM198" s="1"/>
      <c r="KN198" s="1"/>
      <c r="KO198" s="1"/>
      <c r="KP198" s="1"/>
      <c r="KQ198" s="1"/>
      <c r="KR198" s="1"/>
      <c r="KS198" s="1"/>
      <c r="KT198" s="1"/>
      <c r="KU198" s="1"/>
      <c r="KV198" s="1"/>
      <c r="KW198" s="1"/>
      <c r="KX198" s="1"/>
      <c r="KY198" s="1"/>
      <c r="KZ198" s="1"/>
      <c r="LA198" s="1"/>
      <c r="LB198" s="1"/>
      <c r="LC198" s="1"/>
      <c r="LD198" s="1"/>
      <c r="LE198" s="1"/>
      <c r="LF198" s="1"/>
      <c r="LG198" s="1"/>
      <c r="LH198" s="1"/>
      <c r="LI198" s="1"/>
      <c r="LJ198" s="1"/>
      <c r="LK198" s="1"/>
      <c r="LL198" s="1"/>
      <c r="LM198" s="1"/>
      <c r="LN198" s="1"/>
      <c r="LO198" s="1"/>
      <c r="LP198" s="1"/>
      <c r="LQ198" s="1"/>
      <c r="LR198" s="1"/>
      <c r="LS198" s="1"/>
    </row>
    <row r="199" spans="1:331" s="25" customFormat="1" x14ac:dyDescent="0.25">
      <c r="A199" s="25" t="s">
        <v>739</v>
      </c>
      <c r="B199" s="29" t="s">
        <v>740</v>
      </c>
      <c r="C199" s="94" t="s">
        <v>1649</v>
      </c>
      <c r="D199" s="25">
        <v>0</v>
      </c>
      <c r="H199" s="25" t="s">
        <v>341</v>
      </c>
      <c r="I199" s="25" t="s">
        <v>341</v>
      </c>
      <c r="J199" s="25" t="s">
        <v>741</v>
      </c>
      <c r="K199" s="25" t="s">
        <v>1694</v>
      </c>
      <c r="L199" s="25">
        <v>0</v>
      </c>
      <c r="O199" s="25">
        <v>0</v>
      </c>
      <c r="Q199" s="96" t="s">
        <v>1567</v>
      </c>
      <c r="R199" s="96"/>
      <c r="S199" s="25">
        <v>7</v>
      </c>
      <c r="U199" s="25">
        <v>8</v>
      </c>
      <c r="W199" s="96">
        <v>7</v>
      </c>
      <c r="X199" s="96"/>
      <c r="Y199" s="96"/>
      <c r="Z199" s="25">
        <v>5</v>
      </c>
      <c r="AA199" s="94" t="b">
        <v>1</v>
      </c>
      <c r="AB199" s="1"/>
      <c r="AC199" s="57" t="s">
        <v>1354</v>
      </c>
      <c r="AD199" s="1"/>
      <c r="AE199" s="57"/>
      <c r="AF199" s="1"/>
      <c r="AG199" s="1"/>
      <c r="AH199" s="1"/>
      <c r="AI199" s="1"/>
      <c r="AJ199" s="1"/>
      <c r="AK199" s="1"/>
      <c r="AL199" s="1"/>
      <c r="AM199" s="1"/>
      <c r="AN199" s="1"/>
      <c r="AO199" s="1"/>
      <c r="AP199" s="1"/>
      <c r="AQ199" s="1"/>
      <c r="AR199" s="1"/>
      <c r="AS199" s="1"/>
      <c r="AT199" s="1"/>
      <c r="AU199" s="1"/>
      <c r="AV199" s="1"/>
      <c r="AW199" s="1"/>
      <c r="AX199" s="1"/>
      <c r="AY199" s="1"/>
      <c r="AZ199" s="1"/>
      <c r="BA199" s="1"/>
      <c r="BB199" s="1"/>
      <c r="BC199" s="1"/>
      <c r="BD199" s="1"/>
      <c r="BE199" s="1"/>
      <c r="BF199" s="1"/>
      <c r="BG199" s="1"/>
      <c r="BH199" s="1"/>
      <c r="BI199" s="1"/>
      <c r="BJ199" s="1"/>
      <c r="BK199" s="1"/>
      <c r="BL199" s="1"/>
      <c r="BM199" s="96"/>
      <c r="BN199" s="96"/>
      <c r="BO199" s="96"/>
      <c r="BP199" s="96"/>
      <c r="BQ199" s="96"/>
      <c r="BR199" s="96"/>
      <c r="BS199" s="96"/>
      <c r="BT199" s="96"/>
      <c r="BU199" s="96"/>
      <c r="BV199" s="96"/>
      <c r="BW199" s="96"/>
      <c r="BX199" s="96"/>
      <c r="BY199" s="96"/>
      <c r="BZ199" s="96"/>
      <c r="CA199" s="96"/>
      <c r="CB199" s="96"/>
      <c r="CC199" s="96"/>
      <c r="CD199" s="96"/>
      <c r="CE199" s="96"/>
      <c r="CF199" s="96"/>
      <c r="CG199" s="96"/>
      <c r="CH199" s="96"/>
      <c r="CI199" s="96"/>
      <c r="CJ199" s="96"/>
      <c r="CK199" s="96"/>
      <c r="CL199" s="96"/>
      <c r="CM199" s="96"/>
      <c r="CN199" s="96"/>
      <c r="CO199" s="96"/>
      <c r="CP199" s="96"/>
      <c r="CQ199" s="96"/>
      <c r="CR199" s="96"/>
      <c r="CS199" s="96"/>
      <c r="CT199" s="96"/>
      <c r="CU199" s="1"/>
      <c r="CV199" s="1"/>
      <c r="CW199" s="1"/>
      <c r="CX199" s="1"/>
      <c r="CY199" s="1"/>
      <c r="CZ199" s="1"/>
      <c r="DA199" s="1"/>
      <c r="DB199" s="1"/>
      <c r="DC199" s="1"/>
      <c r="DD199" s="1"/>
      <c r="DE199" s="1"/>
      <c r="DF199" s="1"/>
      <c r="DG199" s="1"/>
      <c r="DH199" s="1"/>
      <c r="DI199" s="1"/>
      <c r="DJ199" s="1"/>
      <c r="DK199" s="1"/>
      <c r="DL199" s="1"/>
      <c r="DM199" s="1"/>
      <c r="DN199" s="1"/>
      <c r="DO199" s="1"/>
      <c r="DP199" s="1"/>
      <c r="DQ199" s="1"/>
      <c r="DR199" s="1"/>
      <c r="DS199" s="1"/>
      <c r="DT199" s="1"/>
      <c r="DU199" s="1"/>
      <c r="DV199" s="1"/>
      <c r="DW199" s="1"/>
      <c r="DX199" s="1"/>
      <c r="DY199" s="1"/>
      <c r="DZ199" s="1"/>
      <c r="EA199" s="1"/>
      <c r="EB199" s="1"/>
      <c r="EC199" s="1"/>
      <c r="ED199" s="1"/>
      <c r="EE199" s="1"/>
      <c r="EF199" s="1"/>
      <c r="EG199" s="1"/>
      <c r="EH199" s="1"/>
      <c r="EI199" s="1"/>
      <c r="EJ199" s="1"/>
      <c r="EK199" s="1"/>
      <c r="EL199" s="1"/>
      <c r="EM199" s="1"/>
      <c r="EN199" s="1"/>
      <c r="EO199" s="1"/>
      <c r="EP199" s="1"/>
      <c r="EQ199" s="1"/>
      <c r="ER199" s="1"/>
      <c r="ES199" s="1"/>
      <c r="ET199" s="1"/>
      <c r="EU199" s="1"/>
      <c r="EV199" s="1"/>
      <c r="EW199" s="1"/>
      <c r="EX199" s="1"/>
      <c r="EY199" s="1"/>
      <c r="EZ199" s="1"/>
      <c r="FA199" s="1"/>
      <c r="FB199" s="1"/>
      <c r="FC199" s="1"/>
      <c r="FD199" s="1"/>
      <c r="FE199" s="1"/>
      <c r="FF199" s="1"/>
      <c r="FG199" s="1"/>
      <c r="FH199" s="1"/>
      <c r="FI199" s="1"/>
      <c r="FJ199" s="1"/>
      <c r="FK199" s="1"/>
      <c r="FL199" s="1"/>
      <c r="FM199" s="1"/>
      <c r="FN199" s="1"/>
      <c r="FO199" s="1"/>
      <c r="FP199" s="1"/>
      <c r="FQ199" s="1"/>
      <c r="FR199" s="1"/>
      <c r="FS199" s="1"/>
      <c r="FT199" s="1"/>
      <c r="FU199" s="1"/>
      <c r="FV199" s="1"/>
      <c r="FW199" s="1"/>
      <c r="FX199" s="1"/>
      <c r="FY199" s="1"/>
      <c r="FZ199" s="1"/>
      <c r="GA199" s="1"/>
      <c r="GB199" s="1"/>
      <c r="GC199" s="1"/>
      <c r="GD199" s="1"/>
      <c r="GE199" s="1"/>
      <c r="GF199" s="1"/>
      <c r="GG199" s="1"/>
      <c r="GH199" s="1"/>
      <c r="GI199" s="1"/>
      <c r="GJ199" s="1"/>
      <c r="GK199" s="1"/>
      <c r="GL199" s="1"/>
      <c r="GM199" s="1"/>
      <c r="GN199" s="1"/>
      <c r="GO199" s="1"/>
      <c r="GP199" s="1"/>
      <c r="GQ199" s="1"/>
      <c r="GR199" s="1"/>
      <c r="GS199" s="1"/>
      <c r="GT199" s="1"/>
      <c r="GU199" s="1"/>
      <c r="GV199" s="1"/>
      <c r="GW199" s="1"/>
      <c r="GX199" s="1"/>
      <c r="GY199" s="1"/>
      <c r="GZ199" s="1"/>
      <c r="HA199" s="1"/>
      <c r="HB199" s="1"/>
      <c r="HC199" s="1"/>
      <c r="HD199" s="1"/>
      <c r="HE199" s="1"/>
      <c r="HF199" s="1"/>
      <c r="HG199" s="1"/>
      <c r="HH199" s="1"/>
      <c r="HI199" s="1"/>
      <c r="HJ199" s="1"/>
      <c r="HK199" s="1"/>
      <c r="HL199" s="1"/>
      <c r="HM199" s="1"/>
      <c r="HN199" s="1"/>
      <c r="HO199" s="1"/>
      <c r="HP199" s="1"/>
      <c r="HQ199" s="1"/>
      <c r="HR199" s="1"/>
      <c r="HS199" s="1"/>
      <c r="HT199" s="1"/>
      <c r="HU199" s="1"/>
      <c r="HV199" s="1"/>
      <c r="HW199" s="1"/>
      <c r="HX199" s="1"/>
      <c r="HY199" s="1"/>
      <c r="HZ199" s="1"/>
      <c r="IA199" s="1"/>
      <c r="IB199" s="1"/>
      <c r="IC199" s="1"/>
      <c r="ID199" s="1"/>
      <c r="IE199" s="1"/>
      <c r="IF199" s="1"/>
      <c r="IG199" s="1"/>
      <c r="IH199" s="1"/>
      <c r="II199" s="1"/>
      <c r="IJ199" s="1"/>
      <c r="IK199" s="1"/>
      <c r="IL199" s="1"/>
      <c r="IM199" s="1"/>
      <c r="IN199" s="1"/>
      <c r="IO199" s="1"/>
      <c r="IP199" s="1"/>
      <c r="IQ199" s="1"/>
      <c r="IR199" s="1"/>
      <c r="IS199" s="1"/>
      <c r="IT199" s="1"/>
      <c r="IU199" s="1"/>
      <c r="IV199" s="1"/>
      <c r="IW199" s="1"/>
      <c r="IX199" s="1"/>
      <c r="IY199" s="1"/>
      <c r="IZ199" s="1"/>
      <c r="JA199" s="1"/>
      <c r="JB199" s="1"/>
      <c r="JC199" s="1"/>
      <c r="JD199" s="1"/>
      <c r="JE199" s="1"/>
      <c r="JF199" s="1"/>
      <c r="JG199" s="1"/>
      <c r="JH199" s="1"/>
      <c r="JI199" s="1"/>
      <c r="JJ199" s="1"/>
      <c r="JK199" s="1"/>
      <c r="JL199" s="1"/>
      <c r="JM199" s="1"/>
      <c r="JN199" s="1"/>
      <c r="JO199" s="1"/>
      <c r="JP199" s="1"/>
      <c r="JQ199" s="1"/>
      <c r="JR199" s="1"/>
      <c r="JS199" s="1"/>
      <c r="JT199" s="1"/>
      <c r="JU199" s="1"/>
      <c r="JV199" s="1"/>
      <c r="JW199" s="1"/>
      <c r="JX199" s="1"/>
      <c r="JY199" s="1"/>
      <c r="JZ199" s="1"/>
      <c r="KA199" s="1"/>
      <c r="KB199" s="1"/>
      <c r="KC199" s="1"/>
      <c r="KD199" s="1"/>
      <c r="KE199" s="1"/>
      <c r="KF199" s="1"/>
      <c r="KG199" s="1"/>
      <c r="KH199" s="1"/>
      <c r="KI199" s="1"/>
      <c r="KJ199" s="1"/>
      <c r="KK199" s="1"/>
      <c r="KL199" s="1"/>
      <c r="KM199" s="1"/>
      <c r="KN199" s="1"/>
      <c r="KO199" s="1"/>
      <c r="KP199" s="1"/>
      <c r="KQ199" s="1"/>
      <c r="KR199" s="1"/>
      <c r="KS199" s="1"/>
      <c r="KT199" s="1"/>
      <c r="KU199" s="1"/>
      <c r="KV199" s="1"/>
      <c r="KW199" s="1"/>
      <c r="KX199" s="1"/>
      <c r="KY199" s="1"/>
      <c r="KZ199" s="1"/>
      <c r="LA199" s="1"/>
      <c r="LB199" s="1"/>
      <c r="LC199" s="1"/>
      <c r="LD199" s="1"/>
      <c r="LE199" s="1"/>
      <c r="LF199" s="1"/>
      <c r="LG199" s="1"/>
      <c r="LH199" s="1"/>
      <c r="LI199" s="1"/>
      <c r="LJ199" s="1"/>
      <c r="LK199" s="1"/>
      <c r="LL199" s="1"/>
      <c r="LM199" s="1"/>
      <c r="LN199" s="1"/>
      <c r="LO199" s="1"/>
      <c r="LP199" s="1"/>
      <c r="LQ199" s="1"/>
      <c r="LR199" s="1"/>
      <c r="LS199" s="1"/>
    </row>
    <row r="200" spans="1:331" s="45" customFormat="1" x14ac:dyDescent="0.25">
      <c r="A200" s="45" t="s">
        <v>742</v>
      </c>
      <c r="C200" s="96" t="s">
        <v>1649</v>
      </c>
      <c r="D200" s="45">
        <v>0</v>
      </c>
      <c r="H200" s="45" t="s">
        <v>152</v>
      </c>
      <c r="I200" s="45" t="s">
        <v>743</v>
      </c>
      <c r="J200" s="45" t="s">
        <v>151</v>
      </c>
      <c r="K200" s="45" t="s">
        <v>743</v>
      </c>
      <c r="L200" s="45">
        <v>0</v>
      </c>
      <c r="O200" s="45">
        <v>1</v>
      </c>
      <c r="P200" s="45" t="s">
        <v>151</v>
      </c>
      <c r="Q200" s="96" t="s">
        <v>1568</v>
      </c>
      <c r="R200" s="96"/>
      <c r="W200" s="96"/>
      <c r="X200" s="96"/>
      <c r="Y200" s="96"/>
      <c r="Z200" s="45">
        <v>-1</v>
      </c>
      <c r="AA200" s="94" t="b">
        <v>0</v>
      </c>
      <c r="AB200" s="1"/>
      <c r="AC200" s="57"/>
      <c r="AD200" s="1"/>
      <c r="AE200" s="57"/>
      <c r="AF200" s="1"/>
      <c r="AG200" s="1"/>
      <c r="AH200" s="1"/>
      <c r="AI200" s="1"/>
      <c r="AJ200" s="1"/>
      <c r="AK200" s="1"/>
      <c r="AL200" s="1"/>
      <c r="AM200" s="1"/>
      <c r="AN200" s="1"/>
      <c r="AO200" s="1"/>
      <c r="AP200" s="1"/>
      <c r="AQ200" s="1"/>
      <c r="AR200" s="1"/>
      <c r="AS200" s="1"/>
      <c r="AT200" s="1"/>
      <c r="AU200" s="1"/>
      <c r="AV200" s="1"/>
      <c r="AW200" s="1"/>
      <c r="AX200" s="1"/>
      <c r="AY200" s="1"/>
      <c r="AZ200" s="1"/>
      <c r="BA200" s="1"/>
      <c r="BB200" s="1"/>
      <c r="BC200" s="1"/>
      <c r="BD200" s="1"/>
      <c r="BE200" s="1"/>
      <c r="BF200" s="1"/>
      <c r="BG200" s="1"/>
      <c r="BH200" s="1"/>
      <c r="BI200" s="1"/>
      <c r="BJ200" s="1"/>
      <c r="BK200" s="1"/>
      <c r="BL200" s="1"/>
      <c r="BM200" s="96"/>
      <c r="BN200" s="96"/>
      <c r="BO200" s="96"/>
      <c r="BP200" s="96"/>
      <c r="BQ200" s="96"/>
      <c r="BR200" s="96"/>
      <c r="BS200" s="96"/>
      <c r="BT200" s="96"/>
      <c r="BU200" s="96"/>
      <c r="BV200" s="96"/>
      <c r="BW200" s="96"/>
      <c r="BX200" s="96"/>
      <c r="BY200" s="96"/>
      <c r="BZ200" s="96"/>
      <c r="CA200" s="96"/>
      <c r="CB200" s="96"/>
      <c r="CC200" s="96"/>
      <c r="CD200" s="96"/>
      <c r="CE200" s="96"/>
      <c r="CF200" s="96"/>
      <c r="CG200" s="96"/>
      <c r="CH200" s="96"/>
      <c r="CI200" s="96"/>
      <c r="CJ200" s="96"/>
      <c r="CK200" s="96"/>
      <c r="CL200" s="96"/>
      <c r="CM200" s="96"/>
      <c r="CN200" s="96"/>
      <c r="CO200" s="96"/>
      <c r="CP200" s="96"/>
      <c r="CQ200" s="96"/>
      <c r="CR200" s="96"/>
      <c r="CS200" s="96"/>
      <c r="CT200" s="96"/>
      <c r="CU200" s="1"/>
      <c r="CV200" s="1"/>
      <c r="CW200" s="1"/>
      <c r="CX200" s="1"/>
      <c r="CY200" s="1"/>
      <c r="CZ200" s="1"/>
      <c r="DA200" s="1"/>
      <c r="DB200" s="1"/>
      <c r="DC200" s="1"/>
      <c r="DD200" s="1"/>
      <c r="DE200" s="1"/>
      <c r="DF200" s="1"/>
      <c r="DG200" s="1"/>
      <c r="DH200" s="1"/>
      <c r="DI200" s="1"/>
      <c r="DJ200" s="1"/>
      <c r="DK200" s="1"/>
      <c r="DL200" s="1"/>
      <c r="DM200" s="1"/>
      <c r="DN200" s="1"/>
      <c r="DO200" s="1"/>
      <c r="DP200" s="1"/>
      <c r="DQ200" s="1"/>
      <c r="DR200" s="1"/>
      <c r="DS200" s="1"/>
      <c r="DT200" s="1"/>
      <c r="DU200" s="1"/>
      <c r="DV200" s="1"/>
      <c r="DW200" s="1"/>
      <c r="DX200" s="1"/>
      <c r="DY200" s="1"/>
      <c r="DZ200" s="1"/>
      <c r="EA200" s="1"/>
      <c r="EB200" s="1"/>
      <c r="EC200" s="1"/>
      <c r="ED200" s="1"/>
      <c r="EE200" s="1"/>
      <c r="EF200" s="1"/>
      <c r="EG200" s="1"/>
      <c r="EH200" s="1"/>
      <c r="EI200" s="1"/>
      <c r="EJ200" s="1"/>
      <c r="EK200" s="1"/>
      <c r="EL200" s="1"/>
      <c r="EM200" s="1"/>
      <c r="EN200" s="1"/>
      <c r="EO200" s="1"/>
      <c r="EP200" s="1"/>
      <c r="EQ200" s="1"/>
      <c r="ER200" s="1"/>
      <c r="ES200" s="1"/>
      <c r="ET200" s="1"/>
      <c r="EU200" s="1"/>
      <c r="EV200" s="1"/>
      <c r="EW200" s="1"/>
      <c r="EX200" s="1"/>
      <c r="EY200" s="1"/>
      <c r="EZ200" s="1"/>
      <c r="FA200" s="1"/>
      <c r="FB200" s="1"/>
      <c r="FC200" s="1"/>
      <c r="FD200" s="1"/>
      <c r="FE200" s="1"/>
      <c r="FF200" s="1"/>
      <c r="FG200" s="1"/>
      <c r="FH200" s="1"/>
      <c r="FI200" s="1"/>
      <c r="FJ200" s="1"/>
      <c r="FK200" s="1"/>
      <c r="FL200" s="1"/>
      <c r="FM200" s="1"/>
      <c r="FN200" s="1"/>
      <c r="FO200" s="1"/>
      <c r="FP200" s="1"/>
      <c r="FQ200" s="1"/>
      <c r="FR200" s="1"/>
      <c r="FS200" s="1"/>
      <c r="FT200" s="1"/>
      <c r="FU200" s="1"/>
      <c r="FV200" s="1"/>
      <c r="FW200" s="1"/>
      <c r="FX200" s="1"/>
      <c r="FY200" s="1"/>
      <c r="FZ200" s="1"/>
      <c r="GA200" s="1"/>
      <c r="GB200" s="1"/>
      <c r="GC200" s="1"/>
      <c r="GD200" s="1"/>
      <c r="GE200" s="1"/>
      <c r="GF200" s="1"/>
      <c r="GG200" s="1"/>
      <c r="GH200" s="1"/>
      <c r="GI200" s="1"/>
      <c r="GJ200" s="1"/>
      <c r="GK200" s="1"/>
      <c r="GL200" s="1"/>
      <c r="GM200" s="1"/>
      <c r="GN200" s="1"/>
      <c r="GO200" s="1"/>
      <c r="GP200" s="1"/>
      <c r="GQ200" s="1"/>
      <c r="GR200" s="1"/>
      <c r="GS200" s="1"/>
      <c r="GT200" s="1"/>
      <c r="GU200" s="1"/>
      <c r="GV200" s="1"/>
      <c r="GW200" s="1"/>
      <c r="GX200" s="1"/>
      <c r="GY200" s="1"/>
      <c r="GZ200" s="1"/>
      <c r="HA200" s="1"/>
      <c r="HB200" s="1"/>
      <c r="HC200" s="1"/>
      <c r="HD200" s="1"/>
      <c r="HE200" s="1"/>
      <c r="HF200" s="1"/>
      <c r="HG200" s="1"/>
      <c r="HH200" s="1"/>
      <c r="HI200" s="1"/>
      <c r="HJ200" s="1"/>
      <c r="HK200" s="1"/>
      <c r="HL200" s="1"/>
      <c r="HM200" s="1"/>
      <c r="HN200" s="1"/>
      <c r="HO200" s="1"/>
      <c r="HP200" s="1"/>
      <c r="HQ200" s="1"/>
      <c r="HR200" s="1"/>
      <c r="HS200" s="1"/>
      <c r="HT200" s="1"/>
      <c r="HU200" s="1"/>
      <c r="HV200" s="1"/>
      <c r="HW200" s="1"/>
      <c r="HX200" s="1"/>
      <c r="HY200" s="1"/>
      <c r="HZ200" s="1"/>
      <c r="IA200" s="1"/>
      <c r="IB200" s="1"/>
      <c r="IC200" s="1"/>
      <c r="ID200" s="1"/>
      <c r="IE200" s="1"/>
      <c r="IF200" s="1"/>
      <c r="IG200" s="1"/>
      <c r="IH200" s="1"/>
      <c r="II200" s="1"/>
      <c r="IJ200" s="1"/>
      <c r="IK200" s="1"/>
      <c r="IL200" s="1"/>
      <c r="IM200" s="1"/>
      <c r="IN200" s="1"/>
      <c r="IO200" s="1"/>
      <c r="IP200" s="1"/>
      <c r="IQ200" s="1"/>
      <c r="IR200" s="1"/>
      <c r="IS200" s="1"/>
      <c r="IT200" s="1"/>
      <c r="IU200" s="1"/>
      <c r="IV200" s="1"/>
      <c r="IW200" s="1"/>
      <c r="IX200" s="1"/>
      <c r="IY200" s="1"/>
      <c r="IZ200" s="1"/>
      <c r="JA200" s="1"/>
      <c r="JB200" s="1"/>
      <c r="JC200" s="1"/>
      <c r="JD200" s="1"/>
      <c r="JE200" s="1"/>
      <c r="JF200" s="1"/>
      <c r="JG200" s="1"/>
      <c r="JH200" s="1"/>
      <c r="JI200" s="1"/>
      <c r="JJ200" s="1"/>
      <c r="JK200" s="1"/>
      <c r="JL200" s="1"/>
      <c r="JM200" s="1"/>
      <c r="JN200" s="1"/>
      <c r="JO200" s="1"/>
      <c r="JP200" s="1"/>
      <c r="JQ200" s="1"/>
      <c r="JR200" s="1"/>
      <c r="JS200" s="1"/>
      <c r="JT200" s="1"/>
      <c r="JU200" s="1"/>
      <c r="JV200" s="1"/>
      <c r="JW200" s="1"/>
      <c r="JX200" s="1"/>
      <c r="JY200" s="1"/>
      <c r="JZ200" s="1"/>
      <c r="KA200" s="1"/>
      <c r="KB200" s="1"/>
      <c r="KC200" s="1"/>
      <c r="KD200" s="1"/>
      <c r="KE200" s="1"/>
      <c r="KF200" s="1"/>
      <c r="KG200" s="1"/>
      <c r="KH200" s="1"/>
      <c r="KI200" s="1"/>
      <c r="KJ200" s="1"/>
      <c r="KK200" s="1"/>
      <c r="KL200" s="1"/>
      <c r="KM200" s="1"/>
      <c r="KN200" s="1"/>
      <c r="KO200" s="1"/>
      <c r="KP200" s="1"/>
      <c r="KQ200" s="1"/>
      <c r="KR200" s="1"/>
      <c r="KS200" s="1"/>
      <c r="KT200" s="1"/>
      <c r="KU200" s="1"/>
      <c r="KV200" s="1"/>
      <c r="KW200" s="1"/>
      <c r="KX200" s="1"/>
      <c r="KY200" s="1"/>
      <c r="KZ200" s="1"/>
      <c r="LA200" s="1"/>
      <c r="LB200" s="1"/>
      <c r="LC200" s="1"/>
      <c r="LD200" s="1"/>
      <c r="LE200" s="1"/>
      <c r="LF200" s="1"/>
      <c r="LG200" s="1"/>
      <c r="LH200" s="1"/>
      <c r="LI200" s="1"/>
      <c r="LJ200" s="1"/>
      <c r="LK200" s="1"/>
      <c r="LL200" s="1"/>
      <c r="LM200" s="1"/>
      <c r="LN200" s="1"/>
      <c r="LO200" s="1"/>
      <c r="LP200" s="1"/>
      <c r="LQ200" s="1"/>
      <c r="LR200" s="1"/>
      <c r="LS200" s="1"/>
    </row>
    <row r="201" spans="1:331" s="68" customFormat="1" x14ac:dyDescent="0.25">
      <c r="A201" s="68" t="s">
        <v>744</v>
      </c>
      <c r="B201" s="70" t="s">
        <v>745</v>
      </c>
      <c r="C201" s="94" t="s">
        <v>1649</v>
      </c>
      <c r="D201" s="68">
        <v>1</v>
      </c>
      <c r="E201" s="68" t="s">
        <v>746</v>
      </c>
      <c r="H201" s="68" t="s">
        <v>747</v>
      </c>
      <c r="I201" s="68" t="s">
        <v>748</v>
      </c>
      <c r="J201" s="68" t="s">
        <v>747</v>
      </c>
      <c r="K201" s="68" t="s">
        <v>747</v>
      </c>
      <c r="L201" s="68">
        <v>0</v>
      </c>
      <c r="O201" s="68">
        <v>1</v>
      </c>
      <c r="P201" s="68" t="s">
        <v>747</v>
      </c>
      <c r="Q201" s="96"/>
      <c r="R201" s="96" t="s">
        <v>749</v>
      </c>
      <c r="S201" s="68">
        <v>24.9</v>
      </c>
      <c r="U201" s="68">
        <v>22</v>
      </c>
      <c r="W201" s="96">
        <v>22</v>
      </c>
      <c r="X201" s="96"/>
      <c r="Y201" s="96"/>
      <c r="Z201" s="68">
        <v>13</v>
      </c>
      <c r="AA201" s="94" t="b">
        <v>1</v>
      </c>
      <c r="AB201" s="1"/>
      <c r="AC201" s="57" t="s">
        <v>1295</v>
      </c>
      <c r="AD201" s="1"/>
      <c r="AE201" s="57"/>
      <c r="AF201" s="1"/>
      <c r="AG201" s="1"/>
      <c r="AH201" s="1"/>
      <c r="AI201" s="1"/>
      <c r="AJ201" s="1"/>
      <c r="AK201" s="1"/>
      <c r="AL201" s="1"/>
      <c r="AM201" s="1"/>
      <c r="AN201" s="1"/>
      <c r="AO201" s="1"/>
      <c r="AP201" s="1"/>
      <c r="AQ201" s="1"/>
      <c r="AR201" s="1"/>
      <c r="AS201" s="1"/>
      <c r="AT201" s="1"/>
      <c r="AU201" s="1"/>
      <c r="AV201" s="1"/>
      <c r="AW201" s="1"/>
      <c r="AX201" s="1"/>
      <c r="AY201" s="1"/>
      <c r="AZ201" s="1"/>
      <c r="BA201" s="1"/>
      <c r="BB201" s="1"/>
      <c r="BC201" s="1"/>
      <c r="BD201" s="1"/>
      <c r="BE201" s="1"/>
      <c r="BF201" s="1"/>
      <c r="BG201" s="1"/>
      <c r="BH201" s="1"/>
      <c r="BI201" s="1"/>
      <c r="BJ201" s="1"/>
      <c r="BK201" s="1"/>
      <c r="BL201" s="1"/>
      <c r="BM201" s="96"/>
      <c r="BN201" s="96"/>
      <c r="BO201" s="96"/>
      <c r="BP201" s="96"/>
      <c r="BQ201" s="96"/>
      <c r="BR201" s="96"/>
      <c r="BS201" s="96"/>
      <c r="BT201" s="96"/>
      <c r="BU201" s="96"/>
      <c r="BV201" s="96"/>
      <c r="BW201" s="96"/>
      <c r="BX201" s="96"/>
      <c r="BY201" s="96"/>
      <c r="BZ201" s="96"/>
      <c r="CA201" s="96"/>
      <c r="CB201" s="96"/>
      <c r="CC201" s="96"/>
      <c r="CD201" s="96"/>
      <c r="CE201" s="96"/>
      <c r="CF201" s="96"/>
      <c r="CG201" s="96"/>
      <c r="CH201" s="96"/>
      <c r="CI201" s="96"/>
      <c r="CJ201" s="96"/>
      <c r="CK201" s="96"/>
      <c r="CL201" s="96"/>
      <c r="CM201" s="96"/>
      <c r="CN201" s="96"/>
      <c r="CO201" s="96"/>
      <c r="CP201" s="96"/>
      <c r="CQ201" s="96"/>
      <c r="CR201" s="96"/>
      <c r="CS201" s="96"/>
      <c r="CT201" s="96"/>
    </row>
    <row r="202" spans="1:331" s="3" customFormat="1" x14ac:dyDescent="0.25">
      <c r="A202" s="3" t="s">
        <v>750</v>
      </c>
      <c r="B202" s="5" t="s">
        <v>751</v>
      </c>
      <c r="C202" s="94" t="s">
        <v>1649</v>
      </c>
      <c r="D202" s="3">
        <v>0</v>
      </c>
      <c r="H202" s="3" t="s">
        <v>752</v>
      </c>
      <c r="I202" s="3" t="s">
        <v>753</v>
      </c>
      <c r="J202" s="3" t="s">
        <v>754</v>
      </c>
      <c r="K202" s="3" t="s">
        <v>753</v>
      </c>
      <c r="L202" s="3">
        <v>1</v>
      </c>
      <c r="M202" s="3" t="s">
        <v>755</v>
      </c>
      <c r="O202" s="3">
        <v>1</v>
      </c>
      <c r="P202" s="3" t="s">
        <v>756</v>
      </c>
      <c r="Q202" s="96" t="s">
        <v>1569</v>
      </c>
      <c r="R202" s="96"/>
      <c r="S202" s="3">
        <v>13</v>
      </c>
      <c r="W202" s="96">
        <v>13</v>
      </c>
      <c r="X202" s="96"/>
      <c r="Y202" s="96"/>
      <c r="Z202" s="3">
        <v>1</v>
      </c>
      <c r="AA202" s="94" t="b">
        <v>1</v>
      </c>
      <c r="AB202" s="1"/>
      <c r="AC202" s="57" t="s">
        <v>1370</v>
      </c>
      <c r="AD202" s="1"/>
      <c r="AE202" t="s">
        <v>1866</v>
      </c>
      <c r="AF202" s="1"/>
      <c r="AG202" s="1"/>
      <c r="AH202" s="1"/>
      <c r="AI202" s="1"/>
      <c r="AJ202" s="1"/>
      <c r="AK202" s="1"/>
      <c r="AL202" s="1"/>
      <c r="AM202" s="1"/>
      <c r="AN202" s="1"/>
      <c r="AO202" s="1"/>
      <c r="AP202" s="1"/>
      <c r="AQ202" s="1"/>
      <c r="AR202" s="1"/>
      <c r="AS202" s="1"/>
      <c r="AT202" s="1"/>
      <c r="AU202" s="1"/>
      <c r="AV202" s="1"/>
      <c r="AW202" s="1"/>
      <c r="AX202" s="1"/>
      <c r="AY202" s="1"/>
      <c r="AZ202" s="1"/>
      <c r="BA202" s="1"/>
      <c r="BB202" s="1"/>
      <c r="BC202" s="1"/>
      <c r="BD202" s="1"/>
      <c r="BE202" s="1"/>
      <c r="BF202" s="1"/>
      <c r="BG202" s="1"/>
      <c r="BH202" s="1"/>
      <c r="BI202" s="1"/>
      <c r="BJ202" s="1"/>
      <c r="BK202" s="1"/>
      <c r="BL202" s="1"/>
      <c r="BM202" s="96"/>
      <c r="BN202" s="96"/>
      <c r="BO202" s="96"/>
      <c r="BP202" s="96"/>
      <c r="BQ202" s="96"/>
      <c r="BR202" s="96"/>
      <c r="BS202" s="96"/>
      <c r="BT202" s="96"/>
      <c r="BU202" s="96"/>
      <c r="BV202" s="96"/>
      <c r="BW202" s="96"/>
      <c r="BX202" s="96"/>
      <c r="BY202" s="96"/>
      <c r="BZ202" s="96"/>
      <c r="CA202" s="96"/>
      <c r="CB202" s="96"/>
      <c r="CC202" s="96"/>
      <c r="CD202" s="96"/>
      <c r="CE202" s="96"/>
      <c r="CF202" s="96"/>
      <c r="CG202" s="96"/>
      <c r="CH202" s="96"/>
      <c r="CI202" s="96"/>
      <c r="CJ202" s="96"/>
      <c r="CK202" s="96"/>
      <c r="CL202" s="96"/>
      <c r="CM202" s="96"/>
      <c r="CN202" s="96"/>
      <c r="CO202" s="96"/>
      <c r="CP202" s="96"/>
      <c r="CQ202" s="96"/>
      <c r="CR202" s="96"/>
      <c r="CS202" s="96"/>
      <c r="CT202" s="96"/>
      <c r="CU202" s="1"/>
      <c r="CV202" s="1"/>
      <c r="CW202" s="1"/>
      <c r="CX202" s="1"/>
      <c r="CY202" s="1"/>
      <c r="CZ202" s="1"/>
      <c r="DA202" s="1"/>
      <c r="DB202" s="1"/>
      <c r="DC202" s="1"/>
      <c r="DD202" s="1"/>
      <c r="DE202" s="1"/>
      <c r="DF202" s="1"/>
      <c r="DG202" s="1"/>
      <c r="DH202" s="1"/>
      <c r="DI202" s="1"/>
      <c r="DJ202" s="1"/>
      <c r="DK202" s="1"/>
      <c r="DL202" s="1"/>
      <c r="DM202" s="1"/>
      <c r="DN202" s="1"/>
      <c r="DO202" s="1"/>
      <c r="DP202" s="1"/>
      <c r="DQ202" s="1"/>
      <c r="DR202" s="1"/>
      <c r="DS202" s="1"/>
      <c r="DT202" s="1"/>
      <c r="DU202" s="1"/>
      <c r="DV202" s="1"/>
      <c r="DW202" s="1"/>
      <c r="DX202" s="1"/>
      <c r="DY202" s="1"/>
      <c r="DZ202" s="1"/>
      <c r="EA202" s="1"/>
      <c r="EB202" s="1"/>
      <c r="EC202" s="1"/>
      <c r="ED202" s="1"/>
      <c r="EE202" s="1"/>
      <c r="EF202" s="1"/>
      <c r="EG202" s="1"/>
      <c r="EH202" s="1"/>
      <c r="EI202" s="1"/>
      <c r="EJ202" s="1"/>
      <c r="EK202" s="1"/>
      <c r="EL202" s="1"/>
      <c r="EM202" s="1"/>
      <c r="EN202" s="1"/>
      <c r="EO202" s="1"/>
      <c r="EP202" s="1"/>
      <c r="EQ202" s="1"/>
      <c r="ER202" s="1"/>
      <c r="ES202" s="1"/>
      <c r="ET202" s="1"/>
      <c r="EU202" s="1"/>
      <c r="EV202" s="1"/>
      <c r="EW202" s="1"/>
      <c r="EX202" s="1"/>
      <c r="EY202" s="1"/>
      <c r="EZ202" s="1"/>
      <c r="FA202" s="1"/>
      <c r="FB202" s="1"/>
      <c r="FC202" s="1"/>
      <c r="FD202" s="1"/>
      <c r="FE202" s="1"/>
      <c r="FF202" s="1"/>
      <c r="FG202" s="1"/>
      <c r="FH202" s="1"/>
      <c r="FI202" s="1"/>
      <c r="FJ202" s="1"/>
      <c r="FK202" s="1"/>
      <c r="FL202" s="1"/>
      <c r="FM202" s="1"/>
      <c r="FN202" s="1"/>
      <c r="FO202" s="1"/>
      <c r="FP202" s="1"/>
      <c r="FQ202" s="1"/>
      <c r="FR202" s="1"/>
      <c r="FS202" s="1"/>
      <c r="FT202" s="1"/>
      <c r="FU202" s="1"/>
      <c r="FV202" s="1"/>
      <c r="FW202" s="1"/>
      <c r="FX202" s="1"/>
      <c r="FY202" s="1"/>
      <c r="FZ202" s="1"/>
      <c r="GA202" s="1"/>
      <c r="GB202" s="1"/>
      <c r="GC202" s="1"/>
      <c r="GD202" s="1"/>
      <c r="GE202" s="1"/>
      <c r="GF202" s="1"/>
      <c r="GG202" s="1"/>
      <c r="GH202" s="1"/>
      <c r="GI202" s="1"/>
      <c r="GJ202" s="1"/>
      <c r="GK202" s="1"/>
      <c r="GL202" s="1"/>
      <c r="GM202" s="1"/>
      <c r="GN202" s="1"/>
      <c r="GO202" s="1"/>
      <c r="GP202" s="1"/>
      <c r="GQ202" s="1"/>
      <c r="GR202" s="1"/>
      <c r="GS202" s="1"/>
      <c r="GT202" s="1"/>
      <c r="GU202" s="1"/>
      <c r="GV202" s="1"/>
      <c r="GW202" s="1"/>
      <c r="GX202" s="1"/>
      <c r="GY202" s="1"/>
      <c r="GZ202" s="1"/>
      <c r="HA202" s="1"/>
      <c r="HB202" s="1"/>
      <c r="HC202" s="1"/>
      <c r="HD202" s="1"/>
      <c r="HE202" s="1"/>
      <c r="HF202" s="1"/>
      <c r="HG202" s="1"/>
      <c r="HH202" s="1"/>
      <c r="HI202" s="1"/>
      <c r="HJ202" s="1"/>
      <c r="HK202" s="1"/>
      <c r="HL202" s="1"/>
      <c r="HM202" s="1"/>
      <c r="HN202" s="1"/>
      <c r="HO202" s="1"/>
      <c r="HP202" s="1"/>
      <c r="HQ202" s="1"/>
      <c r="HR202" s="1"/>
      <c r="HS202" s="1"/>
      <c r="HT202" s="1"/>
      <c r="HU202" s="1"/>
      <c r="HV202" s="1"/>
      <c r="HW202" s="1"/>
      <c r="HX202" s="1"/>
      <c r="HY202" s="1"/>
      <c r="HZ202" s="1"/>
      <c r="IA202" s="1"/>
      <c r="IB202" s="1"/>
      <c r="IC202" s="1"/>
      <c r="ID202" s="1"/>
      <c r="IE202" s="1"/>
      <c r="IF202" s="1"/>
      <c r="IG202" s="1"/>
      <c r="IH202" s="1"/>
      <c r="II202" s="1"/>
      <c r="IJ202" s="1"/>
      <c r="IK202" s="1"/>
      <c r="IL202" s="1"/>
      <c r="IM202" s="1"/>
      <c r="IN202" s="1"/>
      <c r="IO202" s="1"/>
      <c r="IP202" s="1"/>
      <c r="IQ202" s="1"/>
      <c r="IR202" s="1"/>
      <c r="IS202" s="1"/>
      <c r="IT202" s="1"/>
      <c r="IU202" s="1"/>
      <c r="IV202" s="1"/>
      <c r="IW202" s="1"/>
      <c r="IX202" s="1"/>
      <c r="IY202" s="1"/>
      <c r="IZ202" s="1"/>
      <c r="JA202" s="1"/>
      <c r="JB202" s="1"/>
      <c r="JC202" s="1"/>
      <c r="JD202" s="1"/>
      <c r="JE202" s="1"/>
      <c r="JF202" s="1"/>
      <c r="JG202" s="1"/>
      <c r="JH202" s="1"/>
      <c r="JI202" s="1"/>
      <c r="JJ202" s="1"/>
      <c r="JK202" s="1"/>
      <c r="JL202" s="1"/>
      <c r="JM202" s="1"/>
      <c r="JN202" s="1"/>
      <c r="JO202" s="1"/>
      <c r="JP202" s="1"/>
      <c r="JQ202" s="1"/>
      <c r="JR202" s="1"/>
      <c r="JS202" s="1"/>
      <c r="JT202" s="1"/>
      <c r="JU202" s="1"/>
      <c r="JV202" s="1"/>
      <c r="JW202" s="1"/>
      <c r="JX202" s="1"/>
      <c r="JY202" s="1"/>
      <c r="JZ202" s="1"/>
      <c r="KA202" s="1"/>
      <c r="KB202" s="1"/>
      <c r="KC202" s="1"/>
      <c r="KD202" s="1"/>
      <c r="KE202" s="1"/>
      <c r="KF202" s="1"/>
      <c r="KG202" s="1"/>
      <c r="KH202" s="1"/>
      <c r="KI202" s="1"/>
      <c r="KJ202" s="1"/>
      <c r="KK202" s="1"/>
      <c r="KL202" s="1"/>
      <c r="KM202" s="1"/>
      <c r="KN202" s="1"/>
      <c r="KO202" s="1"/>
      <c r="KP202" s="1"/>
      <c r="KQ202" s="1"/>
      <c r="KR202" s="1"/>
      <c r="KS202" s="1"/>
      <c r="KT202" s="1"/>
      <c r="KU202" s="1"/>
      <c r="KV202" s="1"/>
      <c r="KW202" s="1"/>
      <c r="KX202" s="1"/>
      <c r="KY202" s="1"/>
      <c r="KZ202" s="1"/>
      <c r="LA202" s="1"/>
      <c r="LB202" s="1"/>
      <c r="LC202" s="1"/>
      <c r="LD202" s="1"/>
      <c r="LE202" s="1"/>
      <c r="LF202" s="1"/>
      <c r="LG202" s="1"/>
      <c r="LH202" s="1"/>
      <c r="LI202" s="1"/>
      <c r="LJ202" s="1"/>
      <c r="LK202" s="1"/>
      <c r="LL202" s="1"/>
      <c r="LM202" s="1"/>
      <c r="LN202" s="1"/>
      <c r="LO202" s="1"/>
      <c r="LP202" s="1"/>
      <c r="LQ202" s="1"/>
      <c r="LR202" s="1"/>
      <c r="LS202" s="1"/>
    </row>
    <row r="203" spans="1:331" s="35" customFormat="1" x14ac:dyDescent="0.25">
      <c r="A203" s="35" t="s">
        <v>757</v>
      </c>
      <c r="B203" s="39" t="s">
        <v>758</v>
      </c>
      <c r="C203" s="94" t="s">
        <v>1649</v>
      </c>
      <c r="D203" s="35">
        <v>0</v>
      </c>
      <c r="H203" s="35" t="s">
        <v>759</v>
      </c>
      <c r="I203" s="35" t="s">
        <v>760</v>
      </c>
      <c r="J203" s="35" t="s">
        <v>761</v>
      </c>
      <c r="K203" s="35" t="s">
        <v>1695</v>
      </c>
      <c r="L203" s="35">
        <v>0</v>
      </c>
      <c r="O203" s="35">
        <v>1</v>
      </c>
      <c r="P203" s="35" t="s">
        <v>762</v>
      </c>
      <c r="Q203" s="96" t="s">
        <v>1570</v>
      </c>
      <c r="R203" s="96"/>
      <c r="S203" s="35">
        <v>16</v>
      </c>
      <c r="U203" s="35">
        <v>15</v>
      </c>
      <c r="W203" s="96">
        <v>15</v>
      </c>
      <c r="X203" s="96"/>
      <c r="Y203" s="96"/>
      <c r="Z203" s="35">
        <v>7</v>
      </c>
      <c r="AA203" s="94" t="b">
        <v>1</v>
      </c>
      <c r="AB203" s="1"/>
      <c r="AC203" s="57" t="s">
        <v>1296</v>
      </c>
      <c r="AD203" s="1"/>
      <c r="AE203" s="57"/>
      <c r="AF203" s="1"/>
      <c r="AG203" s="1"/>
      <c r="AH203" s="1"/>
      <c r="AI203" s="1"/>
      <c r="AJ203" s="1"/>
      <c r="AK203" s="1"/>
      <c r="AL203" s="1"/>
      <c r="AM203" s="1"/>
      <c r="AN203" s="1"/>
      <c r="AO203" s="1"/>
      <c r="AP203" s="1"/>
      <c r="AQ203" s="1"/>
      <c r="AR203" s="1"/>
      <c r="AS203" s="1"/>
      <c r="AT203" s="1"/>
      <c r="AU203" s="1"/>
      <c r="AV203" s="1"/>
      <c r="AW203" s="1"/>
      <c r="AX203" s="1"/>
      <c r="AY203" s="1"/>
      <c r="AZ203" s="1"/>
      <c r="BA203" s="1"/>
      <c r="BB203" s="1"/>
      <c r="BC203" s="1"/>
      <c r="BD203" s="1"/>
      <c r="BE203" s="1"/>
      <c r="BF203" s="1"/>
      <c r="BG203" s="1"/>
      <c r="BH203" s="1"/>
      <c r="BI203" s="1"/>
      <c r="BJ203" s="1"/>
      <c r="BK203" s="1"/>
      <c r="BL203" s="1"/>
      <c r="BM203" s="96"/>
      <c r="BN203" s="96"/>
      <c r="BO203" s="96"/>
      <c r="BP203" s="96"/>
      <c r="BQ203" s="96"/>
      <c r="BR203" s="96"/>
      <c r="BS203" s="96"/>
      <c r="BT203" s="96"/>
      <c r="BU203" s="96"/>
      <c r="BV203" s="96"/>
      <c r="BW203" s="96"/>
      <c r="BX203" s="96"/>
      <c r="BY203" s="96"/>
      <c r="BZ203" s="96"/>
      <c r="CA203" s="96"/>
      <c r="CB203" s="96"/>
      <c r="CC203" s="96"/>
      <c r="CD203" s="96"/>
      <c r="CE203" s="96"/>
      <c r="CF203" s="96"/>
      <c r="CG203" s="96"/>
      <c r="CH203" s="96"/>
      <c r="CI203" s="96"/>
      <c r="CJ203" s="96"/>
      <c r="CK203" s="96"/>
      <c r="CL203" s="96"/>
      <c r="CM203" s="96"/>
      <c r="CN203" s="96"/>
      <c r="CO203" s="96"/>
      <c r="CP203" s="96"/>
      <c r="CQ203" s="96"/>
      <c r="CR203" s="96"/>
      <c r="CS203" s="96"/>
      <c r="CT203" s="96"/>
      <c r="CU203" s="1"/>
      <c r="CV203" s="1"/>
      <c r="CW203" s="1"/>
      <c r="CX203" s="1"/>
      <c r="CY203" s="1"/>
      <c r="CZ203" s="1"/>
      <c r="DA203" s="1"/>
      <c r="DB203" s="1"/>
      <c r="DC203" s="1"/>
      <c r="DD203" s="1"/>
      <c r="DE203" s="1"/>
      <c r="DF203" s="1"/>
      <c r="DG203" s="1"/>
      <c r="DH203" s="1"/>
      <c r="DI203" s="1"/>
      <c r="DJ203" s="1"/>
      <c r="DK203" s="1"/>
      <c r="DL203" s="1"/>
      <c r="DM203" s="1"/>
      <c r="DN203" s="1"/>
      <c r="DO203" s="1"/>
      <c r="DP203" s="1"/>
      <c r="DQ203" s="1"/>
      <c r="DR203" s="1"/>
      <c r="DS203" s="1"/>
      <c r="DT203" s="1"/>
      <c r="DU203" s="1"/>
      <c r="DV203" s="1"/>
      <c r="DW203" s="1"/>
      <c r="DX203" s="1"/>
      <c r="DY203" s="1"/>
      <c r="DZ203" s="1"/>
      <c r="EA203" s="1"/>
      <c r="EB203" s="1"/>
      <c r="EC203" s="1"/>
      <c r="ED203" s="1"/>
      <c r="EE203" s="1"/>
      <c r="EF203" s="1"/>
      <c r="EG203" s="1"/>
      <c r="EH203" s="1"/>
      <c r="EI203" s="1"/>
      <c r="EJ203" s="1"/>
      <c r="EK203" s="1"/>
      <c r="EL203" s="1"/>
      <c r="EM203" s="1"/>
      <c r="EN203" s="1"/>
      <c r="EO203" s="1"/>
      <c r="EP203" s="1"/>
      <c r="EQ203" s="1"/>
      <c r="ER203" s="1"/>
      <c r="ES203" s="1"/>
      <c r="ET203" s="1"/>
      <c r="EU203" s="1"/>
      <c r="EV203" s="1"/>
      <c r="EW203" s="1"/>
      <c r="EX203" s="1"/>
      <c r="EY203" s="1"/>
      <c r="EZ203" s="1"/>
      <c r="FA203" s="1"/>
      <c r="FB203" s="1"/>
      <c r="FC203" s="1"/>
      <c r="FD203" s="1"/>
      <c r="FE203" s="1"/>
      <c r="FF203" s="1"/>
      <c r="FG203" s="1"/>
      <c r="FH203" s="1"/>
      <c r="FI203" s="1"/>
      <c r="FJ203" s="1"/>
      <c r="FK203" s="1"/>
      <c r="FL203" s="1"/>
      <c r="FM203" s="1"/>
      <c r="FN203" s="1"/>
      <c r="FO203" s="1"/>
      <c r="FP203" s="1"/>
      <c r="FQ203" s="1"/>
      <c r="FR203" s="1"/>
      <c r="FS203" s="1"/>
      <c r="FT203" s="1"/>
      <c r="FU203" s="1"/>
      <c r="FV203" s="1"/>
      <c r="FW203" s="1"/>
      <c r="FX203" s="1"/>
      <c r="FY203" s="1"/>
      <c r="FZ203" s="1"/>
      <c r="GA203" s="1"/>
      <c r="GB203" s="1"/>
      <c r="GC203" s="1"/>
      <c r="GD203" s="1"/>
      <c r="GE203" s="1"/>
      <c r="GF203" s="1"/>
      <c r="GG203" s="1"/>
      <c r="GH203" s="1"/>
      <c r="GI203" s="1"/>
      <c r="GJ203" s="1"/>
      <c r="GK203" s="1"/>
      <c r="GL203" s="1"/>
      <c r="GM203" s="1"/>
      <c r="GN203" s="1"/>
      <c r="GO203" s="1"/>
      <c r="GP203" s="1"/>
      <c r="GQ203" s="1"/>
      <c r="GR203" s="1"/>
      <c r="GS203" s="1"/>
      <c r="GT203" s="1"/>
      <c r="GU203" s="1"/>
      <c r="GV203" s="1"/>
      <c r="GW203" s="1"/>
      <c r="GX203" s="1"/>
      <c r="GY203" s="1"/>
      <c r="GZ203" s="1"/>
      <c r="HA203" s="1"/>
      <c r="HB203" s="1"/>
      <c r="HC203" s="1"/>
      <c r="HD203" s="1"/>
      <c r="HE203" s="1"/>
      <c r="HF203" s="1"/>
      <c r="HG203" s="1"/>
      <c r="HH203" s="1"/>
      <c r="HI203" s="1"/>
      <c r="HJ203" s="1"/>
      <c r="HK203" s="1"/>
      <c r="HL203" s="1"/>
      <c r="HM203" s="1"/>
      <c r="HN203" s="1"/>
      <c r="HO203" s="1"/>
      <c r="HP203" s="1"/>
      <c r="HQ203" s="1"/>
      <c r="HR203" s="1"/>
      <c r="HS203" s="1"/>
      <c r="HT203" s="1"/>
      <c r="HU203" s="1"/>
      <c r="HV203" s="1"/>
      <c r="HW203" s="1"/>
      <c r="HX203" s="1"/>
      <c r="HY203" s="1"/>
      <c r="HZ203" s="1"/>
      <c r="IA203" s="1"/>
      <c r="IB203" s="1"/>
      <c r="IC203" s="1"/>
      <c r="ID203" s="1"/>
      <c r="IE203" s="1"/>
      <c r="IF203" s="1"/>
      <c r="IG203" s="1"/>
      <c r="IH203" s="1"/>
      <c r="II203" s="1"/>
      <c r="IJ203" s="1"/>
      <c r="IK203" s="1"/>
      <c r="IL203" s="1"/>
      <c r="IM203" s="1"/>
      <c r="IN203" s="1"/>
      <c r="IO203" s="1"/>
      <c r="IP203" s="1"/>
      <c r="IQ203" s="1"/>
      <c r="IR203" s="1"/>
      <c r="IS203" s="1"/>
      <c r="IT203" s="1"/>
      <c r="IU203" s="1"/>
      <c r="IV203" s="1"/>
      <c r="IW203" s="1"/>
      <c r="IX203" s="1"/>
      <c r="IY203" s="1"/>
      <c r="IZ203" s="1"/>
      <c r="JA203" s="1"/>
      <c r="JB203" s="1"/>
      <c r="JC203" s="1"/>
      <c r="JD203" s="1"/>
      <c r="JE203" s="1"/>
      <c r="JF203" s="1"/>
      <c r="JG203" s="1"/>
      <c r="JH203" s="1"/>
      <c r="JI203" s="1"/>
      <c r="JJ203" s="1"/>
      <c r="JK203" s="1"/>
      <c r="JL203" s="1"/>
      <c r="JM203" s="1"/>
      <c r="JN203" s="1"/>
      <c r="JO203" s="1"/>
      <c r="JP203" s="1"/>
      <c r="JQ203" s="1"/>
      <c r="JR203" s="1"/>
      <c r="JS203" s="1"/>
      <c r="JT203" s="1"/>
      <c r="JU203" s="1"/>
      <c r="JV203" s="1"/>
      <c r="JW203" s="1"/>
      <c r="JX203" s="1"/>
      <c r="JY203" s="1"/>
      <c r="JZ203" s="1"/>
      <c r="KA203" s="1"/>
      <c r="KB203" s="1"/>
      <c r="KC203" s="1"/>
      <c r="KD203" s="1"/>
      <c r="KE203" s="1"/>
      <c r="KF203" s="1"/>
      <c r="KG203" s="1"/>
      <c r="KH203" s="1"/>
      <c r="KI203" s="1"/>
      <c r="KJ203" s="1"/>
      <c r="KK203" s="1"/>
      <c r="KL203" s="1"/>
      <c r="KM203" s="1"/>
      <c r="KN203" s="1"/>
      <c r="KO203" s="1"/>
      <c r="KP203" s="1"/>
      <c r="KQ203" s="1"/>
      <c r="KR203" s="1"/>
      <c r="KS203" s="1"/>
      <c r="KT203" s="1"/>
      <c r="KU203" s="1"/>
      <c r="KV203" s="1"/>
      <c r="KW203" s="1"/>
      <c r="KX203" s="1"/>
      <c r="KY203" s="1"/>
      <c r="KZ203" s="1"/>
      <c r="LA203" s="1"/>
      <c r="LB203" s="1"/>
      <c r="LC203" s="1"/>
      <c r="LD203" s="1"/>
      <c r="LE203" s="1"/>
      <c r="LF203" s="1"/>
      <c r="LG203" s="1"/>
      <c r="LH203" s="1"/>
      <c r="LI203" s="1"/>
      <c r="LJ203" s="1"/>
      <c r="LK203" s="1"/>
      <c r="LL203" s="1"/>
      <c r="LM203" s="1"/>
      <c r="LN203" s="1"/>
      <c r="LO203" s="1"/>
      <c r="LP203" s="1"/>
      <c r="LQ203" s="1"/>
      <c r="LR203" s="1"/>
      <c r="LS203" s="1"/>
    </row>
    <row r="204" spans="1:331" s="49" customFormat="1" x14ac:dyDescent="0.25">
      <c r="A204" s="49" t="s">
        <v>763</v>
      </c>
      <c r="B204" s="51" t="s">
        <v>764</v>
      </c>
      <c r="C204" s="94" t="s">
        <v>1649</v>
      </c>
      <c r="D204" s="49">
        <v>0</v>
      </c>
      <c r="H204" s="49" t="s">
        <v>765</v>
      </c>
      <c r="I204" s="49" t="s">
        <v>766</v>
      </c>
      <c r="J204" s="49" t="s">
        <v>767</v>
      </c>
      <c r="K204" s="49" t="s">
        <v>99</v>
      </c>
      <c r="L204" s="49">
        <v>0</v>
      </c>
      <c r="O204" s="49">
        <v>1</v>
      </c>
      <c r="Q204" s="96"/>
      <c r="R204" s="96" t="s">
        <v>90</v>
      </c>
      <c r="S204" s="49">
        <v>7</v>
      </c>
      <c r="W204" s="96">
        <v>7</v>
      </c>
      <c r="X204" s="96"/>
      <c r="Y204" s="96"/>
      <c r="Z204" s="49">
        <v>9</v>
      </c>
      <c r="AA204" s="94" t="b">
        <v>1</v>
      </c>
      <c r="AB204" s="1"/>
      <c r="AC204" s="57" t="s">
        <v>1297</v>
      </c>
      <c r="AD204" s="1"/>
      <c r="AE204" s="57"/>
      <c r="AF204" s="1"/>
      <c r="AG204" s="1"/>
      <c r="AH204" s="1"/>
      <c r="AI204" s="1"/>
      <c r="AJ204" s="1"/>
      <c r="AK204" s="1"/>
      <c r="AL204" s="1"/>
      <c r="AM204" s="1"/>
      <c r="AN204" s="1"/>
      <c r="AO204" s="1"/>
      <c r="AP204" s="1"/>
      <c r="AQ204" s="1"/>
      <c r="AR204" s="1"/>
      <c r="AS204" s="1"/>
      <c r="AT204" s="1"/>
      <c r="AU204" s="1"/>
      <c r="AV204" s="1"/>
      <c r="AW204" s="1"/>
      <c r="AX204" s="1"/>
      <c r="AY204" s="1"/>
      <c r="AZ204" s="1"/>
      <c r="BA204" s="1"/>
      <c r="BB204" s="1"/>
      <c r="BC204" s="1"/>
      <c r="BD204" s="1"/>
      <c r="BE204" s="1"/>
      <c r="BF204" s="1"/>
      <c r="BG204" s="1"/>
      <c r="BH204" s="1"/>
      <c r="BI204" s="1"/>
      <c r="BJ204" s="1"/>
      <c r="BK204" s="1"/>
      <c r="BL204" s="1"/>
      <c r="BM204" s="96"/>
      <c r="BN204" s="96"/>
      <c r="BO204" s="96"/>
      <c r="BP204" s="96"/>
      <c r="BQ204" s="96"/>
      <c r="BR204" s="96"/>
      <c r="BS204" s="96"/>
      <c r="BT204" s="96"/>
      <c r="BU204" s="96"/>
      <c r="BV204" s="96"/>
      <c r="BW204" s="96"/>
      <c r="BX204" s="96"/>
      <c r="BY204" s="96"/>
      <c r="BZ204" s="96"/>
      <c r="CA204" s="96"/>
      <c r="CB204" s="96"/>
      <c r="CC204" s="96"/>
      <c r="CD204" s="96"/>
      <c r="CE204" s="96"/>
      <c r="CF204" s="96"/>
      <c r="CG204" s="96"/>
      <c r="CH204" s="96"/>
      <c r="CI204" s="96"/>
      <c r="CJ204" s="96"/>
      <c r="CK204" s="96"/>
      <c r="CL204" s="96"/>
      <c r="CM204" s="96"/>
      <c r="CN204" s="96"/>
      <c r="CO204" s="96"/>
      <c r="CP204" s="96"/>
      <c r="CQ204" s="96"/>
      <c r="CR204" s="96"/>
      <c r="CS204" s="96"/>
      <c r="CT204" s="96"/>
      <c r="CU204" s="1"/>
      <c r="CV204" s="1"/>
      <c r="CW204" s="1"/>
      <c r="CX204" s="1"/>
      <c r="CY204" s="1"/>
      <c r="CZ204" s="1"/>
      <c r="DA204" s="1"/>
      <c r="DB204" s="1"/>
      <c r="DC204" s="1"/>
      <c r="DD204" s="1"/>
      <c r="DE204" s="1"/>
      <c r="DF204" s="1"/>
      <c r="DG204" s="1"/>
      <c r="DH204" s="1"/>
      <c r="DI204" s="1"/>
      <c r="DJ204" s="1"/>
      <c r="DK204" s="1"/>
      <c r="DL204" s="1"/>
      <c r="DM204" s="1"/>
      <c r="DN204" s="1"/>
      <c r="DO204" s="1"/>
      <c r="DP204" s="1"/>
      <c r="DQ204" s="1"/>
      <c r="DR204" s="1"/>
      <c r="DS204" s="1"/>
      <c r="DT204" s="1"/>
      <c r="DU204" s="1"/>
      <c r="DV204" s="1"/>
      <c r="DW204" s="1"/>
      <c r="DX204" s="1"/>
      <c r="DY204" s="1"/>
      <c r="DZ204" s="1"/>
      <c r="EA204" s="1"/>
      <c r="EB204" s="1"/>
      <c r="EC204" s="1"/>
      <c r="ED204" s="1"/>
      <c r="EE204" s="1"/>
      <c r="EF204" s="1"/>
      <c r="EG204" s="1"/>
      <c r="EH204" s="1"/>
      <c r="EI204" s="1"/>
      <c r="EJ204" s="1"/>
      <c r="EK204" s="1"/>
      <c r="EL204" s="1"/>
      <c r="EM204" s="1"/>
      <c r="EN204" s="1"/>
      <c r="EO204" s="1"/>
      <c r="EP204" s="1"/>
      <c r="EQ204" s="1"/>
      <c r="ER204" s="1"/>
      <c r="ES204" s="1"/>
      <c r="ET204" s="1"/>
      <c r="EU204" s="1"/>
      <c r="EV204" s="1"/>
      <c r="EW204" s="1"/>
      <c r="EX204" s="1"/>
      <c r="EY204" s="1"/>
      <c r="EZ204" s="1"/>
      <c r="FA204" s="1"/>
      <c r="FB204" s="1"/>
      <c r="FC204" s="1"/>
      <c r="FD204" s="1"/>
      <c r="FE204" s="1"/>
      <c r="FF204" s="1"/>
      <c r="FG204" s="1"/>
      <c r="FH204" s="1"/>
      <c r="FI204" s="1"/>
      <c r="FJ204" s="1"/>
      <c r="FK204" s="1"/>
      <c r="FL204" s="1"/>
      <c r="FM204" s="1"/>
      <c r="FN204" s="1"/>
      <c r="FO204" s="1"/>
      <c r="FP204" s="1"/>
      <c r="FQ204" s="1"/>
      <c r="FR204" s="1"/>
      <c r="FS204" s="1"/>
      <c r="FT204" s="1"/>
      <c r="FU204" s="1"/>
      <c r="FV204" s="1"/>
      <c r="FW204" s="1"/>
      <c r="FX204" s="1"/>
      <c r="FY204" s="1"/>
      <c r="FZ204" s="1"/>
      <c r="GA204" s="1"/>
      <c r="GB204" s="1"/>
      <c r="GC204" s="1"/>
      <c r="GD204" s="1"/>
      <c r="GE204" s="1"/>
      <c r="GF204" s="1"/>
      <c r="GG204" s="1"/>
      <c r="GH204" s="1"/>
      <c r="GI204" s="1"/>
      <c r="GJ204" s="1"/>
      <c r="GK204" s="1"/>
      <c r="GL204" s="1"/>
      <c r="GM204" s="1"/>
      <c r="GN204" s="1"/>
      <c r="GO204" s="1"/>
      <c r="GP204" s="1"/>
      <c r="GQ204" s="1"/>
      <c r="GR204" s="1"/>
      <c r="GS204" s="1"/>
      <c r="GT204" s="1"/>
      <c r="GU204" s="1"/>
      <c r="GV204" s="1"/>
      <c r="GW204" s="1"/>
      <c r="GX204" s="1"/>
      <c r="GY204" s="1"/>
      <c r="GZ204" s="1"/>
      <c r="HA204" s="1"/>
      <c r="HB204" s="1"/>
      <c r="HC204" s="1"/>
      <c r="HD204" s="1"/>
      <c r="HE204" s="1"/>
      <c r="HF204" s="1"/>
      <c r="HG204" s="1"/>
      <c r="HH204" s="1"/>
      <c r="HI204" s="1"/>
      <c r="HJ204" s="1"/>
      <c r="HK204" s="1"/>
      <c r="HL204" s="1"/>
      <c r="HM204" s="1"/>
      <c r="HN204" s="1"/>
      <c r="HO204" s="1"/>
      <c r="HP204" s="1"/>
      <c r="HQ204" s="1"/>
      <c r="HR204" s="1"/>
      <c r="HS204" s="1"/>
      <c r="HT204" s="1"/>
      <c r="HU204" s="1"/>
      <c r="HV204" s="1"/>
      <c r="HW204" s="1"/>
      <c r="HX204" s="1"/>
      <c r="HY204" s="1"/>
      <c r="HZ204" s="1"/>
      <c r="IA204" s="1"/>
      <c r="IB204" s="1"/>
      <c r="IC204" s="1"/>
      <c r="ID204" s="1"/>
      <c r="IE204" s="1"/>
      <c r="IF204" s="1"/>
      <c r="IG204" s="1"/>
      <c r="IH204" s="1"/>
      <c r="II204" s="1"/>
      <c r="IJ204" s="1"/>
      <c r="IK204" s="1"/>
      <c r="IL204" s="1"/>
      <c r="IM204" s="1"/>
      <c r="IN204" s="1"/>
      <c r="IO204" s="1"/>
      <c r="IP204" s="1"/>
      <c r="IQ204" s="1"/>
      <c r="IR204" s="1"/>
      <c r="IS204" s="1"/>
      <c r="IT204" s="1"/>
      <c r="IU204" s="1"/>
      <c r="IV204" s="1"/>
      <c r="IW204" s="1"/>
      <c r="IX204" s="1"/>
      <c r="IY204" s="1"/>
      <c r="IZ204" s="1"/>
      <c r="JA204" s="1"/>
      <c r="JB204" s="1"/>
      <c r="JC204" s="1"/>
      <c r="JD204" s="1"/>
      <c r="JE204" s="1"/>
      <c r="JF204" s="1"/>
      <c r="JG204" s="1"/>
      <c r="JH204" s="1"/>
      <c r="JI204" s="1"/>
      <c r="JJ204" s="1"/>
      <c r="JK204" s="1"/>
      <c r="JL204" s="1"/>
      <c r="JM204" s="1"/>
      <c r="JN204" s="1"/>
      <c r="JO204" s="1"/>
      <c r="JP204" s="1"/>
      <c r="JQ204" s="1"/>
      <c r="JR204" s="1"/>
      <c r="JS204" s="1"/>
      <c r="JT204" s="1"/>
      <c r="JU204" s="1"/>
      <c r="JV204" s="1"/>
      <c r="JW204" s="1"/>
      <c r="JX204" s="1"/>
      <c r="JY204" s="1"/>
      <c r="JZ204" s="1"/>
      <c r="KA204" s="1"/>
      <c r="KB204" s="1"/>
      <c r="KC204" s="1"/>
      <c r="KD204" s="1"/>
      <c r="KE204" s="1"/>
      <c r="KF204" s="1"/>
      <c r="KG204" s="1"/>
      <c r="KH204" s="1"/>
      <c r="KI204" s="1"/>
      <c r="KJ204" s="1"/>
      <c r="KK204" s="1"/>
      <c r="KL204" s="1"/>
      <c r="KM204" s="1"/>
      <c r="KN204" s="1"/>
      <c r="KO204" s="1"/>
      <c r="KP204" s="1"/>
      <c r="KQ204" s="1"/>
      <c r="KR204" s="1"/>
      <c r="KS204" s="1"/>
      <c r="KT204" s="1"/>
      <c r="KU204" s="1"/>
      <c r="KV204" s="1"/>
      <c r="KW204" s="1"/>
      <c r="KX204" s="1"/>
      <c r="KY204" s="1"/>
      <c r="KZ204" s="1"/>
      <c r="LA204" s="1"/>
      <c r="LB204" s="1"/>
      <c r="LC204" s="1"/>
      <c r="LD204" s="1"/>
      <c r="LE204" s="1"/>
      <c r="LF204" s="1"/>
      <c r="LG204" s="1"/>
      <c r="LH204" s="1"/>
      <c r="LI204" s="1"/>
      <c r="LJ204" s="1"/>
      <c r="LK204" s="1"/>
      <c r="LL204" s="1"/>
      <c r="LM204" s="1"/>
      <c r="LN204" s="1"/>
      <c r="LO204" s="1"/>
      <c r="LP204" s="1"/>
      <c r="LQ204" s="1"/>
      <c r="LR204" s="1"/>
      <c r="LS204" s="1"/>
    </row>
    <row r="205" spans="1:331" s="40" customFormat="1" x14ac:dyDescent="0.25">
      <c r="A205" s="40" t="s">
        <v>768</v>
      </c>
      <c r="B205" s="44" t="s">
        <v>769</v>
      </c>
      <c r="C205" s="94" t="s">
        <v>1649</v>
      </c>
      <c r="D205" s="40">
        <v>0</v>
      </c>
      <c r="H205" s="40" t="s">
        <v>770</v>
      </c>
      <c r="I205" s="40" t="s">
        <v>770</v>
      </c>
      <c r="J205" s="40" t="s">
        <v>771</v>
      </c>
      <c r="K205" s="40" t="s">
        <v>1696</v>
      </c>
      <c r="L205" s="40">
        <v>0</v>
      </c>
      <c r="O205" s="40">
        <v>1</v>
      </c>
      <c r="P205" s="40" t="s">
        <v>772</v>
      </c>
      <c r="Q205" s="96" t="s">
        <v>346</v>
      </c>
      <c r="R205" s="96"/>
      <c r="S205" s="40">
        <v>4.3</v>
      </c>
      <c r="T205" s="40">
        <v>20.9</v>
      </c>
      <c r="U205" s="40">
        <v>8</v>
      </c>
      <c r="W205" s="96">
        <v>21</v>
      </c>
      <c r="X205" s="96"/>
      <c r="Y205" s="96"/>
      <c r="Z205" s="40">
        <v>8</v>
      </c>
      <c r="AA205" s="94" t="b">
        <v>1</v>
      </c>
      <c r="AB205" s="1"/>
      <c r="AC205" s="57" t="s">
        <v>1916</v>
      </c>
      <c r="AD205" s="1"/>
      <c r="AE205" s="57"/>
      <c r="AF205" s="1"/>
      <c r="AG205" s="1"/>
      <c r="AH205" s="1"/>
      <c r="AI205" s="1"/>
      <c r="AJ205" s="1"/>
      <c r="AK205" s="1"/>
      <c r="AL205" s="1"/>
      <c r="AM205" s="1"/>
      <c r="AN205" s="1"/>
      <c r="AO205" s="1"/>
      <c r="AP205" s="1"/>
      <c r="AQ205" s="1"/>
      <c r="AR205" s="1"/>
      <c r="AS205" s="1"/>
      <c r="AT205" s="1"/>
      <c r="AU205" s="1"/>
      <c r="AV205" s="1"/>
      <c r="AW205" s="1"/>
      <c r="AX205" s="1"/>
      <c r="AY205" s="1"/>
      <c r="AZ205" s="1"/>
      <c r="BA205" s="1"/>
      <c r="BB205" s="1"/>
      <c r="BC205" s="1"/>
      <c r="BD205" s="1"/>
      <c r="BE205" s="1"/>
      <c r="BF205" s="1"/>
      <c r="BG205" s="1"/>
      <c r="BH205" s="1"/>
      <c r="BI205" s="1"/>
      <c r="BJ205" s="1"/>
      <c r="BK205" s="1"/>
      <c r="BL205" s="1"/>
      <c r="BM205" s="96"/>
      <c r="BN205" s="96"/>
      <c r="BO205" s="96"/>
      <c r="BP205" s="96"/>
      <c r="BQ205" s="96"/>
      <c r="BR205" s="96"/>
      <c r="BS205" s="96"/>
      <c r="BT205" s="96"/>
      <c r="BU205" s="96"/>
      <c r="BV205" s="96"/>
      <c r="BW205" s="96"/>
      <c r="BX205" s="96"/>
      <c r="BY205" s="96"/>
      <c r="BZ205" s="96"/>
      <c r="CA205" s="96"/>
      <c r="CB205" s="96"/>
      <c r="CC205" s="96"/>
      <c r="CD205" s="96"/>
      <c r="CE205" s="96"/>
      <c r="CF205" s="96"/>
      <c r="CG205" s="96"/>
      <c r="CH205" s="96"/>
      <c r="CI205" s="96"/>
      <c r="CJ205" s="96"/>
      <c r="CK205" s="96"/>
      <c r="CL205" s="96"/>
      <c r="CM205" s="96"/>
      <c r="CN205" s="96"/>
      <c r="CO205" s="96"/>
      <c r="CP205" s="96"/>
      <c r="CQ205" s="96"/>
      <c r="CR205" s="96"/>
      <c r="CS205" s="96"/>
      <c r="CT205" s="96"/>
      <c r="CU205" s="1"/>
      <c r="CV205" s="1"/>
      <c r="CW205" s="1"/>
      <c r="CX205" s="1"/>
      <c r="CY205" s="1"/>
      <c r="CZ205" s="1"/>
      <c r="DA205" s="1"/>
      <c r="DB205" s="1"/>
      <c r="DC205" s="1"/>
      <c r="DD205" s="1"/>
      <c r="DE205" s="1"/>
      <c r="DF205" s="1"/>
      <c r="DG205" s="1"/>
      <c r="DH205" s="1"/>
      <c r="DI205" s="1"/>
      <c r="DJ205" s="1"/>
      <c r="DK205" s="1"/>
      <c r="DL205" s="1"/>
      <c r="DM205" s="1"/>
      <c r="DN205" s="1"/>
      <c r="DO205" s="1"/>
      <c r="DP205" s="1"/>
      <c r="DQ205" s="1"/>
      <c r="DR205" s="1"/>
      <c r="DS205" s="1"/>
      <c r="DT205" s="1"/>
      <c r="DU205" s="1"/>
      <c r="DV205" s="1"/>
      <c r="DW205" s="1"/>
      <c r="DX205" s="1"/>
      <c r="DY205" s="1"/>
      <c r="DZ205" s="1"/>
      <c r="EA205" s="1"/>
      <c r="EB205" s="1"/>
      <c r="EC205" s="1"/>
      <c r="ED205" s="1"/>
      <c r="EE205" s="1"/>
      <c r="EF205" s="1"/>
      <c r="EG205" s="1"/>
      <c r="EH205" s="1"/>
      <c r="EI205" s="1"/>
      <c r="EJ205" s="1"/>
      <c r="EK205" s="1"/>
      <c r="EL205" s="1"/>
      <c r="EM205" s="1"/>
      <c r="EN205" s="1"/>
      <c r="EO205" s="1"/>
      <c r="EP205" s="1"/>
      <c r="EQ205" s="1"/>
      <c r="ER205" s="1"/>
      <c r="ES205" s="1"/>
      <c r="ET205" s="1"/>
      <c r="EU205" s="1"/>
      <c r="EV205" s="1"/>
      <c r="EW205" s="1"/>
      <c r="EX205" s="1"/>
      <c r="EY205" s="1"/>
      <c r="EZ205" s="1"/>
      <c r="FA205" s="1"/>
      <c r="FB205" s="1"/>
      <c r="FC205" s="1"/>
      <c r="FD205" s="1"/>
      <c r="FE205" s="1"/>
      <c r="FF205" s="1"/>
      <c r="FG205" s="1"/>
      <c r="FH205" s="1"/>
      <c r="FI205" s="1"/>
      <c r="FJ205" s="1"/>
      <c r="FK205" s="1"/>
      <c r="FL205" s="1"/>
      <c r="FM205" s="1"/>
      <c r="FN205" s="1"/>
      <c r="FO205" s="1"/>
      <c r="FP205" s="1"/>
      <c r="FQ205" s="1"/>
      <c r="FR205" s="1"/>
      <c r="FS205" s="1"/>
      <c r="FT205" s="1"/>
      <c r="FU205" s="1"/>
      <c r="FV205" s="1"/>
      <c r="FW205" s="1"/>
      <c r="FX205" s="1"/>
      <c r="FY205" s="1"/>
      <c r="FZ205" s="1"/>
      <c r="GA205" s="1"/>
      <c r="GB205" s="1"/>
      <c r="GC205" s="1"/>
      <c r="GD205" s="1"/>
      <c r="GE205" s="1"/>
      <c r="GF205" s="1"/>
      <c r="GG205" s="1"/>
      <c r="GH205" s="1"/>
      <c r="GI205" s="1"/>
      <c r="GJ205" s="1"/>
      <c r="GK205" s="1"/>
      <c r="GL205" s="1"/>
      <c r="GM205" s="1"/>
      <c r="GN205" s="1"/>
      <c r="GO205" s="1"/>
      <c r="GP205" s="1"/>
      <c r="GQ205" s="1"/>
      <c r="GR205" s="1"/>
      <c r="GS205" s="1"/>
      <c r="GT205" s="1"/>
      <c r="GU205" s="1"/>
      <c r="GV205" s="1"/>
      <c r="GW205" s="1"/>
      <c r="GX205" s="1"/>
      <c r="GY205" s="1"/>
      <c r="GZ205" s="1"/>
      <c r="HA205" s="1"/>
      <c r="HB205" s="1"/>
      <c r="HC205" s="1"/>
      <c r="HD205" s="1"/>
      <c r="HE205" s="1"/>
      <c r="HF205" s="1"/>
      <c r="HG205" s="1"/>
      <c r="HH205" s="1"/>
      <c r="HI205" s="1"/>
      <c r="HJ205" s="1"/>
      <c r="HK205" s="1"/>
      <c r="HL205" s="1"/>
      <c r="HM205" s="1"/>
      <c r="HN205" s="1"/>
      <c r="HO205" s="1"/>
      <c r="HP205" s="1"/>
      <c r="HQ205" s="1"/>
      <c r="HR205" s="1"/>
      <c r="HS205" s="1"/>
      <c r="HT205" s="1"/>
      <c r="HU205" s="1"/>
      <c r="HV205" s="1"/>
      <c r="HW205" s="1"/>
      <c r="HX205" s="1"/>
      <c r="HY205" s="1"/>
      <c r="HZ205" s="1"/>
      <c r="IA205" s="1"/>
      <c r="IB205" s="1"/>
      <c r="IC205" s="1"/>
      <c r="ID205" s="1"/>
      <c r="IE205" s="1"/>
      <c r="IF205" s="1"/>
      <c r="IG205" s="1"/>
      <c r="IH205" s="1"/>
      <c r="II205" s="1"/>
      <c r="IJ205" s="1"/>
      <c r="IK205" s="1"/>
      <c r="IL205" s="1"/>
      <c r="IM205" s="1"/>
      <c r="IN205" s="1"/>
      <c r="IO205" s="1"/>
      <c r="IP205" s="1"/>
      <c r="IQ205" s="1"/>
      <c r="IR205" s="1"/>
      <c r="IS205" s="1"/>
      <c r="IT205" s="1"/>
      <c r="IU205" s="1"/>
      <c r="IV205" s="1"/>
      <c r="IW205" s="1"/>
      <c r="IX205" s="1"/>
      <c r="IY205" s="1"/>
      <c r="IZ205" s="1"/>
      <c r="JA205" s="1"/>
      <c r="JB205" s="1"/>
      <c r="JC205" s="1"/>
      <c r="JD205" s="1"/>
      <c r="JE205" s="1"/>
      <c r="JF205" s="1"/>
      <c r="JG205" s="1"/>
      <c r="JH205" s="1"/>
      <c r="JI205" s="1"/>
      <c r="JJ205" s="1"/>
      <c r="JK205" s="1"/>
      <c r="JL205" s="1"/>
      <c r="JM205" s="1"/>
      <c r="JN205" s="1"/>
      <c r="JO205" s="1"/>
      <c r="JP205" s="1"/>
      <c r="JQ205" s="1"/>
      <c r="JR205" s="1"/>
      <c r="JS205" s="1"/>
      <c r="JT205" s="1"/>
      <c r="JU205" s="1"/>
      <c r="JV205" s="1"/>
      <c r="JW205" s="1"/>
      <c r="JX205" s="1"/>
      <c r="JY205" s="1"/>
      <c r="JZ205" s="1"/>
      <c r="KA205" s="1"/>
      <c r="KB205" s="1"/>
      <c r="KC205" s="1"/>
      <c r="KD205" s="1"/>
      <c r="KE205" s="1"/>
      <c r="KF205" s="1"/>
      <c r="KG205" s="1"/>
      <c r="KH205" s="1"/>
      <c r="KI205" s="1"/>
      <c r="KJ205" s="1"/>
      <c r="KK205" s="1"/>
      <c r="KL205" s="1"/>
      <c r="KM205" s="1"/>
      <c r="KN205" s="1"/>
      <c r="KO205" s="1"/>
      <c r="KP205" s="1"/>
      <c r="KQ205" s="1"/>
      <c r="KR205" s="1"/>
      <c r="KS205" s="1"/>
      <c r="KT205" s="1"/>
      <c r="KU205" s="1"/>
      <c r="KV205" s="1"/>
      <c r="KW205" s="1"/>
      <c r="KX205" s="1"/>
      <c r="KY205" s="1"/>
      <c r="KZ205" s="1"/>
      <c r="LA205" s="1"/>
      <c r="LB205" s="1"/>
      <c r="LC205" s="1"/>
      <c r="LD205" s="1"/>
      <c r="LE205" s="1"/>
      <c r="LF205" s="1"/>
      <c r="LG205" s="1"/>
      <c r="LH205" s="1"/>
      <c r="LI205" s="1"/>
      <c r="LJ205" s="1"/>
      <c r="LK205" s="1"/>
      <c r="LL205" s="1"/>
      <c r="LM205" s="1"/>
      <c r="LN205" s="1"/>
      <c r="LO205" s="1"/>
      <c r="LP205" s="1"/>
      <c r="LQ205" s="1"/>
      <c r="LR205" s="1"/>
      <c r="LS205" s="1"/>
    </row>
    <row r="206" spans="1:331" x14ac:dyDescent="0.25">
      <c r="A206" s="1" t="s">
        <v>773</v>
      </c>
      <c r="B206" s="13" t="s">
        <v>774</v>
      </c>
      <c r="C206" s="94" t="s">
        <v>1649</v>
      </c>
      <c r="D206" s="1">
        <v>0</v>
      </c>
      <c r="H206" s="1" t="s">
        <v>775</v>
      </c>
      <c r="I206" s="1" t="s">
        <v>246</v>
      </c>
      <c r="J206" s="1" t="s">
        <v>776</v>
      </c>
      <c r="K206" s="1" t="s">
        <v>347</v>
      </c>
      <c r="L206" s="1">
        <v>0</v>
      </c>
      <c r="O206" s="1">
        <v>1</v>
      </c>
      <c r="R206" s="96" t="s">
        <v>777</v>
      </c>
      <c r="AA206" s="94" t="b">
        <v>0</v>
      </c>
      <c r="AC206" s="57" t="s">
        <v>1632</v>
      </c>
      <c r="BM206" s="96"/>
      <c r="BN206" s="96"/>
      <c r="BO206" s="96"/>
      <c r="BP206" s="96"/>
      <c r="BQ206" s="96"/>
      <c r="BR206" s="96"/>
      <c r="BS206" s="96"/>
      <c r="BT206" s="96"/>
      <c r="BU206" s="96"/>
      <c r="BV206" s="96"/>
      <c r="BW206" s="96"/>
      <c r="BX206" s="96"/>
      <c r="BY206" s="96"/>
      <c r="BZ206" s="96"/>
      <c r="CA206" s="96"/>
      <c r="CB206" s="96"/>
      <c r="CC206" s="96"/>
      <c r="CD206" s="96"/>
      <c r="CE206" s="96"/>
      <c r="CF206" s="96"/>
      <c r="CG206" s="96"/>
      <c r="CH206" s="96"/>
      <c r="CI206" s="96"/>
      <c r="CJ206" s="96"/>
      <c r="CK206" s="96"/>
      <c r="CL206" s="96"/>
      <c r="CM206" s="96"/>
      <c r="CN206" s="96"/>
      <c r="CO206" s="96"/>
      <c r="CP206" s="96"/>
      <c r="CQ206" s="96"/>
      <c r="CR206" s="96"/>
      <c r="CS206" s="96"/>
      <c r="CT206" s="96"/>
    </row>
    <row r="207" spans="1:331" s="35" customFormat="1" x14ac:dyDescent="0.25">
      <c r="A207" s="35" t="s">
        <v>778</v>
      </c>
      <c r="B207" s="39" t="s">
        <v>779</v>
      </c>
      <c r="C207" s="94" t="s">
        <v>1649</v>
      </c>
      <c r="D207" s="35">
        <v>1</v>
      </c>
      <c r="E207" s="35" t="s">
        <v>772</v>
      </c>
      <c r="H207" s="35" t="s">
        <v>780</v>
      </c>
      <c r="I207" s="35" t="s">
        <v>772</v>
      </c>
      <c r="J207" s="35" t="s">
        <v>118</v>
      </c>
      <c r="K207" s="35" t="s">
        <v>526</v>
      </c>
      <c r="L207" s="35">
        <v>0</v>
      </c>
      <c r="O207" s="35">
        <v>1</v>
      </c>
      <c r="P207" s="35" t="s">
        <v>247</v>
      </c>
      <c r="Q207" s="96" t="s">
        <v>1506</v>
      </c>
      <c r="R207" s="96"/>
      <c r="S207" s="35">
        <v>16</v>
      </c>
      <c r="U207" s="35">
        <v>16</v>
      </c>
      <c r="W207" s="96">
        <v>16</v>
      </c>
      <c r="X207" s="96"/>
      <c r="Y207" s="96"/>
      <c r="Z207" s="35">
        <v>7</v>
      </c>
      <c r="AA207" s="94" t="b">
        <v>1</v>
      </c>
      <c r="AB207" s="1"/>
      <c r="AC207" s="57" t="s">
        <v>1464</v>
      </c>
      <c r="AD207" s="1"/>
      <c r="AE207" s="57"/>
      <c r="AF207" s="1"/>
      <c r="AG207" s="1"/>
      <c r="AH207" s="1"/>
      <c r="AI207" s="1"/>
      <c r="AJ207" s="1"/>
      <c r="AK207" s="1"/>
      <c r="AL207" s="1"/>
      <c r="AM207" s="1"/>
      <c r="AN207" s="1"/>
      <c r="AO207" s="1"/>
      <c r="AP207" s="1"/>
      <c r="AQ207" s="1"/>
      <c r="AR207" s="1"/>
      <c r="AS207" s="1"/>
      <c r="AT207" s="1"/>
      <c r="AU207" s="1"/>
      <c r="AV207" s="1"/>
      <c r="AW207" s="1"/>
      <c r="AX207" s="1"/>
      <c r="AY207" s="1"/>
      <c r="AZ207" s="1"/>
      <c r="BA207" s="1"/>
      <c r="BB207" s="1"/>
      <c r="BC207" s="1"/>
      <c r="BD207" s="1"/>
      <c r="BE207" s="1"/>
      <c r="BF207" s="1"/>
      <c r="BG207" s="1"/>
      <c r="BH207" s="1"/>
      <c r="BI207" s="1"/>
      <c r="BJ207" s="1"/>
      <c r="BK207" s="1"/>
      <c r="BL207" s="1"/>
      <c r="BM207" s="1"/>
      <c r="BN207" s="1"/>
      <c r="BO207" s="1"/>
      <c r="BP207" s="1"/>
      <c r="BQ207" s="1"/>
      <c r="BR207" s="1"/>
      <c r="BS207" s="1"/>
      <c r="BT207" s="1"/>
      <c r="BU207" s="1"/>
      <c r="BV207" s="1"/>
      <c r="BW207" s="1"/>
      <c r="BX207" s="1"/>
      <c r="BY207" s="1"/>
      <c r="BZ207" s="1"/>
      <c r="CA207" s="1"/>
      <c r="CB207" s="1"/>
      <c r="CC207" s="1"/>
      <c r="CD207" s="1"/>
      <c r="CE207" s="1"/>
      <c r="CF207" s="1"/>
      <c r="CG207" s="1"/>
      <c r="CH207" s="1"/>
      <c r="CI207" s="1"/>
      <c r="CJ207" s="1"/>
      <c r="CK207" s="1"/>
      <c r="CL207" s="1"/>
      <c r="CM207" s="1"/>
      <c r="CN207" s="1"/>
      <c r="CO207" s="1"/>
      <c r="CP207" s="1"/>
      <c r="CQ207" s="1"/>
      <c r="CR207" s="1"/>
      <c r="CS207" s="1"/>
      <c r="CT207" s="1"/>
      <c r="CU207" s="1"/>
      <c r="CV207" s="1"/>
      <c r="CW207" s="1"/>
      <c r="CX207" s="1"/>
      <c r="CY207" s="1"/>
      <c r="CZ207" s="1"/>
      <c r="DA207" s="1"/>
      <c r="DB207" s="1"/>
      <c r="DC207" s="1"/>
      <c r="DD207" s="1"/>
      <c r="DE207" s="1"/>
      <c r="DF207" s="1"/>
      <c r="DG207" s="1"/>
      <c r="DH207" s="1"/>
      <c r="DI207" s="1"/>
      <c r="DJ207" s="1"/>
      <c r="DK207" s="1"/>
      <c r="DL207" s="1"/>
      <c r="DM207" s="1"/>
      <c r="DN207" s="1"/>
      <c r="DO207" s="1"/>
      <c r="DP207" s="1"/>
      <c r="DQ207" s="1"/>
      <c r="DR207" s="1"/>
      <c r="DS207" s="1"/>
      <c r="DT207" s="1"/>
      <c r="DU207" s="1"/>
      <c r="DV207" s="1"/>
      <c r="DW207" s="1"/>
      <c r="DX207" s="1"/>
      <c r="DY207" s="1"/>
      <c r="DZ207" s="1"/>
      <c r="EA207" s="1"/>
      <c r="EB207" s="1"/>
      <c r="EC207" s="1"/>
      <c r="ED207" s="1"/>
      <c r="EE207" s="1"/>
      <c r="EF207" s="1"/>
      <c r="EG207" s="1"/>
      <c r="EH207" s="1"/>
      <c r="EI207" s="1"/>
      <c r="EJ207" s="1"/>
      <c r="EK207" s="1"/>
      <c r="EL207" s="1"/>
      <c r="EM207" s="1"/>
      <c r="EN207" s="1"/>
      <c r="EO207" s="1"/>
      <c r="EP207" s="1"/>
      <c r="EQ207" s="1"/>
      <c r="ER207" s="1"/>
      <c r="ES207" s="1"/>
      <c r="ET207" s="1"/>
      <c r="EU207" s="1"/>
      <c r="EV207" s="1"/>
      <c r="EW207" s="1"/>
      <c r="EX207" s="1"/>
      <c r="EY207" s="1"/>
      <c r="EZ207" s="1"/>
      <c r="FA207" s="1"/>
      <c r="FB207" s="1"/>
      <c r="FC207" s="1"/>
      <c r="FD207" s="1"/>
      <c r="FE207" s="1"/>
      <c r="FF207" s="1"/>
      <c r="FG207" s="1"/>
      <c r="FH207" s="1"/>
      <c r="FI207" s="1"/>
      <c r="FJ207" s="1"/>
      <c r="FK207" s="1"/>
      <c r="FL207" s="1"/>
      <c r="FM207" s="1"/>
      <c r="FN207" s="1"/>
      <c r="FO207" s="1"/>
      <c r="FP207" s="1"/>
      <c r="FQ207" s="1"/>
      <c r="FR207" s="1"/>
      <c r="FS207" s="1"/>
      <c r="FT207" s="1"/>
      <c r="FU207" s="1"/>
      <c r="FV207" s="1"/>
      <c r="FW207" s="1"/>
      <c r="FX207" s="1"/>
      <c r="FY207" s="1"/>
      <c r="FZ207" s="1"/>
      <c r="GA207" s="1"/>
      <c r="GB207" s="1"/>
      <c r="GC207" s="1"/>
      <c r="GD207" s="1"/>
      <c r="GE207" s="1"/>
      <c r="GF207" s="1"/>
      <c r="GG207" s="1"/>
      <c r="GH207" s="1"/>
      <c r="GI207" s="1"/>
      <c r="GJ207" s="1"/>
      <c r="GK207" s="1"/>
      <c r="GL207" s="1"/>
      <c r="GM207" s="1"/>
      <c r="GN207" s="1"/>
      <c r="GO207" s="1"/>
      <c r="GP207" s="1"/>
      <c r="GQ207" s="1"/>
      <c r="GR207" s="1"/>
      <c r="GS207" s="1"/>
      <c r="GT207" s="1"/>
      <c r="GU207" s="1"/>
      <c r="GV207" s="1"/>
      <c r="GW207" s="1"/>
      <c r="GX207" s="1"/>
      <c r="GY207" s="1"/>
      <c r="GZ207" s="1"/>
      <c r="HA207" s="1"/>
      <c r="HB207" s="1"/>
      <c r="HC207" s="1"/>
      <c r="HD207" s="1"/>
      <c r="HE207" s="1"/>
      <c r="HF207" s="1"/>
      <c r="HG207" s="1"/>
      <c r="HH207" s="1"/>
      <c r="HI207" s="1"/>
      <c r="HJ207" s="1"/>
      <c r="HK207" s="1"/>
      <c r="HL207" s="1"/>
      <c r="HM207" s="1"/>
      <c r="HN207" s="1"/>
      <c r="HO207" s="1"/>
      <c r="HP207" s="1"/>
      <c r="HQ207" s="1"/>
      <c r="HR207" s="1"/>
      <c r="HS207" s="1"/>
      <c r="HT207" s="1"/>
      <c r="HU207" s="1"/>
      <c r="HV207" s="1"/>
      <c r="HW207" s="1"/>
      <c r="HX207" s="1"/>
      <c r="HY207" s="1"/>
      <c r="HZ207" s="1"/>
      <c r="IA207" s="1"/>
      <c r="IB207" s="1"/>
      <c r="IC207" s="1"/>
      <c r="ID207" s="1"/>
      <c r="IE207" s="1"/>
      <c r="IF207" s="1"/>
      <c r="IG207" s="1"/>
      <c r="IH207" s="1"/>
      <c r="II207" s="1"/>
      <c r="IJ207" s="1"/>
      <c r="IK207" s="1"/>
      <c r="IL207" s="1"/>
      <c r="IM207" s="1"/>
      <c r="IN207" s="1"/>
      <c r="IO207" s="1"/>
      <c r="IP207" s="1"/>
      <c r="IQ207" s="1"/>
      <c r="IR207" s="1"/>
      <c r="IS207" s="1"/>
      <c r="IT207" s="1"/>
      <c r="IU207" s="1"/>
      <c r="IV207" s="1"/>
      <c r="IW207" s="1"/>
      <c r="IX207" s="1"/>
      <c r="IY207" s="1"/>
      <c r="IZ207" s="1"/>
      <c r="JA207" s="1"/>
      <c r="JB207" s="1"/>
      <c r="JC207" s="1"/>
      <c r="JD207" s="1"/>
      <c r="JE207" s="1"/>
      <c r="JF207" s="1"/>
      <c r="JG207" s="1"/>
      <c r="JH207" s="1"/>
      <c r="JI207" s="1"/>
      <c r="JJ207" s="1"/>
      <c r="JK207" s="1"/>
      <c r="JL207" s="1"/>
      <c r="JM207" s="1"/>
      <c r="JN207" s="1"/>
      <c r="JO207" s="1"/>
      <c r="JP207" s="1"/>
      <c r="JQ207" s="1"/>
      <c r="JR207" s="1"/>
      <c r="JS207" s="1"/>
      <c r="JT207" s="1"/>
      <c r="JU207" s="1"/>
      <c r="JV207" s="1"/>
      <c r="JW207" s="1"/>
      <c r="JX207" s="1"/>
      <c r="JY207" s="1"/>
      <c r="JZ207" s="1"/>
      <c r="KA207" s="1"/>
      <c r="KB207" s="1"/>
      <c r="KC207" s="1"/>
      <c r="KD207" s="1"/>
      <c r="KE207" s="1"/>
      <c r="KF207" s="1"/>
      <c r="KG207" s="1"/>
      <c r="KH207" s="1"/>
      <c r="KI207" s="1"/>
      <c r="KJ207" s="1"/>
      <c r="KK207" s="1"/>
      <c r="KL207" s="1"/>
      <c r="KM207" s="1"/>
      <c r="KN207" s="1"/>
      <c r="KO207" s="1"/>
      <c r="KP207" s="1"/>
      <c r="KQ207" s="1"/>
      <c r="KR207" s="1"/>
      <c r="KS207" s="1"/>
      <c r="KT207" s="1"/>
      <c r="KU207" s="1"/>
      <c r="KV207" s="1"/>
      <c r="KW207" s="1"/>
      <c r="KX207" s="1"/>
      <c r="KY207" s="1"/>
      <c r="KZ207" s="1"/>
      <c r="LA207" s="1"/>
      <c r="LB207" s="1"/>
      <c r="LC207" s="1"/>
      <c r="LD207" s="1"/>
      <c r="LE207" s="1"/>
      <c r="LF207" s="1"/>
      <c r="LG207" s="1"/>
      <c r="LH207" s="1"/>
      <c r="LI207" s="1"/>
      <c r="LJ207" s="1"/>
      <c r="LK207" s="1"/>
      <c r="LL207" s="1"/>
      <c r="LM207" s="1"/>
      <c r="LN207" s="1"/>
      <c r="LO207" s="1"/>
      <c r="LP207" s="1"/>
      <c r="LQ207" s="1"/>
      <c r="LR207" s="1"/>
      <c r="LS207" s="1"/>
    </row>
    <row r="208" spans="1:331" s="25" customFormat="1" x14ac:dyDescent="0.25">
      <c r="A208" s="25" t="s">
        <v>781</v>
      </c>
      <c r="B208" s="29" t="s">
        <v>782</v>
      </c>
      <c r="C208" s="94" t="s">
        <v>1649</v>
      </c>
      <c r="D208" s="25">
        <v>0</v>
      </c>
      <c r="H208" s="25" t="s">
        <v>783</v>
      </c>
      <c r="I208" s="25" t="s">
        <v>784</v>
      </c>
      <c r="J208" s="25" t="s">
        <v>783</v>
      </c>
      <c r="K208" s="25" t="s">
        <v>1697</v>
      </c>
      <c r="L208" s="25">
        <v>0</v>
      </c>
      <c r="O208" s="25">
        <v>0</v>
      </c>
      <c r="Q208" s="94" t="s">
        <v>1942</v>
      </c>
      <c r="R208" s="96"/>
      <c r="S208" s="25">
        <v>15</v>
      </c>
      <c r="U208" s="25">
        <v>9</v>
      </c>
      <c r="W208" s="96">
        <v>15</v>
      </c>
      <c r="X208" s="96"/>
      <c r="Y208" s="96"/>
      <c r="Z208" s="25">
        <v>5</v>
      </c>
      <c r="AA208" s="94" t="b">
        <v>1</v>
      </c>
      <c r="AB208" s="1" t="s">
        <v>1893</v>
      </c>
      <c r="AC208" s="57" t="s">
        <v>1941</v>
      </c>
      <c r="AD208" s="1"/>
      <c r="AE208" s="57"/>
      <c r="AF208" s="1"/>
      <c r="AG208" s="1"/>
      <c r="AH208" s="1"/>
      <c r="AI208" s="1"/>
      <c r="AJ208" s="1"/>
      <c r="AK208" s="1"/>
      <c r="AL208" s="1"/>
      <c r="AM208" s="1"/>
      <c r="AN208" s="1"/>
      <c r="AO208" s="1"/>
      <c r="AP208" s="1"/>
      <c r="AQ208" s="1"/>
      <c r="AR208" s="1"/>
      <c r="AS208" s="1"/>
      <c r="AT208" s="1"/>
      <c r="AU208" s="1"/>
      <c r="AV208" s="1"/>
      <c r="AW208" s="1"/>
      <c r="AX208" s="1"/>
      <c r="AY208" s="1"/>
      <c r="AZ208" s="1"/>
      <c r="BA208" s="1"/>
      <c r="BB208" s="1"/>
      <c r="BC208" s="1"/>
      <c r="BD208" s="1"/>
      <c r="BE208" s="1"/>
      <c r="BF208" s="1"/>
      <c r="BG208" s="1"/>
      <c r="BH208" s="1"/>
      <c r="BI208" s="1"/>
      <c r="BJ208" s="1"/>
      <c r="BK208" s="1"/>
      <c r="BL208" s="1"/>
      <c r="BM208" s="1"/>
      <c r="BN208" s="1"/>
      <c r="BO208" s="1"/>
      <c r="BP208" s="1"/>
      <c r="BQ208" s="1"/>
      <c r="BR208" s="1"/>
      <c r="BS208" s="1"/>
      <c r="BT208" s="1"/>
      <c r="BU208" s="1"/>
      <c r="BV208" s="1"/>
      <c r="BW208" s="1"/>
      <c r="BX208" s="1"/>
      <c r="BY208" s="1"/>
      <c r="BZ208" s="1"/>
      <c r="CA208" s="1"/>
      <c r="CB208" s="1"/>
      <c r="CC208" s="1"/>
      <c r="CD208" s="1"/>
      <c r="CE208" s="1"/>
      <c r="CF208" s="1"/>
      <c r="CG208" s="1"/>
      <c r="CH208" s="1"/>
      <c r="CI208" s="1"/>
      <c r="CJ208" s="1"/>
      <c r="CK208" s="1"/>
      <c r="CL208" s="1"/>
      <c r="CM208" s="1"/>
      <c r="CN208" s="1"/>
      <c r="CO208" s="1"/>
      <c r="CP208" s="1"/>
      <c r="CQ208" s="1"/>
      <c r="CR208" s="1"/>
      <c r="CS208" s="1"/>
      <c r="CT208" s="1"/>
      <c r="CU208" s="1"/>
      <c r="CV208" s="1"/>
      <c r="CW208" s="1"/>
      <c r="CX208" s="1"/>
      <c r="CY208" s="1"/>
      <c r="CZ208" s="1"/>
      <c r="DA208" s="1"/>
      <c r="DB208" s="1"/>
      <c r="DC208" s="1"/>
      <c r="DD208" s="1"/>
      <c r="DE208" s="1"/>
      <c r="DF208" s="1"/>
      <c r="DG208" s="1"/>
      <c r="DH208" s="1"/>
      <c r="DI208" s="1"/>
      <c r="DJ208" s="1"/>
      <c r="DK208" s="1"/>
      <c r="DL208" s="1"/>
      <c r="DM208" s="1"/>
      <c r="DN208" s="1"/>
      <c r="DO208" s="1"/>
      <c r="DP208" s="1"/>
      <c r="DQ208" s="1"/>
      <c r="DR208" s="1"/>
      <c r="DS208" s="1"/>
      <c r="DT208" s="1"/>
      <c r="DU208" s="1"/>
      <c r="DV208" s="1"/>
      <c r="DW208" s="1"/>
      <c r="DX208" s="1"/>
      <c r="DY208" s="1"/>
      <c r="DZ208" s="1"/>
      <c r="EA208" s="1"/>
      <c r="EB208" s="1"/>
      <c r="EC208" s="1"/>
      <c r="ED208" s="1"/>
      <c r="EE208" s="1"/>
      <c r="EF208" s="1"/>
      <c r="EG208" s="1"/>
      <c r="EH208" s="1"/>
      <c r="EI208" s="1"/>
      <c r="EJ208" s="1"/>
      <c r="EK208" s="1"/>
      <c r="EL208" s="1"/>
      <c r="EM208" s="1"/>
      <c r="EN208" s="1"/>
      <c r="EO208" s="1"/>
      <c r="EP208" s="1"/>
      <c r="EQ208" s="1"/>
      <c r="ER208" s="1"/>
      <c r="ES208" s="1"/>
      <c r="ET208" s="1"/>
      <c r="EU208" s="1"/>
      <c r="EV208" s="1"/>
      <c r="EW208" s="1"/>
      <c r="EX208" s="1"/>
      <c r="EY208" s="1"/>
      <c r="EZ208" s="1"/>
      <c r="FA208" s="1"/>
      <c r="FB208" s="1"/>
      <c r="FC208" s="1"/>
      <c r="FD208" s="1"/>
      <c r="FE208" s="1"/>
      <c r="FF208" s="1"/>
      <c r="FG208" s="1"/>
      <c r="FH208" s="1"/>
      <c r="FI208" s="1"/>
      <c r="FJ208" s="1"/>
      <c r="FK208" s="1"/>
      <c r="FL208" s="1"/>
      <c r="FM208" s="1"/>
      <c r="FN208" s="1"/>
      <c r="FO208" s="1"/>
      <c r="FP208" s="1"/>
      <c r="FQ208" s="1"/>
      <c r="FR208" s="1"/>
      <c r="FS208" s="1"/>
      <c r="FT208" s="1"/>
      <c r="FU208" s="1"/>
      <c r="FV208" s="1"/>
      <c r="FW208" s="1"/>
      <c r="FX208" s="1"/>
      <c r="FY208" s="1"/>
      <c r="FZ208" s="1"/>
      <c r="GA208" s="1"/>
      <c r="GB208" s="1"/>
      <c r="GC208" s="1"/>
      <c r="GD208" s="1"/>
      <c r="GE208" s="1"/>
      <c r="GF208" s="1"/>
      <c r="GG208" s="1"/>
      <c r="GH208" s="1"/>
      <c r="GI208" s="1"/>
      <c r="GJ208" s="1"/>
      <c r="GK208" s="1"/>
      <c r="GL208" s="1"/>
      <c r="GM208" s="1"/>
      <c r="GN208" s="1"/>
      <c r="GO208" s="1"/>
      <c r="GP208" s="1"/>
      <c r="GQ208" s="1"/>
      <c r="GR208" s="1"/>
      <c r="GS208" s="1"/>
      <c r="GT208" s="1"/>
      <c r="GU208" s="1"/>
      <c r="GV208" s="1"/>
      <c r="GW208" s="1"/>
      <c r="GX208" s="1"/>
      <c r="GY208" s="1"/>
      <c r="GZ208" s="1"/>
      <c r="HA208" s="1"/>
      <c r="HB208" s="1"/>
      <c r="HC208" s="1"/>
      <c r="HD208" s="1"/>
      <c r="HE208" s="1"/>
      <c r="HF208" s="1"/>
      <c r="HG208" s="1"/>
      <c r="HH208" s="1"/>
      <c r="HI208" s="1"/>
      <c r="HJ208" s="1"/>
      <c r="HK208" s="1"/>
      <c r="HL208" s="1"/>
      <c r="HM208" s="1"/>
      <c r="HN208" s="1"/>
      <c r="HO208" s="1"/>
      <c r="HP208" s="1"/>
      <c r="HQ208" s="1"/>
      <c r="HR208" s="1"/>
      <c r="HS208" s="1"/>
      <c r="HT208" s="1"/>
      <c r="HU208" s="1"/>
      <c r="HV208" s="1"/>
      <c r="HW208" s="1"/>
      <c r="HX208" s="1"/>
      <c r="HY208" s="1"/>
      <c r="HZ208" s="1"/>
      <c r="IA208" s="1"/>
      <c r="IB208" s="1"/>
      <c r="IC208" s="1"/>
      <c r="ID208" s="1"/>
      <c r="IE208" s="1"/>
      <c r="IF208" s="1"/>
      <c r="IG208" s="1"/>
      <c r="IH208" s="1"/>
      <c r="II208" s="1"/>
      <c r="IJ208" s="1"/>
      <c r="IK208" s="1"/>
      <c r="IL208" s="1"/>
      <c r="IM208" s="1"/>
      <c r="IN208" s="1"/>
      <c r="IO208" s="1"/>
      <c r="IP208" s="1"/>
      <c r="IQ208" s="1"/>
      <c r="IR208" s="1"/>
      <c r="IS208" s="1"/>
      <c r="IT208" s="1"/>
      <c r="IU208" s="1"/>
      <c r="IV208" s="1"/>
      <c r="IW208" s="1"/>
      <c r="IX208" s="1"/>
      <c r="IY208" s="1"/>
      <c r="IZ208" s="1"/>
      <c r="JA208" s="1"/>
      <c r="JB208" s="1"/>
      <c r="JC208" s="1"/>
      <c r="JD208" s="1"/>
      <c r="JE208" s="1"/>
      <c r="JF208" s="1"/>
      <c r="JG208" s="1"/>
      <c r="JH208" s="1"/>
      <c r="JI208" s="1"/>
      <c r="JJ208" s="1"/>
      <c r="JK208" s="1"/>
      <c r="JL208" s="1"/>
      <c r="JM208" s="1"/>
      <c r="JN208" s="1"/>
      <c r="JO208" s="1"/>
      <c r="JP208" s="1"/>
      <c r="JQ208" s="1"/>
      <c r="JR208" s="1"/>
      <c r="JS208" s="1"/>
      <c r="JT208" s="1"/>
      <c r="JU208" s="1"/>
      <c r="JV208" s="1"/>
      <c r="JW208" s="1"/>
      <c r="JX208" s="1"/>
      <c r="JY208" s="1"/>
      <c r="JZ208" s="1"/>
      <c r="KA208" s="1"/>
      <c r="KB208" s="1"/>
      <c r="KC208" s="1"/>
      <c r="KD208" s="1"/>
      <c r="KE208" s="1"/>
      <c r="KF208" s="1"/>
      <c r="KG208" s="1"/>
      <c r="KH208" s="1"/>
      <c r="KI208" s="1"/>
      <c r="KJ208" s="1"/>
      <c r="KK208" s="1"/>
      <c r="KL208" s="1"/>
      <c r="KM208" s="1"/>
      <c r="KN208" s="1"/>
      <c r="KO208" s="1"/>
      <c r="KP208" s="1"/>
      <c r="KQ208" s="1"/>
      <c r="KR208" s="1"/>
      <c r="KS208" s="1"/>
      <c r="KT208" s="1"/>
      <c r="KU208" s="1"/>
      <c r="KV208" s="1"/>
      <c r="KW208" s="1"/>
      <c r="KX208" s="1"/>
      <c r="KY208" s="1"/>
      <c r="KZ208" s="1"/>
      <c r="LA208" s="1"/>
      <c r="LB208" s="1"/>
      <c r="LC208" s="1"/>
      <c r="LD208" s="1"/>
      <c r="LE208" s="1"/>
      <c r="LF208" s="1"/>
      <c r="LG208" s="1"/>
      <c r="LH208" s="1"/>
      <c r="LI208" s="1"/>
      <c r="LJ208" s="1"/>
      <c r="LK208" s="1"/>
      <c r="LL208" s="1"/>
      <c r="LM208" s="1"/>
      <c r="LN208" s="1"/>
      <c r="LO208" s="1"/>
      <c r="LP208" s="1"/>
      <c r="LQ208" s="1"/>
      <c r="LR208" s="1"/>
      <c r="LS208" s="1"/>
    </row>
    <row r="209" spans="1:331" s="64" customFormat="1" x14ac:dyDescent="0.25">
      <c r="A209" s="64" t="s">
        <v>785</v>
      </c>
      <c r="B209" s="66" t="s">
        <v>786</v>
      </c>
      <c r="C209" s="94" t="s">
        <v>1649</v>
      </c>
      <c r="D209" s="64">
        <v>1</v>
      </c>
      <c r="E209" s="64" t="s">
        <v>109</v>
      </c>
      <c r="H209" s="64" t="s">
        <v>787</v>
      </c>
      <c r="I209" s="64" t="s">
        <v>788</v>
      </c>
      <c r="J209" s="64" t="s">
        <v>579</v>
      </c>
      <c r="K209" s="64" t="s">
        <v>1698</v>
      </c>
      <c r="L209" s="64">
        <v>0</v>
      </c>
      <c r="O209" s="64">
        <v>0</v>
      </c>
      <c r="Q209" s="96"/>
      <c r="R209" s="96" t="s">
        <v>789</v>
      </c>
      <c r="S209" s="64">
        <v>9</v>
      </c>
      <c r="U209" s="64">
        <v>6</v>
      </c>
      <c r="W209" s="96">
        <v>9</v>
      </c>
      <c r="X209" s="96"/>
      <c r="Y209" s="96"/>
      <c r="Z209" s="64">
        <v>12</v>
      </c>
      <c r="AA209" s="94" t="b">
        <v>1</v>
      </c>
      <c r="AB209" s="1"/>
      <c r="AC209" s="57" t="s">
        <v>1465</v>
      </c>
      <c r="AD209" s="1"/>
      <c r="AE209" s="57"/>
      <c r="AF209" s="1"/>
      <c r="AG209" s="1"/>
      <c r="AH209" s="1"/>
      <c r="AI209" s="1"/>
      <c r="AJ209" s="1"/>
      <c r="AK209" s="1"/>
      <c r="AL209" s="1"/>
      <c r="AM209" s="1"/>
      <c r="AN209" s="1"/>
      <c r="AO209" s="1"/>
      <c r="AP209" s="1"/>
      <c r="AQ209" s="1"/>
      <c r="AR209" s="1"/>
      <c r="AS209" s="1"/>
      <c r="AT209" s="1"/>
      <c r="AU209" s="1"/>
      <c r="AV209" s="1"/>
      <c r="AW209" s="1"/>
      <c r="AX209" s="1"/>
      <c r="AY209" s="1"/>
      <c r="AZ209" s="1"/>
      <c r="BA209" s="1"/>
      <c r="BB209" s="1"/>
      <c r="BC209" s="1"/>
      <c r="BD209" s="1"/>
      <c r="BE209" s="1"/>
      <c r="BF209" s="1"/>
      <c r="BG209" s="1"/>
      <c r="BH209" s="1"/>
      <c r="BI209" s="1"/>
      <c r="BJ209" s="1"/>
      <c r="BK209" s="1"/>
      <c r="BL209" s="1"/>
      <c r="BM209" s="1"/>
      <c r="BN209" s="1"/>
      <c r="BO209" s="1"/>
      <c r="BP209" s="1"/>
      <c r="BQ209" s="1"/>
      <c r="BR209" s="1"/>
      <c r="BS209" s="1"/>
      <c r="BT209" s="1"/>
      <c r="BU209" s="1"/>
      <c r="BV209" s="1"/>
    </row>
    <row r="210" spans="1:331" s="25" customFormat="1" x14ac:dyDescent="0.25">
      <c r="A210" s="25" t="s">
        <v>790</v>
      </c>
      <c r="B210" s="29" t="s">
        <v>791</v>
      </c>
      <c r="C210" s="94" t="s">
        <v>1649</v>
      </c>
      <c r="D210" s="25">
        <v>0</v>
      </c>
      <c r="H210" s="25" t="s">
        <v>792</v>
      </c>
      <c r="I210" s="25" t="s">
        <v>793</v>
      </c>
      <c r="J210" s="25" t="s">
        <v>794</v>
      </c>
      <c r="K210" s="25" t="s">
        <v>260</v>
      </c>
      <c r="L210" s="25">
        <v>0</v>
      </c>
      <c r="O210" s="25">
        <v>1</v>
      </c>
      <c r="Q210" s="96" t="s">
        <v>1571</v>
      </c>
      <c r="R210" s="96"/>
      <c r="S210" s="25">
        <v>6</v>
      </c>
      <c r="U210" s="25">
        <v>6</v>
      </c>
      <c r="W210" s="96">
        <v>6</v>
      </c>
      <c r="X210" s="96"/>
      <c r="Y210" s="96"/>
      <c r="Z210" s="25">
        <v>5</v>
      </c>
      <c r="AA210" s="94" t="b">
        <v>1</v>
      </c>
      <c r="AB210" s="1"/>
      <c r="AC210" s="57" t="s">
        <v>1466</v>
      </c>
      <c r="AD210" s="1"/>
      <c r="AE210" s="57"/>
      <c r="AF210" s="1"/>
      <c r="AG210" s="1"/>
      <c r="AH210" s="1"/>
      <c r="AI210" s="1"/>
      <c r="AJ210" s="1"/>
      <c r="AK210" s="1"/>
      <c r="AL210" s="1"/>
      <c r="AM210" s="1"/>
      <c r="AN210" s="1"/>
      <c r="AO210" s="1"/>
      <c r="AP210" s="1"/>
      <c r="AQ210" s="1"/>
      <c r="AR210" s="1"/>
      <c r="AS210" s="1"/>
      <c r="AT210" s="1"/>
      <c r="AU210" s="1"/>
      <c r="AV210" s="1"/>
      <c r="AW210" s="1"/>
      <c r="AX210" s="1"/>
      <c r="AY210" s="1"/>
      <c r="AZ210" s="1"/>
      <c r="BA210" s="1"/>
      <c r="BB210" s="1"/>
      <c r="BC210" s="1"/>
      <c r="BD210" s="1"/>
      <c r="BE210" s="1"/>
      <c r="BF210" s="1"/>
      <c r="BG210" s="1"/>
      <c r="BH210" s="1"/>
      <c r="BI210" s="1"/>
      <c r="BJ210" s="1"/>
      <c r="BK210" s="1"/>
      <c r="BL210" s="1"/>
      <c r="BM210" s="1"/>
      <c r="BN210" s="1"/>
      <c r="BO210" s="1"/>
      <c r="BP210" s="1"/>
      <c r="BQ210" s="1"/>
      <c r="BR210" s="1"/>
      <c r="BS210" s="1"/>
      <c r="BT210" s="1"/>
      <c r="BU210" s="1"/>
      <c r="BV210" s="1"/>
      <c r="BW210" s="1"/>
      <c r="BX210" s="1"/>
      <c r="BY210" s="1"/>
      <c r="BZ210" s="1"/>
      <c r="CA210" s="1"/>
      <c r="CB210" s="1"/>
      <c r="CC210" s="1"/>
      <c r="CD210" s="1"/>
      <c r="CE210" s="1"/>
      <c r="CF210" s="1"/>
      <c r="CG210" s="1"/>
      <c r="CH210" s="1"/>
      <c r="CI210" s="1"/>
      <c r="CJ210" s="1"/>
      <c r="CK210" s="1"/>
      <c r="CL210" s="1"/>
      <c r="CM210" s="1"/>
      <c r="CN210" s="1"/>
      <c r="CO210" s="1"/>
      <c r="CP210" s="1"/>
      <c r="CQ210" s="1"/>
      <c r="CR210" s="1"/>
      <c r="CS210" s="1"/>
      <c r="CT210" s="1"/>
      <c r="CU210" s="1"/>
      <c r="CV210" s="1"/>
      <c r="CW210" s="1"/>
      <c r="CX210" s="1"/>
      <c r="CY210" s="1"/>
      <c r="CZ210" s="1"/>
      <c r="DA210" s="1"/>
      <c r="DB210" s="1"/>
      <c r="DC210" s="1"/>
      <c r="DD210" s="1"/>
      <c r="DE210" s="1"/>
      <c r="DF210" s="1"/>
      <c r="DG210" s="1"/>
      <c r="DH210" s="1"/>
      <c r="DI210" s="1"/>
      <c r="DJ210" s="1"/>
      <c r="DK210" s="1"/>
      <c r="DL210" s="1"/>
      <c r="DM210" s="1"/>
      <c r="DN210" s="1"/>
      <c r="DO210" s="1"/>
      <c r="DP210" s="1"/>
      <c r="DQ210" s="1"/>
      <c r="DR210" s="1"/>
      <c r="DS210" s="1"/>
      <c r="DT210" s="1"/>
      <c r="DU210" s="1"/>
      <c r="DV210" s="1"/>
      <c r="DW210" s="1"/>
      <c r="DX210" s="1"/>
      <c r="DY210" s="1"/>
      <c r="DZ210" s="1"/>
      <c r="EA210" s="1"/>
      <c r="EB210" s="1"/>
      <c r="EC210" s="1"/>
      <c r="ED210" s="1"/>
      <c r="EE210" s="1"/>
      <c r="EF210" s="1"/>
      <c r="EG210" s="1"/>
      <c r="EH210" s="1"/>
      <c r="EI210" s="1"/>
      <c r="EJ210" s="1"/>
      <c r="EK210" s="1"/>
      <c r="EL210" s="1"/>
      <c r="EM210" s="1"/>
      <c r="EN210" s="1"/>
      <c r="EO210" s="1"/>
      <c r="EP210" s="1"/>
      <c r="EQ210" s="1"/>
      <c r="ER210" s="1"/>
      <c r="ES210" s="1"/>
      <c r="ET210" s="1"/>
      <c r="EU210" s="1"/>
      <c r="EV210" s="1"/>
      <c r="EW210" s="1"/>
      <c r="EX210" s="1"/>
      <c r="EY210" s="1"/>
      <c r="EZ210" s="1"/>
      <c r="FA210" s="1"/>
      <c r="FB210" s="1"/>
      <c r="FC210" s="1"/>
      <c r="FD210" s="1"/>
      <c r="FE210" s="1"/>
      <c r="FF210" s="1"/>
      <c r="FG210" s="1"/>
      <c r="FH210" s="1"/>
      <c r="FI210" s="1"/>
      <c r="FJ210" s="1"/>
      <c r="FK210" s="1"/>
      <c r="FL210" s="1"/>
      <c r="FM210" s="1"/>
      <c r="FN210" s="1"/>
      <c r="FO210" s="1"/>
      <c r="FP210" s="1"/>
      <c r="FQ210" s="1"/>
      <c r="FR210" s="1"/>
      <c r="FS210" s="1"/>
      <c r="FT210" s="1"/>
      <c r="FU210" s="1"/>
      <c r="FV210" s="1"/>
      <c r="FW210" s="1"/>
      <c r="FX210" s="1"/>
      <c r="FY210" s="1"/>
      <c r="FZ210" s="1"/>
      <c r="GA210" s="1"/>
      <c r="GB210" s="1"/>
      <c r="GC210" s="1"/>
      <c r="GD210" s="1"/>
      <c r="GE210" s="1"/>
      <c r="GF210" s="1"/>
      <c r="GG210" s="1"/>
      <c r="GH210" s="1"/>
      <c r="GI210" s="1"/>
      <c r="GJ210" s="1"/>
      <c r="GK210" s="1"/>
      <c r="GL210" s="1"/>
      <c r="GM210" s="1"/>
      <c r="GN210" s="1"/>
      <c r="GO210" s="1"/>
      <c r="GP210" s="1"/>
      <c r="GQ210" s="1"/>
      <c r="GR210" s="1"/>
      <c r="GS210" s="1"/>
      <c r="GT210" s="1"/>
      <c r="GU210" s="1"/>
      <c r="GV210" s="1"/>
      <c r="GW210" s="1"/>
      <c r="GX210" s="1"/>
      <c r="GY210" s="1"/>
      <c r="GZ210" s="1"/>
      <c r="HA210" s="1"/>
      <c r="HB210" s="1"/>
      <c r="HC210" s="1"/>
      <c r="HD210" s="1"/>
      <c r="HE210" s="1"/>
      <c r="HF210" s="1"/>
      <c r="HG210" s="1"/>
      <c r="HH210" s="1"/>
      <c r="HI210" s="1"/>
      <c r="HJ210" s="1"/>
      <c r="HK210" s="1"/>
      <c r="HL210" s="1"/>
      <c r="HM210" s="1"/>
      <c r="HN210" s="1"/>
      <c r="HO210" s="1"/>
      <c r="HP210" s="1"/>
      <c r="HQ210" s="1"/>
      <c r="HR210" s="1"/>
      <c r="HS210" s="1"/>
      <c r="HT210" s="1"/>
      <c r="HU210" s="1"/>
      <c r="HV210" s="1"/>
      <c r="HW210" s="1"/>
      <c r="HX210" s="1"/>
      <c r="HY210" s="1"/>
      <c r="HZ210" s="1"/>
      <c r="IA210" s="1"/>
      <c r="IB210" s="1"/>
      <c r="IC210" s="1"/>
      <c r="ID210" s="1"/>
      <c r="IE210" s="1"/>
      <c r="IF210" s="1"/>
      <c r="IG210" s="1"/>
      <c r="IH210" s="1"/>
      <c r="II210" s="1"/>
      <c r="IJ210" s="1"/>
      <c r="IK210" s="1"/>
      <c r="IL210" s="1"/>
      <c r="IM210" s="1"/>
      <c r="IN210" s="1"/>
      <c r="IO210" s="1"/>
      <c r="IP210" s="1"/>
      <c r="IQ210" s="1"/>
      <c r="IR210" s="1"/>
      <c r="IS210" s="1"/>
      <c r="IT210" s="1"/>
      <c r="IU210" s="1"/>
      <c r="IV210" s="1"/>
      <c r="IW210" s="1"/>
      <c r="IX210" s="1"/>
      <c r="IY210" s="1"/>
      <c r="IZ210" s="1"/>
      <c r="JA210" s="1"/>
      <c r="JB210" s="1"/>
      <c r="JC210" s="1"/>
      <c r="JD210" s="1"/>
      <c r="JE210" s="1"/>
      <c r="JF210" s="1"/>
      <c r="JG210" s="1"/>
      <c r="JH210" s="1"/>
      <c r="JI210" s="1"/>
      <c r="JJ210" s="1"/>
      <c r="JK210" s="1"/>
      <c r="JL210" s="1"/>
      <c r="JM210" s="1"/>
      <c r="JN210" s="1"/>
      <c r="JO210" s="1"/>
      <c r="JP210" s="1"/>
      <c r="JQ210" s="1"/>
      <c r="JR210" s="1"/>
      <c r="JS210" s="1"/>
      <c r="JT210" s="1"/>
      <c r="JU210" s="1"/>
      <c r="JV210" s="1"/>
      <c r="JW210" s="1"/>
      <c r="JX210" s="1"/>
      <c r="JY210" s="1"/>
      <c r="JZ210" s="1"/>
      <c r="KA210" s="1"/>
      <c r="KB210" s="1"/>
      <c r="KC210" s="1"/>
      <c r="KD210" s="1"/>
      <c r="KE210" s="1"/>
      <c r="KF210" s="1"/>
      <c r="KG210" s="1"/>
      <c r="KH210" s="1"/>
      <c r="KI210" s="1"/>
      <c r="KJ210" s="1"/>
      <c r="KK210" s="1"/>
      <c r="KL210" s="1"/>
      <c r="KM210" s="1"/>
      <c r="KN210" s="1"/>
      <c r="KO210" s="1"/>
      <c r="KP210" s="1"/>
      <c r="KQ210" s="1"/>
      <c r="KR210" s="1"/>
      <c r="KS210" s="1"/>
      <c r="KT210" s="1"/>
      <c r="KU210" s="1"/>
      <c r="KV210" s="1"/>
      <c r="KW210" s="1"/>
      <c r="KX210" s="1"/>
      <c r="KY210" s="1"/>
      <c r="KZ210" s="1"/>
      <c r="LA210" s="1"/>
      <c r="LB210" s="1"/>
      <c r="LC210" s="1"/>
      <c r="LD210" s="1"/>
      <c r="LE210" s="1"/>
      <c r="LF210" s="1"/>
      <c r="LG210" s="1"/>
      <c r="LH210" s="1"/>
      <c r="LI210" s="1"/>
      <c r="LJ210" s="1"/>
      <c r="LK210" s="1"/>
      <c r="LL210" s="1"/>
      <c r="LM210" s="1"/>
      <c r="LN210" s="1"/>
      <c r="LO210" s="1"/>
      <c r="LP210" s="1"/>
      <c r="LQ210" s="1"/>
      <c r="LR210" s="1"/>
      <c r="LS210" s="1"/>
    </row>
    <row r="211" spans="1:331" s="4" customFormat="1" x14ac:dyDescent="0.25">
      <c r="A211" s="4" t="s">
        <v>795</v>
      </c>
      <c r="B211" s="7" t="s">
        <v>796</v>
      </c>
      <c r="C211" s="94" t="s">
        <v>1649</v>
      </c>
      <c r="D211" s="4">
        <v>0</v>
      </c>
      <c r="H211" s="4" t="s">
        <v>797</v>
      </c>
      <c r="I211" s="4" t="s">
        <v>797</v>
      </c>
      <c r="J211" s="4" t="s">
        <v>90</v>
      </c>
      <c r="K211" s="4" t="s">
        <v>90</v>
      </c>
      <c r="L211" s="4">
        <v>1</v>
      </c>
      <c r="M211" s="4" t="s">
        <v>798</v>
      </c>
      <c r="O211" s="4">
        <v>1</v>
      </c>
      <c r="P211" s="4" t="s">
        <v>799</v>
      </c>
      <c r="Q211" s="96"/>
      <c r="R211" s="96" t="s">
        <v>798</v>
      </c>
      <c r="S211" s="4">
        <v>11</v>
      </c>
      <c r="U211" s="4">
        <v>8</v>
      </c>
      <c r="W211" s="96">
        <v>11</v>
      </c>
      <c r="X211" s="96"/>
      <c r="Y211" s="96"/>
      <c r="Z211" s="4">
        <v>4</v>
      </c>
      <c r="AA211" s="94" t="b">
        <v>1</v>
      </c>
      <c r="AB211" s="1" t="s">
        <v>1894</v>
      </c>
      <c r="AC211" s="57" t="s">
        <v>1463</v>
      </c>
      <c r="AD211" s="1"/>
      <c r="AE211" s="57"/>
      <c r="AF211" s="1"/>
      <c r="AG211" s="1"/>
      <c r="AH211" s="1"/>
      <c r="AI211" s="1"/>
      <c r="AJ211" s="1"/>
      <c r="AK211" s="1"/>
      <c r="AL211" s="1"/>
      <c r="AM211" s="1"/>
      <c r="AN211" s="1"/>
      <c r="AO211" s="1"/>
      <c r="AP211" s="1"/>
      <c r="AQ211" s="1"/>
      <c r="AR211" s="1"/>
      <c r="AS211" s="1"/>
      <c r="AT211" s="1"/>
      <c r="AU211" s="1"/>
      <c r="AV211" s="1"/>
      <c r="AW211" s="1"/>
      <c r="AX211" s="1"/>
      <c r="AY211" s="1"/>
      <c r="AZ211" s="1"/>
      <c r="BA211" s="1"/>
      <c r="BB211" s="1"/>
      <c r="BC211" s="1"/>
      <c r="BD211" s="1"/>
      <c r="BE211" s="1"/>
      <c r="BF211" s="1"/>
      <c r="BG211" s="1"/>
      <c r="BH211" s="1"/>
      <c r="BI211" s="1"/>
      <c r="BJ211" s="1"/>
      <c r="BK211" s="1"/>
      <c r="BL211" s="1"/>
      <c r="BM211" s="1"/>
      <c r="BN211" s="1"/>
      <c r="BO211" s="1"/>
      <c r="BP211" s="1"/>
      <c r="BQ211" s="1"/>
      <c r="BR211" s="1"/>
      <c r="BS211" s="1"/>
      <c r="BT211" s="1"/>
      <c r="BU211" s="1"/>
      <c r="BV211" s="1"/>
      <c r="BW211" s="1"/>
      <c r="BX211" s="1"/>
      <c r="BY211" s="1"/>
      <c r="BZ211" s="1"/>
      <c r="CA211" s="1"/>
      <c r="CB211" s="1"/>
      <c r="CC211" s="1"/>
      <c r="CD211" s="1"/>
      <c r="CE211" s="1"/>
      <c r="CF211" s="1"/>
      <c r="CG211" s="1"/>
      <c r="CH211" s="1"/>
      <c r="CI211" s="1"/>
      <c r="CJ211" s="1"/>
      <c r="CK211" s="1"/>
      <c r="CL211" s="1"/>
      <c r="CM211" s="1"/>
      <c r="CN211" s="1"/>
      <c r="CO211" s="1"/>
      <c r="CP211" s="1"/>
      <c r="CQ211" s="1"/>
      <c r="CR211" s="1"/>
      <c r="CS211" s="1"/>
      <c r="CT211" s="1"/>
      <c r="CU211" s="1"/>
      <c r="CV211" s="1"/>
      <c r="CW211" s="1"/>
      <c r="CX211" s="1"/>
      <c r="CY211" s="1"/>
      <c r="CZ211" s="1"/>
      <c r="DA211" s="1"/>
      <c r="DB211" s="1"/>
      <c r="DC211" s="1"/>
      <c r="DD211" s="1"/>
      <c r="DE211" s="1"/>
      <c r="DF211" s="1"/>
      <c r="DG211" s="1"/>
      <c r="DH211" s="1"/>
      <c r="DI211" s="1"/>
      <c r="DJ211" s="1"/>
      <c r="DK211" s="1"/>
      <c r="DL211" s="1"/>
      <c r="DM211" s="1"/>
      <c r="DN211" s="1"/>
      <c r="DO211" s="1"/>
      <c r="DP211" s="1"/>
      <c r="DQ211" s="1"/>
      <c r="DR211" s="1"/>
      <c r="DS211" s="1"/>
      <c r="DT211" s="1"/>
      <c r="DU211" s="1"/>
      <c r="DV211" s="1"/>
      <c r="DW211" s="1"/>
      <c r="DX211" s="1"/>
      <c r="DY211" s="1"/>
      <c r="DZ211" s="1"/>
      <c r="EA211" s="1"/>
      <c r="EB211" s="1"/>
      <c r="EC211" s="1"/>
      <c r="ED211" s="1"/>
      <c r="EE211" s="1"/>
      <c r="EF211" s="1"/>
      <c r="EG211" s="1"/>
      <c r="EH211" s="1"/>
      <c r="EI211" s="1"/>
      <c r="EJ211" s="1"/>
      <c r="EK211" s="1"/>
      <c r="EL211" s="1"/>
      <c r="EM211" s="1"/>
      <c r="EN211" s="1"/>
      <c r="EO211" s="1"/>
      <c r="EP211" s="1"/>
      <c r="EQ211" s="1"/>
      <c r="ER211" s="1"/>
      <c r="ES211" s="1"/>
      <c r="ET211" s="1"/>
      <c r="EU211" s="1"/>
      <c r="EV211" s="1"/>
      <c r="EW211" s="1"/>
      <c r="EX211" s="1"/>
      <c r="EY211" s="1"/>
      <c r="EZ211" s="1"/>
      <c r="FA211" s="1"/>
      <c r="FB211" s="1"/>
      <c r="FC211" s="1"/>
      <c r="FD211" s="1"/>
      <c r="FE211" s="1"/>
      <c r="FF211" s="1"/>
      <c r="FG211" s="1"/>
      <c r="FH211" s="1"/>
      <c r="FI211" s="1"/>
      <c r="FJ211" s="1"/>
      <c r="FK211" s="1"/>
      <c r="FL211" s="1"/>
      <c r="FM211" s="1"/>
      <c r="FN211" s="1"/>
      <c r="FO211" s="1"/>
      <c r="FP211" s="1"/>
      <c r="FQ211" s="1"/>
      <c r="FR211" s="1"/>
      <c r="FS211" s="1"/>
      <c r="FT211" s="1"/>
      <c r="FU211" s="1"/>
      <c r="FV211" s="1"/>
      <c r="FW211" s="1"/>
      <c r="FX211" s="1"/>
      <c r="FY211" s="1"/>
      <c r="FZ211" s="1"/>
      <c r="GA211" s="1"/>
      <c r="GB211" s="1"/>
      <c r="GC211" s="1"/>
      <c r="GD211" s="1"/>
      <c r="GE211" s="1"/>
      <c r="GF211" s="1"/>
      <c r="GG211" s="1"/>
      <c r="GH211" s="1"/>
      <c r="GI211" s="1"/>
      <c r="GJ211" s="1"/>
      <c r="GK211" s="1"/>
      <c r="GL211" s="1"/>
      <c r="GM211" s="1"/>
      <c r="GN211" s="1"/>
      <c r="GO211" s="1"/>
      <c r="GP211" s="1"/>
      <c r="GQ211" s="1"/>
      <c r="GR211" s="1"/>
      <c r="GS211" s="1"/>
      <c r="GT211" s="1"/>
      <c r="GU211" s="1"/>
      <c r="GV211" s="1"/>
      <c r="GW211" s="1"/>
      <c r="GX211" s="1"/>
      <c r="GY211" s="1"/>
      <c r="GZ211" s="1"/>
      <c r="HA211" s="1"/>
      <c r="HB211" s="1"/>
      <c r="HC211" s="1"/>
      <c r="HD211" s="1"/>
      <c r="HE211" s="1"/>
      <c r="HF211" s="1"/>
      <c r="HG211" s="1"/>
      <c r="HH211" s="1"/>
      <c r="HI211" s="1"/>
      <c r="HJ211" s="1"/>
      <c r="HK211" s="1"/>
      <c r="HL211" s="1"/>
      <c r="HM211" s="1"/>
      <c r="HN211" s="1"/>
      <c r="HO211" s="1"/>
      <c r="HP211" s="1"/>
      <c r="HQ211" s="1"/>
      <c r="HR211" s="1"/>
      <c r="HS211" s="1"/>
      <c r="HT211" s="1"/>
      <c r="HU211" s="1"/>
      <c r="HV211" s="1"/>
      <c r="HW211" s="1"/>
      <c r="HX211" s="1"/>
      <c r="HY211" s="1"/>
      <c r="HZ211" s="1"/>
      <c r="IA211" s="1"/>
      <c r="IB211" s="1"/>
      <c r="IC211" s="1"/>
      <c r="ID211" s="1"/>
      <c r="IE211" s="1"/>
      <c r="IF211" s="1"/>
      <c r="IG211" s="1"/>
      <c r="IH211" s="1"/>
      <c r="II211" s="1"/>
      <c r="IJ211" s="1"/>
      <c r="IK211" s="1"/>
      <c r="IL211" s="1"/>
      <c r="IM211" s="1"/>
      <c r="IN211" s="1"/>
      <c r="IO211" s="1"/>
      <c r="IP211" s="1"/>
      <c r="IQ211" s="1"/>
      <c r="IR211" s="1"/>
      <c r="IS211" s="1"/>
      <c r="IT211" s="1"/>
      <c r="IU211" s="1"/>
      <c r="IV211" s="1"/>
      <c r="IW211" s="1"/>
      <c r="IX211" s="1"/>
      <c r="IY211" s="1"/>
      <c r="IZ211" s="1"/>
      <c r="JA211" s="1"/>
      <c r="JB211" s="1"/>
      <c r="JC211" s="1"/>
      <c r="JD211" s="1"/>
      <c r="JE211" s="1"/>
      <c r="JF211" s="1"/>
      <c r="JG211" s="1"/>
      <c r="JH211" s="1"/>
      <c r="JI211" s="1"/>
      <c r="JJ211" s="1"/>
      <c r="JK211" s="1"/>
      <c r="JL211" s="1"/>
      <c r="JM211" s="1"/>
      <c r="JN211" s="1"/>
      <c r="JO211" s="1"/>
      <c r="JP211" s="1"/>
      <c r="JQ211" s="1"/>
      <c r="JR211" s="1"/>
      <c r="JS211" s="1"/>
      <c r="JT211" s="1"/>
      <c r="JU211" s="1"/>
      <c r="JV211" s="1"/>
      <c r="JW211" s="1"/>
      <c r="JX211" s="1"/>
      <c r="JY211" s="1"/>
      <c r="JZ211" s="1"/>
      <c r="KA211" s="1"/>
      <c r="KB211" s="1"/>
      <c r="KC211" s="1"/>
      <c r="KD211" s="1"/>
      <c r="KE211" s="1"/>
      <c r="KF211" s="1"/>
      <c r="KG211" s="1"/>
      <c r="KH211" s="1"/>
      <c r="KI211" s="1"/>
      <c r="KJ211" s="1"/>
      <c r="KK211" s="1"/>
      <c r="KL211" s="1"/>
      <c r="KM211" s="1"/>
      <c r="KN211" s="1"/>
      <c r="KO211" s="1"/>
      <c r="KP211" s="1"/>
      <c r="KQ211" s="1"/>
      <c r="KR211" s="1"/>
      <c r="KS211" s="1"/>
      <c r="KT211" s="1"/>
      <c r="KU211" s="1"/>
      <c r="KV211" s="1"/>
      <c r="KW211" s="1"/>
      <c r="KX211" s="1"/>
      <c r="KY211" s="1"/>
      <c r="KZ211" s="1"/>
      <c r="LA211" s="1"/>
      <c r="LB211" s="1"/>
      <c r="LC211" s="1"/>
      <c r="LD211" s="1"/>
      <c r="LE211" s="1"/>
      <c r="LF211" s="1"/>
      <c r="LG211" s="1"/>
      <c r="LH211" s="1"/>
      <c r="LI211" s="1"/>
      <c r="LJ211" s="1"/>
      <c r="LK211" s="1"/>
      <c r="LL211" s="1"/>
      <c r="LM211" s="1"/>
      <c r="LN211" s="1"/>
      <c r="LO211" s="1"/>
      <c r="LP211" s="1"/>
      <c r="LQ211" s="1"/>
      <c r="LR211" s="1"/>
      <c r="LS211" s="1"/>
    </row>
    <row r="212" spans="1:331" x14ac:dyDescent="0.25">
      <c r="A212" s="1" t="s">
        <v>1728</v>
      </c>
      <c r="B212" s="1"/>
      <c r="C212" s="96" t="s">
        <v>1649</v>
      </c>
      <c r="D212" s="1">
        <v>0</v>
      </c>
      <c r="H212" s="1" t="s">
        <v>665</v>
      </c>
      <c r="I212" s="1" t="s">
        <v>1738</v>
      </c>
      <c r="K212" s="1" t="s">
        <v>668</v>
      </c>
      <c r="L212" s="1">
        <v>1</v>
      </c>
      <c r="M212" s="1" t="s">
        <v>1656</v>
      </c>
      <c r="O212" s="1">
        <v>0</v>
      </c>
      <c r="Q212" s="96" t="s">
        <v>222</v>
      </c>
      <c r="T212" s="1">
        <v>7</v>
      </c>
      <c r="AA212" s="94" t="b">
        <v>0</v>
      </c>
    </row>
    <row r="213" spans="1:331" x14ac:dyDescent="0.25">
      <c r="A213" s="1" t="s">
        <v>1734</v>
      </c>
      <c r="B213" s="1"/>
      <c r="C213" s="96" t="s">
        <v>1649</v>
      </c>
      <c r="D213" s="1">
        <v>0</v>
      </c>
      <c r="H213" s="1" t="s">
        <v>1192</v>
      </c>
      <c r="I213" s="1" t="s">
        <v>1192</v>
      </c>
      <c r="K213" s="1" t="s">
        <v>1191</v>
      </c>
      <c r="L213" s="1">
        <v>0</v>
      </c>
      <c r="O213" s="1">
        <v>0</v>
      </c>
      <c r="Q213" s="96" t="s">
        <v>46</v>
      </c>
      <c r="S213" s="1">
        <v>15</v>
      </c>
      <c r="AA213" s="94" t="b">
        <v>0</v>
      </c>
    </row>
    <row r="214" spans="1:331" x14ac:dyDescent="0.25">
      <c r="A214" s="1" t="s">
        <v>1733</v>
      </c>
      <c r="B214" s="1"/>
      <c r="C214" s="96" t="s">
        <v>1649</v>
      </c>
      <c r="D214" s="1">
        <v>0</v>
      </c>
      <c r="H214" s="1" t="s">
        <v>1739</v>
      </c>
      <c r="I214" s="1" t="s">
        <v>1740</v>
      </c>
      <c r="K214" s="1" t="s">
        <v>221</v>
      </c>
      <c r="L214" s="1">
        <v>0</v>
      </c>
      <c r="O214" s="1">
        <v>0</v>
      </c>
      <c r="Q214" s="96" t="s">
        <v>1243</v>
      </c>
      <c r="AA214" s="94" t="b">
        <v>0</v>
      </c>
    </row>
    <row r="215" spans="1:331" x14ac:dyDescent="0.25">
      <c r="A215" s="1" t="s">
        <v>1732</v>
      </c>
      <c r="B215" s="1"/>
      <c r="C215" s="96" t="s">
        <v>1649</v>
      </c>
      <c r="D215" s="1">
        <v>0</v>
      </c>
      <c r="H215" s="1" t="s">
        <v>1741</v>
      </c>
      <c r="I215" s="1" t="s">
        <v>1741</v>
      </c>
      <c r="K215" s="1" t="s">
        <v>1741</v>
      </c>
      <c r="L215" s="1">
        <v>0</v>
      </c>
      <c r="O215" s="1">
        <v>1</v>
      </c>
      <c r="P215" s="1" t="s">
        <v>49</v>
      </c>
      <c r="Q215" s="96" t="s">
        <v>1673</v>
      </c>
      <c r="S215" s="1">
        <v>7</v>
      </c>
      <c r="AA215" s="94" t="b">
        <v>0</v>
      </c>
    </row>
    <row r="216" spans="1:331" x14ac:dyDescent="0.25">
      <c r="A216" s="1" t="s">
        <v>1731</v>
      </c>
      <c r="B216" s="1"/>
      <c r="C216" s="96" t="s">
        <v>1649</v>
      </c>
      <c r="D216" s="1">
        <v>0</v>
      </c>
      <c r="H216" s="1" t="s">
        <v>140</v>
      </c>
      <c r="I216" s="1" t="s">
        <v>455</v>
      </c>
      <c r="K216" s="1" t="s">
        <v>1742</v>
      </c>
      <c r="L216" s="1">
        <v>2</v>
      </c>
      <c r="M216" s="1" t="s">
        <v>1619</v>
      </c>
      <c r="N216" s="1" t="s">
        <v>1555</v>
      </c>
      <c r="O216" s="1">
        <v>0</v>
      </c>
      <c r="R216" s="96" t="s">
        <v>1743</v>
      </c>
      <c r="S216" s="1">
        <v>21</v>
      </c>
      <c r="T216" s="1">
        <v>7</v>
      </c>
      <c r="AA216" s="94" t="b">
        <v>0</v>
      </c>
    </row>
    <row r="217" spans="1:331" x14ac:dyDescent="0.25">
      <c r="A217" s="1" t="s">
        <v>1730</v>
      </c>
      <c r="B217" s="1"/>
      <c r="C217" s="96" t="s">
        <v>1649</v>
      </c>
      <c r="D217" s="1">
        <v>0</v>
      </c>
      <c r="H217" s="1" t="s">
        <v>1744</v>
      </c>
      <c r="I217" s="1" t="s">
        <v>1745</v>
      </c>
      <c r="K217" s="1" t="s">
        <v>1746</v>
      </c>
      <c r="L217" s="1">
        <v>1</v>
      </c>
      <c r="M217" s="1" t="s">
        <v>1747</v>
      </c>
      <c r="O217" s="1">
        <v>1</v>
      </c>
      <c r="P217" s="1" t="s">
        <v>1748</v>
      </c>
      <c r="Q217" s="96" t="s">
        <v>1193</v>
      </c>
      <c r="S217" s="1">
        <v>6</v>
      </c>
      <c r="AA217" s="94" t="b">
        <v>0</v>
      </c>
    </row>
    <row r="218" spans="1:331" x14ac:dyDescent="0.25">
      <c r="A218" s="1" t="s">
        <v>1729</v>
      </c>
      <c r="B218" s="1"/>
      <c r="C218" s="96" t="s">
        <v>1649</v>
      </c>
      <c r="I218" s="1" t="s">
        <v>711</v>
      </c>
      <c r="AA218" s="94" t="b">
        <v>0</v>
      </c>
    </row>
    <row r="219" spans="1:331" s="35" customFormat="1" x14ac:dyDescent="0.25">
      <c r="A219" s="35" t="s">
        <v>800</v>
      </c>
      <c r="B219" s="39" t="s">
        <v>801</v>
      </c>
      <c r="C219" s="94" t="s">
        <v>1650</v>
      </c>
      <c r="D219" s="35">
        <v>3</v>
      </c>
      <c r="E219" s="35" t="s">
        <v>802</v>
      </c>
      <c r="F219" s="35" t="s">
        <v>803</v>
      </c>
      <c r="G219" s="35" t="s">
        <v>803</v>
      </c>
      <c r="H219" s="35" t="s">
        <v>802</v>
      </c>
      <c r="I219" s="35" t="s">
        <v>802</v>
      </c>
      <c r="J219" s="35" t="s">
        <v>803</v>
      </c>
      <c r="K219" s="35" t="s">
        <v>803</v>
      </c>
      <c r="L219" s="35">
        <v>0</v>
      </c>
      <c r="O219" s="35">
        <v>1</v>
      </c>
      <c r="P219" s="35" t="s">
        <v>804</v>
      </c>
      <c r="Q219" s="96" t="s">
        <v>1572</v>
      </c>
      <c r="R219" s="96"/>
      <c r="S219" s="35">
        <v>28</v>
      </c>
      <c r="U219" s="35">
        <v>29</v>
      </c>
      <c r="W219" s="96">
        <v>28</v>
      </c>
      <c r="X219" s="96"/>
      <c r="Y219" s="96"/>
      <c r="Z219" s="35">
        <v>7</v>
      </c>
      <c r="AA219" s="94" t="b">
        <v>1</v>
      </c>
      <c r="AB219" s="1"/>
      <c r="AC219" s="57" t="s">
        <v>1719</v>
      </c>
      <c r="AD219" s="1"/>
      <c r="AE219" s="57"/>
      <c r="AF219" s="1"/>
      <c r="AG219" s="1"/>
      <c r="AH219" s="1"/>
      <c r="AI219" s="1"/>
      <c r="AJ219" s="1"/>
      <c r="AK219" s="1"/>
      <c r="AL219" s="1"/>
      <c r="AM219" s="1"/>
      <c r="AN219" s="1"/>
      <c r="AO219" s="1"/>
      <c r="AP219" s="1"/>
      <c r="AQ219" s="1"/>
      <c r="AR219" s="1"/>
      <c r="AS219" s="1"/>
      <c r="AT219" s="1"/>
      <c r="AU219" s="1"/>
      <c r="AV219" s="1"/>
      <c r="AW219" s="1"/>
      <c r="AX219" s="1"/>
      <c r="AY219" s="1"/>
      <c r="AZ219" s="1"/>
      <c r="BA219" s="1"/>
      <c r="BB219" s="1"/>
      <c r="BC219" s="1"/>
      <c r="BD219" s="1"/>
      <c r="BE219" s="1"/>
      <c r="BF219" s="1"/>
      <c r="BG219" s="1"/>
      <c r="BH219" s="1"/>
      <c r="BI219" s="1"/>
      <c r="BJ219" s="1"/>
      <c r="BK219" s="1"/>
      <c r="BL219" s="1"/>
      <c r="BM219" s="1"/>
      <c r="BN219" s="1"/>
      <c r="BO219" s="1"/>
      <c r="BP219" s="1"/>
      <c r="BQ219" s="1"/>
      <c r="BR219" s="1"/>
      <c r="BS219" s="1"/>
      <c r="BT219" s="1"/>
      <c r="BU219" s="1"/>
      <c r="BV219" s="1"/>
      <c r="BW219" s="1"/>
      <c r="BX219" s="1"/>
      <c r="BY219" s="1"/>
      <c r="BZ219" s="1"/>
      <c r="CA219" s="1"/>
      <c r="CB219" s="1"/>
      <c r="CC219" s="1"/>
      <c r="CD219" s="1"/>
      <c r="CE219" s="1"/>
      <c r="CF219" s="1"/>
      <c r="CG219" s="1"/>
      <c r="CH219" s="1"/>
      <c r="CI219" s="1"/>
      <c r="CJ219" s="1"/>
      <c r="CK219" s="1"/>
      <c r="CL219" s="1"/>
      <c r="CM219" s="1"/>
      <c r="CN219" s="1"/>
      <c r="CO219" s="1"/>
      <c r="CP219" s="1"/>
      <c r="CQ219" s="1"/>
      <c r="CR219" s="1"/>
      <c r="CS219" s="1"/>
      <c r="CT219" s="1"/>
      <c r="CU219" s="1"/>
      <c r="CV219" s="1"/>
      <c r="CW219" s="1"/>
      <c r="CX219" s="1"/>
      <c r="CY219" s="1"/>
      <c r="CZ219" s="1"/>
      <c r="DA219" s="1"/>
      <c r="DB219" s="1"/>
      <c r="DC219" s="1"/>
      <c r="DD219" s="1"/>
      <c r="DE219" s="1"/>
      <c r="DF219" s="1"/>
      <c r="DG219" s="1"/>
      <c r="DH219" s="1"/>
      <c r="DI219" s="1"/>
      <c r="DJ219" s="1"/>
      <c r="DK219" s="1"/>
      <c r="DL219" s="1"/>
      <c r="DM219" s="1"/>
      <c r="DN219" s="1"/>
      <c r="DO219" s="1"/>
      <c r="DP219" s="1"/>
      <c r="DQ219" s="1"/>
      <c r="DR219" s="1"/>
      <c r="DS219" s="1"/>
      <c r="DT219" s="1"/>
      <c r="DU219" s="1"/>
      <c r="DV219" s="1"/>
      <c r="DW219" s="1"/>
      <c r="DX219" s="1"/>
      <c r="DY219" s="1"/>
      <c r="DZ219" s="1"/>
      <c r="EA219" s="1"/>
      <c r="EB219" s="1"/>
      <c r="EC219" s="1"/>
      <c r="ED219" s="1"/>
      <c r="EE219" s="1"/>
      <c r="EF219" s="1"/>
      <c r="EG219" s="1"/>
      <c r="EH219" s="1"/>
      <c r="EI219" s="1"/>
      <c r="EJ219" s="1"/>
      <c r="EK219" s="1"/>
      <c r="EL219" s="1"/>
      <c r="EM219" s="1"/>
      <c r="EN219" s="1"/>
      <c r="EO219" s="1"/>
      <c r="EP219" s="1"/>
      <c r="EQ219" s="1"/>
      <c r="ER219" s="1"/>
      <c r="ES219" s="1"/>
      <c r="ET219" s="1"/>
      <c r="EU219" s="1"/>
      <c r="EV219" s="1"/>
      <c r="EW219" s="1"/>
      <c r="EX219" s="1"/>
      <c r="EY219" s="1"/>
      <c r="EZ219" s="1"/>
      <c r="FA219" s="1"/>
      <c r="FB219" s="1"/>
      <c r="FC219" s="1"/>
      <c r="FD219" s="1"/>
      <c r="FE219" s="1"/>
      <c r="FF219" s="1"/>
      <c r="FG219" s="1"/>
      <c r="FH219" s="1"/>
      <c r="FI219" s="1"/>
      <c r="FJ219" s="1"/>
      <c r="FK219" s="1"/>
      <c r="FL219" s="1"/>
      <c r="FM219" s="1"/>
      <c r="FN219" s="1"/>
      <c r="FO219" s="1"/>
      <c r="FP219" s="1"/>
      <c r="FQ219" s="1"/>
      <c r="FR219" s="1"/>
      <c r="FS219" s="1"/>
      <c r="FT219" s="1"/>
      <c r="FU219" s="1"/>
      <c r="FV219" s="1"/>
      <c r="FW219" s="1"/>
      <c r="FX219" s="1"/>
      <c r="FY219" s="1"/>
      <c r="FZ219" s="1"/>
      <c r="GA219" s="1"/>
      <c r="GB219" s="1"/>
      <c r="GC219" s="1"/>
      <c r="GD219" s="1"/>
      <c r="GE219" s="1"/>
      <c r="GF219" s="1"/>
      <c r="GG219" s="1"/>
      <c r="GH219" s="1"/>
      <c r="GI219" s="1"/>
      <c r="GJ219" s="1"/>
      <c r="GK219" s="1"/>
      <c r="GL219" s="1"/>
      <c r="GM219" s="1"/>
      <c r="GN219" s="1"/>
      <c r="GO219" s="1"/>
      <c r="GP219" s="1"/>
      <c r="GQ219" s="1"/>
      <c r="GR219" s="1"/>
      <c r="GS219" s="1"/>
      <c r="GT219" s="1"/>
      <c r="GU219" s="1"/>
      <c r="GV219" s="1"/>
      <c r="GW219" s="1"/>
      <c r="GX219" s="1"/>
      <c r="GY219" s="1"/>
      <c r="GZ219" s="1"/>
      <c r="HA219" s="1"/>
      <c r="HB219" s="1"/>
      <c r="HC219" s="1"/>
      <c r="HD219" s="1"/>
      <c r="HE219" s="1"/>
      <c r="HF219" s="1"/>
      <c r="HG219" s="1"/>
      <c r="HH219" s="1"/>
      <c r="HI219" s="1"/>
      <c r="HJ219" s="1"/>
      <c r="HK219" s="1"/>
      <c r="HL219" s="1"/>
      <c r="HM219" s="1"/>
      <c r="HN219" s="1"/>
      <c r="HO219" s="1"/>
      <c r="HP219" s="1"/>
      <c r="HQ219" s="1"/>
      <c r="HR219" s="1"/>
      <c r="HS219" s="1"/>
      <c r="HT219" s="1"/>
      <c r="HU219" s="1"/>
      <c r="HV219" s="1"/>
      <c r="HW219" s="1"/>
      <c r="HX219" s="1"/>
      <c r="HY219" s="1"/>
      <c r="HZ219" s="1"/>
      <c r="IA219" s="1"/>
      <c r="IB219" s="1"/>
      <c r="IC219" s="1"/>
      <c r="ID219" s="1"/>
      <c r="IE219" s="1"/>
      <c r="IF219" s="1"/>
      <c r="IG219" s="1"/>
      <c r="IH219" s="1"/>
      <c r="II219" s="1"/>
      <c r="IJ219" s="1"/>
      <c r="IK219" s="1"/>
      <c r="IL219" s="1"/>
      <c r="IM219" s="1"/>
      <c r="IN219" s="1"/>
      <c r="IO219" s="1"/>
      <c r="IP219" s="1"/>
      <c r="IQ219" s="1"/>
      <c r="IR219" s="1"/>
      <c r="IS219" s="1"/>
      <c r="IT219" s="1"/>
      <c r="IU219" s="1"/>
      <c r="IV219" s="1"/>
      <c r="IW219" s="1"/>
      <c r="IX219" s="1"/>
      <c r="IY219" s="1"/>
      <c r="IZ219" s="1"/>
      <c r="JA219" s="1"/>
      <c r="JB219" s="1"/>
      <c r="JC219" s="1"/>
      <c r="JD219" s="1"/>
      <c r="JE219" s="1"/>
      <c r="JF219" s="1"/>
      <c r="JG219" s="1"/>
      <c r="JH219" s="1"/>
      <c r="JI219" s="1"/>
      <c r="JJ219" s="1"/>
      <c r="JK219" s="1"/>
      <c r="JL219" s="1"/>
      <c r="JM219" s="1"/>
      <c r="JN219" s="1"/>
      <c r="JO219" s="1"/>
      <c r="JP219" s="1"/>
      <c r="JQ219" s="1"/>
      <c r="JR219" s="1"/>
      <c r="JS219" s="1"/>
      <c r="JT219" s="1"/>
      <c r="JU219" s="1"/>
      <c r="JV219" s="1"/>
      <c r="JW219" s="1"/>
      <c r="JX219" s="1"/>
      <c r="JY219" s="1"/>
      <c r="JZ219" s="1"/>
      <c r="KA219" s="1"/>
      <c r="KB219" s="1"/>
      <c r="KC219" s="1"/>
      <c r="KD219" s="1"/>
      <c r="KE219" s="1"/>
      <c r="KF219" s="1"/>
      <c r="KG219" s="1"/>
      <c r="KH219" s="1"/>
      <c r="KI219" s="1"/>
      <c r="KJ219" s="1"/>
      <c r="KK219" s="1"/>
      <c r="KL219" s="1"/>
      <c r="KM219" s="1"/>
      <c r="KN219" s="1"/>
      <c r="KO219" s="1"/>
      <c r="KP219" s="1"/>
      <c r="KQ219" s="1"/>
      <c r="KR219" s="1"/>
      <c r="KS219" s="1"/>
      <c r="KT219" s="1"/>
      <c r="KU219" s="1"/>
      <c r="KV219" s="1"/>
      <c r="KW219" s="1"/>
      <c r="KX219" s="1"/>
      <c r="KY219" s="1"/>
      <c r="KZ219" s="1"/>
      <c r="LA219" s="1"/>
      <c r="LB219" s="1"/>
      <c r="LC219" s="1"/>
      <c r="LD219" s="1"/>
      <c r="LE219" s="1"/>
      <c r="LF219" s="1"/>
      <c r="LG219" s="1"/>
      <c r="LH219" s="1"/>
      <c r="LI219" s="1"/>
      <c r="LJ219" s="1"/>
      <c r="LK219" s="1"/>
      <c r="LL219" s="1"/>
      <c r="LM219" s="1"/>
      <c r="LN219" s="1"/>
      <c r="LO219" s="1"/>
      <c r="LP219" s="1"/>
      <c r="LQ219" s="1"/>
      <c r="LR219" s="1"/>
      <c r="LS219" s="1"/>
    </row>
    <row r="220" spans="1:331" s="25" customFormat="1" x14ac:dyDescent="0.25">
      <c r="A220" s="25" t="s">
        <v>805</v>
      </c>
      <c r="B220" s="29" t="s">
        <v>806</v>
      </c>
      <c r="C220" s="94" t="s">
        <v>1650</v>
      </c>
      <c r="D220" s="25">
        <v>0</v>
      </c>
      <c r="H220" s="25" t="s">
        <v>807</v>
      </c>
      <c r="I220" s="25" t="s">
        <v>807</v>
      </c>
      <c r="J220" s="25" t="s">
        <v>807</v>
      </c>
      <c r="K220" s="25" t="s">
        <v>1699</v>
      </c>
      <c r="L220" s="25">
        <v>0</v>
      </c>
      <c r="O220" s="25">
        <v>1</v>
      </c>
      <c r="Q220" s="96" t="s">
        <v>813</v>
      </c>
      <c r="R220" s="96"/>
      <c r="T220" s="25">
        <v>6.6</v>
      </c>
      <c r="V220" s="25">
        <v>9</v>
      </c>
      <c r="W220" s="96">
        <v>7</v>
      </c>
      <c r="X220" s="96"/>
      <c r="Y220" s="96"/>
      <c r="Z220" s="25">
        <v>5</v>
      </c>
      <c r="AA220" s="94" t="b">
        <v>1</v>
      </c>
      <c r="AB220" s="1" t="s">
        <v>1894</v>
      </c>
      <c r="AC220" s="57" t="s">
        <v>1339</v>
      </c>
      <c r="AD220" s="1"/>
      <c r="AE220" s="57"/>
      <c r="AF220" s="1"/>
      <c r="AG220" s="1"/>
      <c r="AH220" s="1"/>
      <c r="AI220" s="1"/>
      <c r="AJ220" s="1"/>
      <c r="AK220" s="1"/>
      <c r="AL220" s="1"/>
      <c r="AM220" s="1"/>
      <c r="AN220" s="1"/>
      <c r="AO220" s="1"/>
      <c r="AP220" s="1"/>
      <c r="AQ220" s="1"/>
      <c r="AR220" s="1"/>
      <c r="AS220" s="1"/>
      <c r="AT220" s="1"/>
      <c r="AU220" s="1"/>
      <c r="AV220" s="1"/>
      <c r="AW220" s="1"/>
      <c r="AX220" s="1"/>
      <c r="AY220" s="1"/>
      <c r="AZ220" s="1"/>
      <c r="BA220" s="1"/>
      <c r="BB220" s="1"/>
      <c r="BC220" s="1"/>
      <c r="BD220" s="1"/>
      <c r="BE220" s="1"/>
      <c r="BF220" s="1"/>
      <c r="BG220" s="1"/>
      <c r="BH220" s="1"/>
      <c r="BI220" s="1"/>
      <c r="BJ220" s="1"/>
      <c r="BK220" s="1"/>
      <c r="BL220" s="1"/>
      <c r="BM220" s="1"/>
      <c r="BN220" s="1"/>
      <c r="BO220" s="1"/>
      <c r="BP220" s="1"/>
      <c r="BQ220" s="1"/>
      <c r="BR220" s="1"/>
      <c r="BS220" s="1"/>
      <c r="BT220" s="1"/>
      <c r="BU220" s="1"/>
      <c r="BV220" s="1"/>
      <c r="BW220" s="1"/>
      <c r="BX220" s="1"/>
      <c r="BY220" s="1"/>
      <c r="BZ220" s="1"/>
      <c r="CA220" s="1"/>
      <c r="CB220" s="1"/>
      <c r="CC220" s="1"/>
      <c r="CD220" s="1"/>
      <c r="CE220" s="1"/>
      <c r="CF220" s="1"/>
      <c r="CG220" s="1"/>
      <c r="CH220" s="1"/>
      <c r="CI220" s="1"/>
      <c r="CJ220" s="1"/>
      <c r="CK220" s="1"/>
      <c r="CL220" s="1"/>
      <c r="CM220" s="1"/>
      <c r="CN220" s="1"/>
      <c r="CO220" s="1"/>
      <c r="CP220" s="1"/>
      <c r="CQ220" s="1"/>
      <c r="CR220" s="1"/>
      <c r="CS220" s="1"/>
      <c r="CT220" s="1"/>
      <c r="CU220" s="1"/>
      <c r="CV220" s="1"/>
      <c r="CW220" s="1"/>
      <c r="CX220" s="1"/>
      <c r="CY220" s="1"/>
      <c r="CZ220" s="1"/>
      <c r="DA220" s="1"/>
      <c r="DB220" s="1"/>
      <c r="DC220" s="1"/>
      <c r="DD220" s="1"/>
      <c r="DE220" s="1"/>
      <c r="DF220" s="1"/>
      <c r="DG220" s="1"/>
      <c r="DH220" s="1"/>
      <c r="DI220" s="1"/>
      <c r="DJ220" s="1"/>
      <c r="DK220" s="1"/>
      <c r="DL220" s="1"/>
      <c r="DM220" s="1"/>
      <c r="DN220" s="1"/>
      <c r="DO220" s="1"/>
      <c r="DP220" s="1"/>
      <c r="DQ220" s="1"/>
      <c r="DR220" s="1"/>
      <c r="DS220" s="1"/>
      <c r="DT220" s="1"/>
      <c r="DU220" s="1"/>
      <c r="DV220" s="1"/>
      <c r="DW220" s="1"/>
      <c r="DX220" s="1"/>
      <c r="DY220" s="1"/>
      <c r="DZ220" s="1"/>
      <c r="EA220" s="1"/>
      <c r="EB220" s="1"/>
      <c r="EC220" s="1"/>
      <c r="ED220" s="1"/>
      <c r="EE220" s="1"/>
      <c r="EF220" s="1"/>
      <c r="EG220" s="1"/>
      <c r="EH220" s="1"/>
      <c r="EI220" s="1"/>
      <c r="EJ220" s="1"/>
      <c r="EK220" s="1"/>
      <c r="EL220" s="1"/>
      <c r="EM220" s="1"/>
      <c r="EN220" s="1"/>
      <c r="EO220" s="1"/>
      <c r="EP220" s="1"/>
      <c r="EQ220" s="1"/>
      <c r="ER220" s="1"/>
      <c r="ES220" s="1"/>
      <c r="ET220" s="1"/>
      <c r="EU220" s="1"/>
      <c r="EV220" s="1"/>
      <c r="EW220" s="1"/>
      <c r="EX220" s="1"/>
      <c r="EY220" s="1"/>
      <c r="EZ220" s="1"/>
      <c r="FA220" s="1"/>
      <c r="FB220" s="1"/>
      <c r="FC220" s="1"/>
      <c r="FD220" s="1"/>
      <c r="FE220" s="1"/>
      <c r="FF220" s="1"/>
      <c r="FG220" s="1"/>
      <c r="FH220" s="1"/>
      <c r="FI220" s="1"/>
      <c r="FJ220" s="1"/>
      <c r="FK220" s="1"/>
      <c r="FL220" s="1"/>
      <c r="FM220" s="1"/>
      <c r="FN220" s="1"/>
      <c r="FO220" s="1"/>
      <c r="FP220" s="1"/>
      <c r="FQ220" s="1"/>
      <c r="FR220" s="1"/>
      <c r="FS220" s="1"/>
      <c r="FT220" s="1"/>
      <c r="FU220" s="1"/>
      <c r="FV220" s="1"/>
      <c r="FW220" s="1"/>
      <c r="FX220" s="1"/>
      <c r="FY220" s="1"/>
      <c r="FZ220" s="1"/>
      <c r="GA220" s="1"/>
      <c r="GB220" s="1"/>
      <c r="GC220" s="1"/>
      <c r="GD220" s="1"/>
      <c r="GE220" s="1"/>
      <c r="GF220" s="1"/>
      <c r="GG220" s="1"/>
      <c r="GH220" s="1"/>
      <c r="GI220" s="1"/>
      <c r="GJ220" s="1"/>
      <c r="GK220" s="1"/>
      <c r="GL220" s="1"/>
      <c r="GM220" s="1"/>
      <c r="GN220" s="1"/>
      <c r="GO220" s="1"/>
      <c r="GP220" s="1"/>
      <c r="GQ220" s="1"/>
      <c r="GR220" s="1"/>
      <c r="GS220" s="1"/>
      <c r="GT220" s="1"/>
      <c r="GU220" s="1"/>
      <c r="GV220" s="1"/>
      <c r="GW220" s="1"/>
      <c r="GX220" s="1"/>
      <c r="GY220" s="1"/>
      <c r="GZ220" s="1"/>
      <c r="HA220" s="1"/>
      <c r="HB220" s="1"/>
      <c r="HC220" s="1"/>
      <c r="HD220" s="1"/>
      <c r="HE220" s="1"/>
      <c r="HF220" s="1"/>
      <c r="HG220" s="1"/>
      <c r="HH220" s="1"/>
      <c r="HI220" s="1"/>
      <c r="HJ220" s="1"/>
      <c r="HK220" s="1"/>
      <c r="HL220" s="1"/>
      <c r="HM220" s="1"/>
      <c r="HN220" s="1"/>
      <c r="HO220" s="1"/>
      <c r="HP220" s="1"/>
      <c r="HQ220" s="1"/>
      <c r="HR220" s="1"/>
      <c r="HS220" s="1"/>
      <c r="HT220" s="1"/>
      <c r="HU220" s="1"/>
      <c r="HV220" s="1"/>
      <c r="HW220" s="1"/>
      <c r="HX220" s="1"/>
      <c r="HY220" s="1"/>
      <c r="HZ220" s="1"/>
      <c r="IA220" s="1"/>
      <c r="IB220" s="1"/>
      <c r="IC220" s="1"/>
      <c r="ID220" s="1"/>
      <c r="IE220" s="1"/>
      <c r="IF220" s="1"/>
      <c r="IG220" s="1"/>
      <c r="IH220" s="1"/>
      <c r="II220" s="1"/>
      <c r="IJ220" s="1"/>
      <c r="IK220" s="1"/>
      <c r="IL220" s="1"/>
      <c r="IM220" s="1"/>
      <c r="IN220" s="1"/>
      <c r="IO220" s="1"/>
      <c r="IP220" s="1"/>
      <c r="IQ220" s="1"/>
      <c r="IR220" s="1"/>
      <c r="IS220" s="1"/>
      <c r="IT220" s="1"/>
      <c r="IU220" s="1"/>
      <c r="IV220" s="1"/>
      <c r="IW220" s="1"/>
      <c r="IX220" s="1"/>
      <c r="IY220" s="1"/>
      <c r="IZ220" s="1"/>
      <c r="JA220" s="1"/>
      <c r="JB220" s="1"/>
      <c r="JC220" s="1"/>
      <c r="JD220" s="1"/>
      <c r="JE220" s="1"/>
      <c r="JF220" s="1"/>
      <c r="JG220" s="1"/>
      <c r="JH220" s="1"/>
      <c r="JI220" s="1"/>
      <c r="JJ220" s="1"/>
      <c r="JK220" s="1"/>
      <c r="JL220" s="1"/>
      <c r="JM220" s="1"/>
      <c r="JN220" s="1"/>
      <c r="JO220" s="1"/>
      <c r="JP220" s="1"/>
      <c r="JQ220" s="1"/>
      <c r="JR220" s="1"/>
      <c r="JS220" s="1"/>
      <c r="JT220" s="1"/>
      <c r="JU220" s="1"/>
      <c r="JV220" s="1"/>
      <c r="JW220" s="1"/>
      <c r="JX220" s="1"/>
      <c r="JY220" s="1"/>
      <c r="JZ220" s="1"/>
      <c r="KA220" s="1"/>
      <c r="KB220" s="1"/>
      <c r="KC220" s="1"/>
      <c r="KD220" s="1"/>
      <c r="KE220" s="1"/>
      <c r="KF220" s="1"/>
      <c r="KG220" s="1"/>
      <c r="KH220" s="1"/>
      <c r="KI220" s="1"/>
      <c r="KJ220" s="1"/>
      <c r="KK220" s="1"/>
      <c r="KL220" s="1"/>
      <c r="KM220" s="1"/>
      <c r="KN220" s="1"/>
      <c r="KO220" s="1"/>
      <c r="KP220" s="1"/>
      <c r="KQ220" s="1"/>
      <c r="KR220" s="1"/>
      <c r="KS220" s="1"/>
      <c r="KT220" s="1"/>
      <c r="KU220" s="1"/>
      <c r="KV220" s="1"/>
      <c r="KW220" s="1"/>
      <c r="KX220" s="1"/>
      <c r="KY220" s="1"/>
      <c r="KZ220" s="1"/>
      <c r="LA220" s="1"/>
      <c r="LB220" s="1"/>
      <c r="LC220" s="1"/>
      <c r="LD220" s="1"/>
      <c r="LE220" s="1"/>
      <c r="LF220" s="1"/>
      <c r="LG220" s="1"/>
      <c r="LH220" s="1"/>
      <c r="LI220" s="1"/>
      <c r="LJ220" s="1"/>
      <c r="LK220" s="1"/>
      <c r="LL220" s="1"/>
      <c r="LM220" s="1"/>
      <c r="LN220" s="1"/>
      <c r="LO220" s="1"/>
      <c r="LP220" s="1"/>
      <c r="LQ220" s="1"/>
      <c r="LR220" s="1"/>
      <c r="LS220" s="1"/>
    </row>
    <row r="221" spans="1:331" s="49" customFormat="1" x14ac:dyDescent="0.25">
      <c r="A221" s="49" t="s">
        <v>808</v>
      </c>
      <c r="B221" s="51" t="s">
        <v>809</v>
      </c>
      <c r="C221" s="94" t="s">
        <v>1650</v>
      </c>
      <c r="D221" s="49">
        <v>0</v>
      </c>
      <c r="H221" s="49" t="s">
        <v>810</v>
      </c>
      <c r="I221" s="49" t="s">
        <v>811</v>
      </c>
      <c r="J221" s="49" t="s">
        <v>812</v>
      </c>
      <c r="K221" s="49" t="s">
        <v>811</v>
      </c>
      <c r="L221" s="49">
        <v>0</v>
      </c>
      <c r="O221" s="49">
        <v>1</v>
      </c>
      <c r="Q221" s="96"/>
      <c r="R221" s="96" t="s">
        <v>813</v>
      </c>
      <c r="T221" s="49">
        <v>20</v>
      </c>
      <c r="V221" s="49">
        <v>22</v>
      </c>
      <c r="W221" s="96">
        <v>20</v>
      </c>
      <c r="X221" s="96"/>
      <c r="Y221" s="96"/>
      <c r="Z221" s="49">
        <v>9</v>
      </c>
      <c r="AA221" s="94" t="b">
        <v>1</v>
      </c>
      <c r="AB221" s="1"/>
      <c r="AC221" s="57" t="s">
        <v>1423</v>
      </c>
      <c r="AD221" s="1"/>
      <c r="AE221" s="57"/>
      <c r="AF221" s="1"/>
      <c r="AG221" s="1"/>
      <c r="AH221" s="1"/>
      <c r="AI221" s="1"/>
      <c r="AJ221" s="1"/>
      <c r="AK221" s="1"/>
      <c r="AL221" s="1"/>
      <c r="AM221" s="1"/>
      <c r="AN221" s="1"/>
      <c r="AO221" s="1"/>
      <c r="AP221" s="1"/>
      <c r="AQ221" s="1"/>
      <c r="AR221" s="1"/>
      <c r="AS221" s="1"/>
      <c r="AT221" s="1"/>
      <c r="AU221" s="1"/>
      <c r="AV221" s="1"/>
      <c r="AW221" s="1"/>
      <c r="AX221" s="1"/>
      <c r="AY221" s="1"/>
      <c r="AZ221" s="1"/>
      <c r="BA221" s="1"/>
      <c r="BB221" s="1"/>
      <c r="BC221" s="1"/>
      <c r="BD221" s="1"/>
      <c r="BE221" s="1"/>
      <c r="BF221" s="1"/>
      <c r="BG221" s="1"/>
      <c r="BH221" s="1"/>
      <c r="BI221" s="1"/>
      <c r="BJ221" s="1"/>
      <c r="BK221" s="1"/>
      <c r="BL221" s="1"/>
      <c r="BM221" s="1"/>
      <c r="BN221" s="1"/>
      <c r="BO221" s="1"/>
      <c r="BP221" s="1"/>
      <c r="BQ221" s="1"/>
      <c r="BR221" s="1"/>
      <c r="BS221" s="1"/>
      <c r="BT221" s="1"/>
      <c r="BU221" s="1"/>
      <c r="BV221" s="1"/>
      <c r="BW221" s="1"/>
      <c r="BX221" s="1"/>
      <c r="BY221" s="1"/>
      <c r="BZ221" s="1"/>
      <c r="CA221" s="1"/>
      <c r="CB221" s="1"/>
      <c r="CC221" s="1"/>
      <c r="CD221" s="1"/>
      <c r="CE221" s="1"/>
      <c r="CF221" s="1"/>
      <c r="CG221" s="1"/>
      <c r="CH221" s="1"/>
      <c r="CI221" s="1"/>
      <c r="CJ221" s="1"/>
      <c r="CK221" s="1"/>
      <c r="CL221" s="1"/>
      <c r="CM221" s="1"/>
      <c r="CN221" s="1"/>
      <c r="CO221" s="1"/>
      <c r="CP221" s="1"/>
      <c r="CQ221" s="1"/>
      <c r="CR221" s="1"/>
      <c r="CS221" s="1"/>
      <c r="CT221" s="1"/>
      <c r="CU221" s="1"/>
      <c r="CV221" s="1"/>
      <c r="CW221" s="1"/>
      <c r="CX221" s="1"/>
      <c r="CY221" s="1"/>
      <c r="CZ221" s="1"/>
      <c r="DA221" s="1"/>
      <c r="DB221" s="1"/>
      <c r="DC221" s="1"/>
      <c r="DD221" s="1"/>
      <c r="DE221" s="1"/>
      <c r="DF221" s="1"/>
      <c r="DG221" s="1"/>
      <c r="DH221" s="1"/>
      <c r="DI221" s="1"/>
      <c r="DJ221" s="1"/>
      <c r="DK221" s="1"/>
      <c r="DL221" s="1"/>
      <c r="DM221" s="1"/>
      <c r="DN221" s="1"/>
      <c r="DO221" s="1"/>
      <c r="DP221" s="1"/>
      <c r="DQ221" s="1"/>
      <c r="DR221" s="1"/>
      <c r="DS221" s="1"/>
      <c r="DT221" s="1"/>
      <c r="DU221" s="1"/>
      <c r="DV221" s="1"/>
      <c r="DW221" s="1"/>
      <c r="DX221" s="1"/>
      <c r="DY221" s="1"/>
      <c r="DZ221" s="1"/>
      <c r="EA221" s="1"/>
      <c r="EB221" s="1"/>
      <c r="EC221" s="1"/>
      <c r="ED221" s="1"/>
      <c r="EE221" s="1"/>
      <c r="EF221" s="1"/>
      <c r="EG221" s="1"/>
      <c r="EH221" s="1"/>
      <c r="EI221" s="1"/>
      <c r="EJ221" s="1"/>
      <c r="EK221" s="1"/>
      <c r="EL221" s="1"/>
      <c r="EM221" s="1"/>
      <c r="EN221" s="1"/>
      <c r="EO221" s="1"/>
      <c r="EP221" s="1"/>
      <c r="EQ221" s="1"/>
      <c r="ER221" s="1"/>
      <c r="ES221" s="1"/>
      <c r="ET221" s="1"/>
      <c r="EU221" s="1"/>
      <c r="EV221" s="1"/>
      <c r="EW221" s="1"/>
      <c r="EX221" s="1"/>
      <c r="EY221" s="1"/>
      <c r="EZ221" s="1"/>
      <c r="FA221" s="1"/>
      <c r="FB221" s="1"/>
      <c r="FC221" s="1"/>
      <c r="FD221" s="1"/>
      <c r="FE221" s="1"/>
      <c r="FF221" s="1"/>
      <c r="FG221" s="1"/>
      <c r="FH221" s="1"/>
      <c r="FI221" s="1"/>
      <c r="FJ221" s="1"/>
      <c r="FK221" s="1"/>
      <c r="FL221" s="1"/>
      <c r="FM221" s="1"/>
      <c r="FN221" s="1"/>
      <c r="FO221" s="1"/>
      <c r="FP221" s="1"/>
      <c r="FQ221" s="1"/>
      <c r="FR221" s="1"/>
      <c r="FS221" s="1"/>
      <c r="FT221" s="1"/>
      <c r="FU221" s="1"/>
      <c r="FV221" s="1"/>
      <c r="FW221" s="1"/>
      <c r="FX221" s="1"/>
      <c r="FY221" s="1"/>
      <c r="FZ221" s="1"/>
      <c r="GA221" s="1"/>
      <c r="GB221" s="1"/>
      <c r="GC221" s="1"/>
      <c r="GD221" s="1"/>
      <c r="GE221" s="1"/>
      <c r="GF221" s="1"/>
      <c r="GG221" s="1"/>
      <c r="GH221" s="1"/>
      <c r="GI221" s="1"/>
      <c r="GJ221" s="1"/>
      <c r="GK221" s="1"/>
      <c r="GL221" s="1"/>
      <c r="GM221" s="1"/>
      <c r="GN221" s="1"/>
      <c r="GO221" s="1"/>
      <c r="GP221" s="1"/>
      <c r="GQ221" s="1"/>
      <c r="GR221" s="1"/>
      <c r="GS221" s="1"/>
      <c r="GT221" s="1"/>
      <c r="GU221" s="1"/>
      <c r="GV221" s="1"/>
      <c r="GW221" s="1"/>
      <c r="GX221" s="1"/>
      <c r="GY221" s="1"/>
      <c r="GZ221" s="1"/>
      <c r="HA221" s="1"/>
      <c r="HB221" s="1"/>
      <c r="HC221" s="1"/>
      <c r="HD221" s="1"/>
      <c r="HE221" s="1"/>
      <c r="HF221" s="1"/>
      <c r="HG221" s="1"/>
      <c r="HH221" s="1"/>
      <c r="HI221" s="1"/>
      <c r="HJ221" s="1"/>
      <c r="HK221" s="1"/>
      <c r="HL221" s="1"/>
      <c r="HM221" s="1"/>
      <c r="HN221" s="1"/>
      <c r="HO221" s="1"/>
      <c r="HP221" s="1"/>
      <c r="HQ221" s="1"/>
      <c r="HR221" s="1"/>
      <c r="HS221" s="1"/>
      <c r="HT221" s="1"/>
      <c r="HU221" s="1"/>
      <c r="HV221" s="1"/>
      <c r="HW221" s="1"/>
      <c r="HX221" s="1"/>
      <c r="HY221" s="1"/>
      <c r="HZ221" s="1"/>
      <c r="IA221" s="1"/>
      <c r="IB221" s="1"/>
      <c r="IC221" s="1"/>
      <c r="ID221" s="1"/>
      <c r="IE221" s="1"/>
      <c r="IF221" s="1"/>
      <c r="IG221" s="1"/>
      <c r="IH221" s="1"/>
      <c r="II221" s="1"/>
      <c r="IJ221" s="1"/>
      <c r="IK221" s="1"/>
      <c r="IL221" s="1"/>
      <c r="IM221" s="1"/>
      <c r="IN221" s="1"/>
      <c r="IO221" s="1"/>
      <c r="IP221" s="1"/>
      <c r="IQ221" s="1"/>
      <c r="IR221" s="1"/>
      <c r="IS221" s="1"/>
      <c r="IT221" s="1"/>
      <c r="IU221" s="1"/>
      <c r="IV221" s="1"/>
      <c r="IW221" s="1"/>
      <c r="IX221" s="1"/>
      <c r="IY221" s="1"/>
      <c r="IZ221" s="1"/>
      <c r="JA221" s="1"/>
      <c r="JB221" s="1"/>
      <c r="JC221" s="1"/>
      <c r="JD221" s="1"/>
      <c r="JE221" s="1"/>
      <c r="JF221" s="1"/>
      <c r="JG221" s="1"/>
      <c r="JH221" s="1"/>
      <c r="JI221" s="1"/>
      <c r="JJ221" s="1"/>
      <c r="JK221" s="1"/>
      <c r="JL221" s="1"/>
      <c r="JM221" s="1"/>
      <c r="JN221" s="1"/>
      <c r="JO221" s="1"/>
      <c r="JP221" s="1"/>
      <c r="JQ221" s="1"/>
      <c r="JR221" s="1"/>
      <c r="JS221" s="1"/>
      <c r="JT221" s="1"/>
      <c r="JU221" s="1"/>
      <c r="JV221" s="1"/>
      <c r="JW221" s="1"/>
      <c r="JX221" s="1"/>
      <c r="JY221" s="1"/>
      <c r="JZ221" s="1"/>
      <c r="KA221" s="1"/>
      <c r="KB221" s="1"/>
      <c r="KC221" s="1"/>
      <c r="KD221" s="1"/>
      <c r="KE221" s="1"/>
      <c r="KF221" s="1"/>
      <c r="KG221" s="1"/>
      <c r="KH221" s="1"/>
      <c r="KI221" s="1"/>
      <c r="KJ221" s="1"/>
      <c r="KK221" s="1"/>
      <c r="KL221" s="1"/>
      <c r="KM221" s="1"/>
      <c r="KN221" s="1"/>
      <c r="KO221" s="1"/>
      <c r="KP221" s="1"/>
      <c r="KQ221" s="1"/>
      <c r="KR221" s="1"/>
      <c r="KS221" s="1"/>
      <c r="KT221" s="1"/>
      <c r="KU221" s="1"/>
      <c r="KV221" s="1"/>
      <c r="KW221" s="1"/>
      <c r="KX221" s="1"/>
      <c r="KY221" s="1"/>
      <c r="KZ221" s="1"/>
      <c r="LA221" s="1"/>
      <c r="LB221" s="1"/>
      <c r="LC221" s="1"/>
      <c r="LD221" s="1"/>
      <c r="LE221" s="1"/>
      <c r="LF221" s="1"/>
      <c r="LG221" s="1"/>
      <c r="LH221" s="1"/>
      <c r="LI221" s="1"/>
      <c r="LJ221" s="1"/>
      <c r="LK221" s="1"/>
      <c r="LL221" s="1"/>
      <c r="LM221" s="1"/>
      <c r="LN221" s="1"/>
      <c r="LO221" s="1"/>
      <c r="LP221" s="1"/>
      <c r="LQ221" s="1"/>
      <c r="LR221" s="1"/>
      <c r="LS221" s="1"/>
    </row>
    <row r="222" spans="1:331" s="64" customFormat="1" x14ac:dyDescent="0.25">
      <c r="A222" s="64" t="s">
        <v>814</v>
      </c>
      <c r="B222" s="66" t="s">
        <v>815</v>
      </c>
      <c r="C222" s="94" t="s">
        <v>1650</v>
      </c>
      <c r="D222" s="64">
        <v>1</v>
      </c>
      <c r="E222" s="64" t="s">
        <v>816</v>
      </c>
      <c r="H222" s="64" t="s">
        <v>817</v>
      </c>
      <c r="I222" s="64" t="s">
        <v>818</v>
      </c>
      <c r="J222" s="67">
        <v>43749</v>
      </c>
      <c r="K222" s="67" t="s">
        <v>1700</v>
      </c>
      <c r="L222" s="64">
        <v>0</v>
      </c>
      <c r="O222" s="64">
        <v>1</v>
      </c>
      <c r="Q222" s="96"/>
      <c r="R222" s="96" t="s">
        <v>819</v>
      </c>
      <c r="T222" s="64">
        <v>22</v>
      </c>
      <c r="V222" s="64">
        <v>24</v>
      </c>
      <c r="W222" s="96">
        <v>22</v>
      </c>
      <c r="X222" s="96"/>
      <c r="Y222" s="96"/>
      <c r="Z222" s="64">
        <v>12</v>
      </c>
      <c r="AA222" s="94" t="b">
        <v>1</v>
      </c>
      <c r="AB222" s="1"/>
      <c r="AC222" s="57" t="s">
        <v>1428</v>
      </c>
      <c r="AD222" s="1"/>
      <c r="AE222" s="57"/>
      <c r="AF222" s="1"/>
      <c r="AG222" s="1"/>
      <c r="AH222" s="1"/>
      <c r="AI222" s="1"/>
      <c r="AJ222" s="1"/>
      <c r="AK222" s="1"/>
      <c r="AL222" s="1"/>
      <c r="AM222" s="1"/>
      <c r="AN222" s="1"/>
      <c r="AO222" s="1"/>
      <c r="AP222" s="1"/>
      <c r="AQ222" s="1"/>
      <c r="AR222" s="1"/>
      <c r="AS222" s="1"/>
      <c r="AT222" s="1"/>
      <c r="AU222" s="1"/>
      <c r="AV222" s="1"/>
      <c r="AW222" s="1"/>
      <c r="AX222" s="1"/>
      <c r="AY222" s="1"/>
      <c r="AZ222" s="1"/>
      <c r="BA222" s="1"/>
      <c r="BB222" s="1"/>
      <c r="BC222" s="1"/>
      <c r="BD222" s="1"/>
      <c r="BE222" s="1"/>
      <c r="BF222" s="1"/>
      <c r="BG222" s="1"/>
      <c r="BH222" s="1"/>
      <c r="BI222" s="1"/>
      <c r="BJ222" s="1"/>
      <c r="BK222" s="1"/>
      <c r="BL222" s="1"/>
      <c r="BM222" s="1"/>
      <c r="BN222" s="1"/>
      <c r="BO222" s="1"/>
      <c r="BP222" s="1"/>
      <c r="BQ222" s="1"/>
      <c r="BR222" s="1"/>
      <c r="BS222" s="1"/>
      <c r="BT222" s="1"/>
      <c r="BU222" s="1"/>
      <c r="BV222" s="1"/>
    </row>
    <row r="223" spans="1:331" s="17" customFormat="1" x14ac:dyDescent="0.25">
      <c r="A223" s="17" t="s">
        <v>820</v>
      </c>
      <c r="B223" s="21" t="s">
        <v>821</v>
      </c>
      <c r="C223" s="94" t="s">
        <v>1650</v>
      </c>
      <c r="D223" s="17">
        <v>1</v>
      </c>
      <c r="E223" s="17" t="s">
        <v>822</v>
      </c>
      <c r="J223" s="17" t="s">
        <v>823</v>
      </c>
      <c r="K223" s="17" t="s">
        <v>822</v>
      </c>
      <c r="L223" s="17">
        <v>1</v>
      </c>
      <c r="M223" s="17" t="s">
        <v>824</v>
      </c>
      <c r="O223" s="17">
        <v>1</v>
      </c>
      <c r="P223" s="17" t="s">
        <v>825</v>
      </c>
      <c r="Q223" s="96" t="s">
        <v>1573</v>
      </c>
      <c r="R223" s="96"/>
      <c r="S223" s="17">
        <v>13</v>
      </c>
      <c r="U223" s="17">
        <v>13</v>
      </c>
      <c r="W223" s="96">
        <v>13</v>
      </c>
      <c r="X223" s="96"/>
      <c r="Y223" s="96"/>
      <c r="Z223" s="17">
        <v>3</v>
      </c>
      <c r="AA223" s="94" t="b">
        <v>1</v>
      </c>
      <c r="AB223" s="1"/>
      <c r="AC223" s="57" t="s">
        <v>1379</v>
      </c>
      <c r="AD223" s="1"/>
      <c r="AE223" t="s">
        <v>1867</v>
      </c>
      <c r="AF223" s="1"/>
      <c r="AG223" s="1"/>
      <c r="AH223" s="1"/>
      <c r="AI223" s="1"/>
      <c r="AJ223" s="1"/>
      <c r="AK223" s="1"/>
      <c r="AL223" s="1"/>
      <c r="AM223" s="1"/>
      <c r="AN223" s="1"/>
      <c r="AO223" s="1"/>
      <c r="AP223" s="1"/>
      <c r="AQ223" s="1"/>
      <c r="AR223" s="1"/>
      <c r="AS223" s="1"/>
      <c r="AT223" s="1"/>
      <c r="AU223" s="1"/>
      <c r="AV223" s="1"/>
      <c r="AW223" s="1"/>
      <c r="AX223" s="1"/>
      <c r="AY223" s="1"/>
      <c r="AZ223" s="1"/>
      <c r="BA223" s="1"/>
      <c r="BB223" s="1"/>
      <c r="BC223" s="1"/>
      <c r="BD223" s="1"/>
      <c r="BE223" s="1"/>
      <c r="BF223" s="1"/>
      <c r="BG223" s="1"/>
      <c r="BH223" s="1"/>
      <c r="BI223" s="1"/>
      <c r="BJ223" s="1"/>
      <c r="BK223" s="1"/>
      <c r="BL223" s="1"/>
      <c r="BM223" s="1"/>
      <c r="BN223" s="1"/>
      <c r="BO223" s="1"/>
      <c r="BP223" s="1"/>
      <c r="BQ223" s="1"/>
      <c r="BR223" s="1"/>
      <c r="BS223" s="1"/>
      <c r="BT223" s="1"/>
      <c r="BU223" s="1"/>
      <c r="BV223" s="1"/>
      <c r="BW223" s="1"/>
      <c r="BX223" s="1"/>
      <c r="BY223" s="1"/>
      <c r="BZ223" s="1"/>
      <c r="CA223" s="1"/>
      <c r="CB223" s="1"/>
      <c r="CC223" s="1"/>
      <c r="CD223" s="1"/>
      <c r="CE223" s="1"/>
      <c r="CF223" s="1"/>
      <c r="CG223" s="1"/>
      <c r="CH223" s="1"/>
      <c r="CI223" s="1"/>
      <c r="CJ223" s="1"/>
      <c r="CK223" s="1"/>
      <c r="CL223" s="1"/>
      <c r="CM223" s="1"/>
      <c r="CN223" s="1"/>
      <c r="CO223" s="1"/>
      <c r="CP223" s="1"/>
      <c r="CQ223" s="1"/>
      <c r="CR223" s="1"/>
      <c r="CS223" s="1"/>
      <c r="CT223" s="1"/>
      <c r="CU223" s="1"/>
      <c r="CV223" s="1"/>
      <c r="CW223" s="1"/>
      <c r="CX223" s="1"/>
      <c r="CY223" s="1"/>
      <c r="CZ223" s="1"/>
      <c r="DA223" s="1"/>
      <c r="DB223" s="1"/>
      <c r="DC223" s="1"/>
      <c r="DD223" s="1"/>
      <c r="DE223" s="1"/>
      <c r="DF223" s="1"/>
      <c r="DG223" s="1"/>
      <c r="DH223" s="1"/>
      <c r="DI223" s="1"/>
      <c r="DJ223" s="1"/>
      <c r="DK223" s="1"/>
      <c r="DL223" s="1"/>
      <c r="DM223" s="1"/>
      <c r="DN223" s="1"/>
      <c r="DO223" s="1"/>
      <c r="DP223" s="1"/>
      <c r="DQ223" s="1"/>
      <c r="DR223" s="1"/>
      <c r="DS223" s="1"/>
      <c r="DT223" s="1"/>
      <c r="DU223" s="1"/>
      <c r="DV223" s="1"/>
      <c r="DW223" s="1"/>
      <c r="DX223" s="1"/>
      <c r="DY223" s="1"/>
      <c r="DZ223" s="1"/>
      <c r="EA223" s="1"/>
      <c r="EB223" s="1"/>
      <c r="EC223" s="1"/>
      <c r="ED223" s="1"/>
      <c r="EE223" s="1"/>
      <c r="EF223" s="1"/>
      <c r="EG223" s="1"/>
      <c r="EH223" s="1"/>
      <c r="EI223" s="1"/>
      <c r="EJ223" s="1"/>
      <c r="EK223" s="1"/>
      <c r="EL223" s="1"/>
      <c r="EM223" s="1"/>
      <c r="EN223" s="1"/>
      <c r="EO223" s="1"/>
      <c r="EP223" s="1"/>
      <c r="EQ223" s="1"/>
      <c r="ER223" s="1"/>
      <c r="ES223" s="1"/>
      <c r="ET223" s="1"/>
      <c r="EU223" s="1"/>
      <c r="EV223" s="1"/>
      <c r="EW223" s="1"/>
      <c r="EX223" s="1"/>
      <c r="EY223" s="1"/>
      <c r="EZ223" s="1"/>
      <c r="FA223" s="1"/>
      <c r="FB223" s="1"/>
      <c r="FC223" s="1"/>
      <c r="FD223" s="1"/>
      <c r="FE223" s="1"/>
      <c r="FF223" s="1"/>
      <c r="FG223" s="1"/>
      <c r="FH223" s="1"/>
      <c r="FI223" s="1"/>
      <c r="FJ223" s="1"/>
      <c r="FK223" s="1"/>
      <c r="FL223" s="1"/>
      <c r="FM223" s="1"/>
      <c r="FN223" s="1"/>
      <c r="FO223" s="1"/>
      <c r="FP223" s="1"/>
      <c r="FQ223" s="1"/>
      <c r="FR223" s="1"/>
      <c r="FS223" s="1"/>
      <c r="FT223" s="1"/>
      <c r="FU223" s="1"/>
      <c r="FV223" s="1"/>
      <c r="FW223" s="1"/>
      <c r="FX223" s="1"/>
      <c r="FY223" s="1"/>
      <c r="FZ223" s="1"/>
      <c r="GA223" s="1"/>
      <c r="GB223" s="1"/>
      <c r="GC223" s="1"/>
      <c r="GD223" s="1"/>
      <c r="GE223" s="1"/>
      <c r="GF223" s="1"/>
      <c r="GG223" s="1"/>
      <c r="GH223" s="1"/>
      <c r="GI223" s="1"/>
      <c r="GJ223" s="1"/>
      <c r="GK223" s="1"/>
      <c r="GL223" s="1"/>
      <c r="GM223" s="1"/>
      <c r="GN223" s="1"/>
      <c r="GO223" s="1"/>
      <c r="GP223" s="1"/>
      <c r="GQ223" s="1"/>
      <c r="GR223" s="1"/>
      <c r="GS223" s="1"/>
      <c r="GT223" s="1"/>
      <c r="GU223" s="1"/>
      <c r="GV223" s="1"/>
      <c r="GW223" s="1"/>
      <c r="GX223" s="1"/>
      <c r="GY223" s="1"/>
      <c r="GZ223" s="1"/>
      <c r="HA223" s="1"/>
      <c r="HB223" s="1"/>
      <c r="HC223" s="1"/>
      <c r="HD223" s="1"/>
      <c r="HE223" s="1"/>
      <c r="HF223" s="1"/>
      <c r="HG223" s="1"/>
      <c r="HH223" s="1"/>
      <c r="HI223" s="1"/>
      <c r="HJ223" s="1"/>
      <c r="HK223" s="1"/>
      <c r="HL223" s="1"/>
      <c r="HM223" s="1"/>
      <c r="HN223" s="1"/>
      <c r="HO223" s="1"/>
      <c r="HP223" s="1"/>
      <c r="HQ223" s="1"/>
      <c r="HR223" s="1"/>
      <c r="HS223" s="1"/>
      <c r="HT223" s="1"/>
      <c r="HU223" s="1"/>
      <c r="HV223" s="1"/>
      <c r="HW223" s="1"/>
      <c r="HX223" s="1"/>
      <c r="HY223" s="1"/>
      <c r="HZ223" s="1"/>
      <c r="IA223" s="1"/>
      <c r="IB223" s="1"/>
      <c r="IC223" s="1"/>
      <c r="ID223" s="1"/>
      <c r="IE223" s="1"/>
      <c r="IF223" s="1"/>
      <c r="IG223" s="1"/>
      <c r="IH223" s="1"/>
      <c r="II223" s="1"/>
      <c r="IJ223" s="1"/>
      <c r="IK223" s="1"/>
      <c r="IL223" s="1"/>
      <c r="IM223" s="1"/>
      <c r="IN223" s="1"/>
      <c r="IO223" s="1"/>
      <c r="IP223" s="1"/>
      <c r="IQ223" s="1"/>
      <c r="IR223" s="1"/>
      <c r="IS223" s="1"/>
      <c r="IT223" s="1"/>
      <c r="IU223" s="1"/>
      <c r="IV223" s="1"/>
      <c r="IW223" s="1"/>
      <c r="IX223" s="1"/>
      <c r="IY223" s="1"/>
      <c r="IZ223" s="1"/>
      <c r="JA223" s="1"/>
      <c r="JB223" s="1"/>
      <c r="JC223" s="1"/>
      <c r="JD223" s="1"/>
      <c r="JE223" s="1"/>
      <c r="JF223" s="1"/>
      <c r="JG223" s="1"/>
      <c r="JH223" s="1"/>
      <c r="JI223" s="1"/>
      <c r="JJ223" s="1"/>
      <c r="JK223" s="1"/>
      <c r="JL223" s="1"/>
      <c r="JM223" s="1"/>
      <c r="JN223" s="1"/>
      <c r="JO223" s="1"/>
      <c r="JP223" s="1"/>
      <c r="JQ223" s="1"/>
      <c r="JR223" s="1"/>
      <c r="JS223" s="1"/>
      <c r="JT223" s="1"/>
      <c r="JU223" s="1"/>
      <c r="JV223" s="1"/>
      <c r="JW223" s="1"/>
      <c r="JX223" s="1"/>
      <c r="JY223" s="1"/>
      <c r="JZ223" s="1"/>
      <c r="KA223" s="1"/>
      <c r="KB223" s="1"/>
      <c r="KC223" s="1"/>
      <c r="KD223" s="1"/>
      <c r="KE223" s="1"/>
      <c r="KF223" s="1"/>
      <c r="KG223" s="1"/>
      <c r="KH223" s="1"/>
      <c r="KI223" s="1"/>
      <c r="KJ223" s="1"/>
      <c r="KK223" s="1"/>
      <c r="KL223" s="1"/>
      <c r="KM223" s="1"/>
      <c r="KN223" s="1"/>
      <c r="KO223" s="1"/>
      <c r="KP223" s="1"/>
      <c r="KQ223" s="1"/>
      <c r="KR223" s="1"/>
      <c r="KS223" s="1"/>
      <c r="KT223" s="1"/>
      <c r="KU223" s="1"/>
      <c r="KV223" s="1"/>
      <c r="KW223" s="1"/>
      <c r="KX223" s="1"/>
      <c r="KY223" s="1"/>
      <c r="KZ223" s="1"/>
      <c r="LA223" s="1"/>
      <c r="LB223" s="1"/>
      <c r="LC223" s="1"/>
      <c r="LD223" s="1"/>
      <c r="LE223" s="1"/>
      <c r="LF223" s="1"/>
      <c r="LG223" s="1"/>
      <c r="LH223" s="1"/>
      <c r="LI223" s="1"/>
      <c r="LJ223" s="1"/>
      <c r="LK223" s="1"/>
      <c r="LL223" s="1"/>
      <c r="LM223" s="1"/>
      <c r="LN223" s="1"/>
      <c r="LO223" s="1"/>
      <c r="LP223" s="1"/>
      <c r="LQ223" s="1"/>
      <c r="LR223" s="1"/>
      <c r="LS223" s="1"/>
    </row>
    <row r="224" spans="1:331" s="35" customFormat="1" x14ac:dyDescent="0.25">
      <c r="A224" s="35" t="s">
        <v>826</v>
      </c>
      <c r="B224" s="39" t="s">
        <v>827</v>
      </c>
      <c r="C224" s="94" t="s">
        <v>1650</v>
      </c>
      <c r="D224" s="35">
        <v>1</v>
      </c>
      <c r="E224" s="35" t="s">
        <v>828</v>
      </c>
      <c r="H224" s="35" t="s">
        <v>829</v>
      </c>
      <c r="I224" s="35" t="s">
        <v>828</v>
      </c>
      <c r="J224" s="35" t="s">
        <v>829</v>
      </c>
      <c r="K224" s="35" t="s">
        <v>828</v>
      </c>
      <c r="L224" s="35">
        <v>0</v>
      </c>
      <c r="O224" s="35">
        <v>1</v>
      </c>
      <c r="P224" s="35" t="s">
        <v>830</v>
      </c>
      <c r="Q224" s="96" t="s">
        <v>1574</v>
      </c>
      <c r="R224" s="96"/>
      <c r="S224" s="35">
        <v>20</v>
      </c>
      <c r="V224" s="35">
        <v>20</v>
      </c>
      <c r="W224" s="96">
        <v>20</v>
      </c>
      <c r="X224" s="96"/>
      <c r="Y224" s="96"/>
      <c r="Z224" s="35">
        <v>7</v>
      </c>
      <c r="AA224" s="94" t="b">
        <v>1</v>
      </c>
      <c r="AB224" s="1"/>
      <c r="AC224" s="57" t="s">
        <v>1372</v>
      </c>
      <c r="AD224" s="1"/>
      <c r="AE224" s="57"/>
      <c r="AF224" s="1"/>
      <c r="AG224" s="1"/>
      <c r="AH224" s="1"/>
      <c r="AI224" s="1"/>
      <c r="AJ224" s="1"/>
      <c r="AK224" s="1"/>
      <c r="AL224" s="1"/>
      <c r="AM224" s="1"/>
      <c r="AN224" s="1"/>
      <c r="AO224" s="1"/>
      <c r="AP224" s="1"/>
      <c r="AQ224" s="1"/>
      <c r="AR224" s="1"/>
      <c r="AS224" s="1"/>
      <c r="AT224" s="1"/>
      <c r="AU224" s="1"/>
      <c r="AV224" s="1"/>
      <c r="AW224" s="1"/>
      <c r="AX224" s="1"/>
      <c r="AY224" s="1"/>
      <c r="AZ224" s="1"/>
      <c r="BA224" s="1"/>
      <c r="BB224" s="1"/>
      <c r="BC224" s="1"/>
      <c r="BD224" s="1"/>
      <c r="BE224" s="1"/>
      <c r="BF224" s="1"/>
      <c r="BG224" s="1"/>
      <c r="BH224" s="1"/>
      <c r="BI224" s="1"/>
      <c r="BJ224" s="1"/>
      <c r="BK224" s="1"/>
      <c r="BL224" s="1"/>
      <c r="BM224" s="1"/>
      <c r="BN224" s="1"/>
      <c r="BO224" s="1"/>
      <c r="BP224" s="1"/>
      <c r="BQ224" s="1"/>
      <c r="BR224" s="1"/>
      <c r="BS224" s="1"/>
      <c r="BT224" s="1"/>
      <c r="BU224" s="1"/>
      <c r="BV224" s="1"/>
      <c r="BW224" s="1"/>
      <c r="BX224" s="1"/>
      <c r="BY224" s="1"/>
      <c r="BZ224" s="1"/>
      <c r="CA224" s="1"/>
      <c r="CB224" s="1"/>
      <c r="CC224" s="1"/>
      <c r="CD224" s="1"/>
      <c r="CE224" s="1"/>
      <c r="CF224" s="1"/>
      <c r="CG224" s="1"/>
      <c r="CH224" s="1"/>
      <c r="CI224" s="1"/>
      <c r="CJ224" s="1"/>
      <c r="CK224" s="1"/>
      <c r="CL224" s="1"/>
      <c r="CM224" s="1"/>
      <c r="CN224" s="1"/>
      <c r="CO224" s="1"/>
      <c r="CP224" s="1"/>
      <c r="CQ224" s="1"/>
      <c r="CR224" s="1"/>
      <c r="CS224" s="1"/>
      <c r="CT224" s="1"/>
      <c r="CU224" s="1"/>
      <c r="CV224" s="1"/>
      <c r="CW224" s="1"/>
      <c r="CX224" s="1"/>
      <c r="CY224" s="1"/>
      <c r="CZ224" s="1"/>
      <c r="DA224" s="1"/>
      <c r="DB224" s="1"/>
      <c r="DC224" s="1"/>
      <c r="DD224" s="1"/>
      <c r="DE224" s="1"/>
      <c r="DF224" s="1"/>
      <c r="DG224" s="1"/>
      <c r="DH224" s="1"/>
      <c r="DI224" s="1"/>
      <c r="DJ224" s="1"/>
      <c r="DK224" s="1"/>
      <c r="DL224" s="1"/>
      <c r="DM224" s="1"/>
      <c r="DN224" s="1"/>
      <c r="DO224" s="1"/>
      <c r="DP224" s="1"/>
      <c r="DQ224" s="1"/>
      <c r="DR224" s="1"/>
      <c r="DS224" s="1"/>
      <c r="DT224" s="1"/>
      <c r="DU224" s="1"/>
      <c r="DV224" s="1"/>
      <c r="DW224" s="1"/>
      <c r="DX224" s="1"/>
      <c r="DY224" s="1"/>
      <c r="DZ224" s="1"/>
      <c r="EA224" s="1"/>
      <c r="EB224" s="1"/>
      <c r="EC224" s="1"/>
      <c r="ED224" s="1"/>
      <c r="EE224" s="1"/>
      <c r="EF224" s="1"/>
      <c r="EG224" s="1"/>
      <c r="EH224" s="1"/>
      <c r="EI224" s="1"/>
      <c r="EJ224" s="1"/>
      <c r="EK224" s="1"/>
      <c r="EL224" s="1"/>
      <c r="EM224" s="1"/>
      <c r="EN224" s="1"/>
      <c r="EO224" s="1"/>
      <c r="EP224" s="1"/>
      <c r="EQ224" s="1"/>
      <c r="ER224" s="1"/>
      <c r="ES224" s="1"/>
      <c r="ET224" s="1"/>
      <c r="EU224" s="1"/>
      <c r="EV224" s="1"/>
      <c r="EW224" s="1"/>
      <c r="EX224" s="1"/>
      <c r="EY224" s="1"/>
      <c r="EZ224" s="1"/>
      <c r="FA224" s="1"/>
      <c r="FB224" s="1"/>
      <c r="FC224" s="1"/>
      <c r="FD224" s="1"/>
      <c r="FE224" s="1"/>
      <c r="FF224" s="1"/>
      <c r="FG224" s="1"/>
      <c r="FH224" s="1"/>
      <c r="FI224" s="1"/>
      <c r="FJ224" s="1"/>
      <c r="FK224" s="1"/>
      <c r="FL224" s="1"/>
      <c r="FM224" s="1"/>
      <c r="FN224" s="1"/>
      <c r="FO224" s="1"/>
      <c r="FP224" s="1"/>
      <c r="FQ224" s="1"/>
      <c r="FR224" s="1"/>
      <c r="FS224" s="1"/>
      <c r="FT224" s="1"/>
      <c r="FU224" s="1"/>
      <c r="FV224" s="1"/>
      <c r="FW224" s="1"/>
      <c r="FX224" s="1"/>
      <c r="FY224" s="1"/>
      <c r="FZ224" s="1"/>
      <c r="GA224" s="1"/>
      <c r="GB224" s="1"/>
      <c r="GC224" s="1"/>
      <c r="GD224" s="1"/>
      <c r="GE224" s="1"/>
      <c r="GF224" s="1"/>
      <c r="GG224" s="1"/>
      <c r="GH224" s="1"/>
      <c r="GI224" s="1"/>
      <c r="GJ224" s="1"/>
      <c r="GK224" s="1"/>
      <c r="GL224" s="1"/>
      <c r="GM224" s="1"/>
      <c r="GN224" s="1"/>
      <c r="GO224" s="1"/>
      <c r="GP224" s="1"/>
      <c r="GQ224" s="1"/>
      <c r="GR224" s="1"/>
      <c r="GS224" s="1"/>
      <c r="GT224" s="1"/>
      <c r="GU224" s="1"/>
      <c r="GV224" s="1"/>
      <c r="GW224" s="1"/>
      <c r="GX224" s="1"/>
      <c r="GY224" s="1"/>
      <c r="GZ224" s="1"/>
      <c r="HA224" s="1"/>
      <c r="HB224" s="1"/>
      <c r="HC224" s="1"/>
      <c r="HD224" s="1"/>
      <c r="HE224" s="1"/>
      <c r="HF224" s="1"/>
      <c r="HG224" s="1"/>
      <c r="HH224" s="1"/>
      <c r="HI224" s="1"/>
      <c r="HJ224" s="1"/>
      <c r="HK224" s="1"/>
      <c r="HL224" s="1"/>
      <c r="HM224" s="1"/>
      <c r="HN224" s="1"/>
      <c r="HO224" s="1"/>
      <c r="HP224" s="1"/>
      <c r="HQ224" s="1"/>
      <c r="HR224" s="1"/>
      <c r="HS224" s="1"/>
      <c r="HT224" s="1"/>
      <c r="HU224" s="1"/>
      <c r="HV224" s="1"/>
      <c r="HW224" s="1"/>
      <c r="HX224" s="1"/>
      <c r="HY224" s="1"/>
      <c r="HZ224" s="1"/>
      <c r="IA224" s="1"/>
      <c r="IB224" s="1"/>
      <c r="IC224" s="1"/>
      <c r="ID224" s="1"/>
      <c r="IE224" s="1"/>
      <c r="IF224" s="1"/>
      <c r="IG224" s="1"/>
      <c r="IH224" s="1"/>
      <c r="II224" s="1"/>
      <c r="IJ224" s="1"/>
      <c r="IK224" s="1"/>
      <c r="IL224" s="1"/>
      <c r="IM224" s="1"/>
      <c r="IN224" s="1"/>
      <c r="IO224" s="1"/>
      <c r="IP224" s="1"/>
      <c r="IQ224" s="1"/>
      <c r="IR224" s="1"/>
      <c r="IS224" s="1"/>
      <c r="IT224" s="1"/>
      <c r="IU224" s="1"/>
      <c r="IV224" s="1"/>
      <c r="IW224" s="1"/>
      <c r="IX224" s="1"/>
      <c r="IY224" s="1"/>
      <c r="IZ224" s="1"/>
      <c r="JA224" s="1"/>
      <c r="JB224" s="1"/>
      <c r="JC224" s="1"/>
      <c r="JD224" s="1"/>
      <c r="JE224" s="1"/>
      <c r="JF224" s="1"/>
      <c r="JG224" s="1"/>
      <c r="JH224" s="1"/>
      <c r="JI224" s="1"/>
      <c r="JJ224" s="1"/>
      <c r="JK224" s="1"/>
      <c r="JL224" s="1"/>
      <c r="JM224" s="1"/>
      <c r="JN224" s="1"/>
      <c r="JO224" s="1"/>
      <c r="JP224" s="1"/>
      <c r="JQ224" s="1"/>
      <c r="JR224" s="1"/>
      <c r="JS224" s="1"/>
      <c r="JT224" s="1"/>
      <c r="JU224" s="1"/>
      <c r="JV224" s="1"/>
      <c r="JW224" s="1"/>
      <c r="JX224" s="1"/>
      <c r="JY224" s="1"/>
      <c r="JZ224" s="1"/>
      <c r="KA224" s="1"/>
      <c r="KB224" s="1"/>
      <c r="KC224" s="1"/>
      <c r="KD224" s="1"/>
      <c r="KE224" s="1"/>
      <c r="KF224" s="1"/>
      <c r="KG224" s="1"/>
      <c r="KH224" s="1"/>
      <c r="KI224" s="1"/>
      <c r="KJ224" s="1"/>
      <c r="KK224" s="1"/>
      <c r="KL224" s="1"/>
      <c r="KM224" s="1"/>
      <c r="KN224" s="1"/>
      <c r="KO224" s="1"/>
      <c r="KP224" s="1"/>
      <c r="KQ224" s="1"/>
      <c r="KR224" s="1"/>
      <c r="KS224" s="1"/>
      <c r="KT224" s="1"/>
      <c r="KU224" s="1"/>
      <c r="KV224" s="1"/>
      <c r="KW224" s="1"/>
      <c r="KX224" s="1"/>
      <c r="KY224" s="1"/>
      <c r="KZ224" s="1"/>
      <c r="LA224" s="1"/>
      <c r="LB224" s="1"/>
      <c r="LC224" s="1"/>
      <c r="LD224" s="1"/>
      <c r="LE224" s="1"/>
      <c r="LF224" s="1"/>
      <c r="LG224" s="1"/>
      <c r="LH224" s="1"/>
      <c r="LI224" s="1"/>
      <c r="LJ224" s="1"/>
      <c r="LK224" s="1"/>
      <c r="LL224" s="1"/>
      <c r="LM224" s="1"/>
      <c r="LN224" s="1"/>
      <c r="LO224" s="1"/>
      <c r="LP224" s="1"/>
      <c r="LQ224" s="1"/>
      <c r="LR224" s="1"/>
      <c r="LS224" s="1"/>
    </row>
    <row r="225" spans="1:331" s="3" customFormat="1" x14ac:dyDescent="0.25">
      <c r="A225" s="3" t="s">
        <v>831</v>
      </c>
      <c r="B225" s="5" t="s">
        <v>832</v>
      </c>
      <c r="C225" s="94" t="s">
        <v>1650</v>
      </c>
      <c r="D225" s="3">
        <v>0</v>
      </c>
      <c r="H225" s="3" t="s">
        <v>833</v>
      </c>
      <c r="I225" s="3" t="s">
        <v>834</v>
      </c>
      <c r="J225" s="3" t="s">
        <v>829</v>
      </c>
      <c r="K225" s="3" t="s">
        <v>833</v>
      </c>
      <c r="L225" s="3">
        <v>1</v>
      </c>
      <c r="M225" s="3" t="s">
        <v>835</v>
      </c>
      <c r="O225" s="3">
        <v>1</v>
      </c>
      <c r="P225" s="3" t="s">
        <v>836</v>
      </c>
      <c r="Q225" s="96" t="s">
        <v>1575</v>
      </c>
      <c r="R225" s="96"/>
      <c r="S225" s="3">
        <v>17</v>
      </c>
      <c r="U225" s="3">
        <v>18</v>
      </c>
      <c r="W225" s="96">
        <v>17</v>
      </c>
      <c r="X225" s="96"/>
      <c r="Y225" s="96"/>
      <c r="Z225" s="3">
        <v>1</v>
      </c>
      <c r="AA225" s="94" t="b">
        <v>1</v>
      </c>
      <c r="AB225" s="1"/>
      <c r="AC225" s="57" t="s">
        <v>1371</v>
      </c>
      <c r="AD225" s="1"/>
      <c r="AE225" t="s">
        <v>1868</v>
      </c>
      <c r="AF225" s="1"/>
      <c r="AG225" s="1"/>
      <c r="AH225" s="1"/>
      <c r="AI225" s="1"/>
      <c r="AJ225" s="1"/>
      <c r="AK225" s="1"/>
      <c r="AL225" s="1"/>
      <c r="AM225" s="1"/>
      <c r="AN225" s="1"/>
      <c r="AO225" s="1"/>
      <c r="AP225" s="1"/>
      <c r="AQ225" s="1"/>
      <c r="AR225" s="1"/>
      <c r="AS225" s="1"/>
      <c r="AT225" s="1"/>
      <c r="AU225" s="1"/>
      <c r="AV225" s="1"/>
      <c r="AW225" s="1"/>
      <c r="AX225" s="1"/>
      <c r="AY225" s="1"/>
      <c r="AZ225" s="1"/>
      <c r="BA225" s="1"/>
      <c r="BB225" s="1"/>
      <c r="BC225" s="1"/>
      <c r="BD225" s="1"/>
      <c r="BE225" s="1"/>
      <c r="BF225" s="1"/>
      <c r="BG225" s="1"/>
      <c r="BH225" s="1"/>
      <c r="BI225" s="1"/>
      <c r="BJ225" s="1"/>
      <c r="BK225" s="1"/>
      <c r="BL225" s="1"/>
      <c r="BM225" s="1"/>
      <c r="BN225" s="1"/>
      <c r="BO225" s="1"/>
      <c r="BP225" s="1"/>
      <c r="BQ225" s="1"/>
      <c r="BR225" s="1"/>
      <c r="BS225" s="1"/>
      <c r="BT225" s="1"/>
      <c r="BU225" s="1"/>
      <c r="BV225" s="1"/>
      <c r="BW225" s="1"/>
      <c r="BX225" s="1"/>
      <c r="BY225" s="1"/>
      <c r="BZ225" s="1"/>
      <c r="CA225" s="1"/>
      <c r="CB225" s="1"/>
      <c r="CC225" s="1"/>
      <c r="CD225" s="1"/>
      <c r="CE225" s="1"/>
      <c r="CF225" s="1"/>
      <c r="CG225" s="1"/>
      <c r="CH225" s="1"/>
      <c r="CI225" s="1"/>
      <c r="CJ225" s="1"/>
      <c r="CK225" s="1"/>
      <c r="CL225" s="1"/>
      <c r="CM225" s="1"/>
      <c r="CN225" s="1"/>
      <c r="CO225" s="1"/>
      <c r="CP225" s="1"/>
      <c r="CQ225" s="1"/>
      <c r="CR225" s="1"/>
      <c r="CS225" s="1"/>
      <c r="CT225" s="1"/>
      <c r="CU225" s="1"/>
      <c r="CV225" s="1"/>
      <c r="CW225" s="1"/>
      <c r="CX225" s="1"/>
      <c r="CY225" s="1"/>
      <c r="CZ225" s="1"/>
      <c r="DA225" s="1"/>
      <c r="DB225" s="1"/>
      <c r="DC225" s="1"/>
      <c r="DD225" s="1"/>
      <c r="DE225" s="1"/>
      <c r="DF225" s="1"/>
      <c r="DG225" s="1"/>
      <c r="DH225" s="1"/>
      <c r="DI225" s="1"/>
      <c r="DJ225" s="1"/>
      <c r="DK225" s="1"/>
      <c r="DL225" s="1"/>
      <c r="DM225" s="1"/>
      <c r="DN225" s="1"/>
      <c r="DO225" s="1"/>
      <c r="DP225" s="1"/>
      <c r="DQ225" s="1"/>
      <c r="DR225" s="1"/>
      <c r="DS225" s="1"/>
      <c r="DT225" s="1"/>
      <c r="DU225" s="1"/>
      <c r="DV225" s="1"/>
      <c r="DW225" s="1"/>
      <c r="DX225" s="1"/>
      <c r="DY225" s="1"/>
      <c r="DZ225" s="1"/>
      <c r="EA225" s="1"/>
      <c r="EB225" s="1"/>
      <c r="EC225" s="1"/>
      <c r="ED225" s="1"/>
      <c r="EE225" s="1"/>
      <c r="EF225" s="1"/>
      <c r="EG225" s="1"/>
      <c r="EH225" s="1"/>
      <c r="EI225" s="1"/>
      <c r="EJ225" s="1"/>
      <c r="EK225" s="1"/>
      <c r="EL225" s="1"/>
      <c r="EM225" s="1"/>
      <c r="EN225" s="1"/>
      <c r="EO225" s="1"/>
      <c r="EP225" s="1"/>
      <c r="EQ225" s="1"/>
      <c r="ER225" s="1"/>
      <c r="ES225" s="1"/>
      <c r="ET225" s="1"/>
      <c r="EU225" s="1"/>
      <c r="EV225" s="1"/>
      <c r="EW225" s="1"/>
      <c r="EX225" s="1"/>
      <c r="EY225" s="1"/>
      <c r="EZ225" s="1"/>
      <c r="FA225" s="1"/>
      <c r="FB225" s="1"/>
      <c r="FC225" s="1"/>
      <c r="FD225" s="1"/>
      <c r="FE225" s="1"/>
      <c r="FF225" s="1"/>
      <c r="FG225" s="1"/>
      <c r="FH225" s="1"/>
      <c r="FI225" s="1"/>
      <c r="FJ225" s="1"/>
      <c r="FK225" s="1"/>
      <c r="FL225" s="1"/>
      <c r="FM225" s="1"/>
      <c r="FN225" s="1"/>
      <c r="FO225" s="1"/>
      <c r="FP225" s="1"/>
      <c r="FQ225" s="1"/>
      <c r="FR225" s="1"/>
      <c r="FS225" s="1"/>
      <c r="FT225" s="1"/>
      <c r="FU225" s="1"/>
      <c r="FV225" s="1"/>
      <c r="FW225" s="1"/>
      <c r="FX225" s="1"/>
      <c r="FY225" s="1"/>
      <c r="FZ225" s="1"/>
      <c r="GA225" s="1"/>
      <c r="GB225" s="1"/>
      <c r="GC225" s="1"/>
      <c r="GD225" s="1"/>
      <c r="GE225" s="1"/>
      <c r="GF225" s="1"/>
      <c r="GG225" s="1"/>
      <c r="GH225" s="1"/>
      <c r="GI225" s="1"/>
      <c r="GJ225" s="1"/>
      <c r="GK225" s="1"/>
      <c r="GL225" s="1"/>
      <c r="GM225" s="1"/>
      <c r="GN225" s="1"/>
      <c r="GO225" s="1"/>
      <c r="GP225" s="1"/>
      <c r="GQ225" s="1"/>
      <c r="GR225" s="1"/>
      <c r="GS225" s="1"/>
      <c r="GT225" s="1"/>
      <c r="GU225" s="1"/>
      <c r="GV225" s="1"/>
      <c r="GW225" s="1"/>
      <c r="GX225" s="1"/>
      <c r="GY225" s="1"/>
      <c r="GZ225" s="1"/>
      <c r="HA225" s="1"/>
      <c r="HB225" s="1"/>
      <c r="HC225" s="1"/>
      <c r="HD225" s="1"/>
      <c r="HE225" s="1"/>
      <c r="HF225" s="1"/>
      <c r="HG225" s="1"/>
      <c r="HH225" s="1"/>
      <c r="HI225" s="1"/>
      <c r="HJ225" s="1"/>
      <c r="HK225" s="1"/>
      <c r="HL225" s="1"/>
      <c r="HM225" s="1"/>
      <c r="HN225" s="1"/>
      <c r="HO225" s="1"/>
      <c r="HP225" s="1"/>
      <c r="HQ225" s="1"/>
      <c r="HR225" s="1"/>
      <c r="HS225" s="1"/>
      <c r="HT225" s="1"/>
      <c r="HU225" s="1"/>
      <c r="HV225" s="1"/>
      <c r="HW225" s="1"/>
      <c r="HX225" s="1"/>
      <c r="HY225" s="1"/>
      <c r="HZ225" s="1"/>
      <c r="IA225" s="1"/>
      <c r="IB225" s="1"/>
      <c r="IC225" s="1"/>
      <c r="ID225" s="1"/>
      <c r="IE225" s="1"/>
      <c r="IF225" s="1"/>
      <c r="IG225" s="1"/>
      <c r="IH225" s="1"/>
      <c r="II225" s="1"/>
      <c r="IJ225" s="1"/>
      <c r="IK225" s="1"/>
      <c r="IL225" s="1"/>
      <c r="IM225" s="1"/>
      <c r="IN225" s="1"/>
      <c r="IO225" s="1"/>
      <c r="IP225" s="1"/>
      <c r="IQ225" s="1"/>
      <c r="IR225" s="1"/>
      <c r="IS225" s="1"/>
      <c r="IT225" s="1"/>
      <c r="IU225" s="1"/>
      <c r="IV225" s="1"/>
      <c r="IW225" s="1"/>
      <c r="IX225" s="1"/>
      <c r="IY225" s="1"/>
      <c r="IZ225" s="1"/>
      <c r="JA225" s="1"/>
      <c r="JB225" s="1"/>
      <c r="JC225" s="1"/>
      <c r="JD225" s="1"/>
      <c r="JE225" s="1"/>
      <c r="JF225" s="1"/>
      <c r="JG225" s="1"/>
      <c r="JH225" s="1"/>
      <c r="JI225" s="1"/>
      <c r="JJ225" s="1"/>
      <c r="JK225" s="1"/>
      <c r="JL225" s="1"/>
      <c r="JM225" s="1"/>
      <c r="JN225" s="1"/>
      <c r="JO225" s="1"/>
      <c r="JP225" s="1"/>
      <c r="JQ225" s="1"/>
      <c r="JR225" s="1"/>
      <c r="JS225" s="1"/>
      <c r="JT225" s="1"/>
      <c r="JU225" s="1"/>
      <c r="JV225" s="1"/>
      <c r="JW225" s="1"/>
      <c r="JX225" s="1"/>
      <c r="JY225" s="1"/>
      <c r="JZ225" s="1"/>
      <c r="KA225" s="1"/>
      <c r="KB225" s="1"/>
      <c r="KC225" s="1"/>
      <c r="KD225" s="1"/>
      <c r="KE225" s="1"/>
      <c r="KF225" s="1"/>
      <c r="KG225" s="1"/>
      <c r="KH225" s="1"/>
      <c r="KI225" s="1"/>
      <c r="KJ225" s="1"/>
      <c r="KK225" s="1"/>
      <c r="KL225" s="1"/>
      <c r="KM225" s="1"/>
      <c r="KN225" s="1"/>
      <c r="KO225" s="1"/>
      <c r="KP225" s="1"/>
      <c r="KQ225" s="1"/>
      <c r="KR225" s="1"/>
      <c r="KS225" s="1"/>
      <c r="KT225" s="1"/>
      <c r="KU225" s="1"/>
      <c r="KV225" s="1"/>
      <c r="KW225" s="1"/>
      <c r="KX225" s="1"/>
      <c r="KY225" s="1"/>
      <c r="KZ225" s="1"/>
      <c r="LA225" s="1"/>
      <c r="LB225" s="1"/>
      <c r="LC225" s="1"/>
      <c r="LD225" s="1"/>
      <c r="LE225" s="1"/>
      <c r="LF225" s="1"/>
      <c r="LG225" s="1"/>
      <c r="LH225" s="1"/>
      <c r="LI225" s="1"/>
      <c r="LJ225" s="1"/>
      <c r="LK225" s="1"/>
      <c r="LL225" s="1"/>
      <c r="LM225" s="1"/>
      <c r="LN225" s="1"/>
      <c r="LO225" s="1"/>
      <c r="LP225" s="1"/>
      <c r="LQ225" s="1"/>
      <c r="LR225" s="1"/>
      <c r="LS225" s="1"/>
    </row>
    <row r="226" spans="1:331" s="25" customFormat="1" x14ac:dyDescent="0.25">
      <c r="A226" s="25" t="s">
        <v>837</v>
      </c>
      <c r="B226" s="29" t="s">
        <v>838</v>
      </c>
      <c r="C226" s="94" t="s">
        <v>1650</v>
      </c>
      <c r="D226" s="25">
        <v>0</v>
      </c>
      <c r="H226" s="25" t="s">
        <v>839</v>
      </c>
      <c r="I226" s="25" t="s">
        <v>840</v>
      </c>
      <c r="J226" s="25" t="s">
        <v>836</v>
      </c>
      <c r="K226" s="25" t="s">
        <v>840</v>
      </c>
      <c r="L226" s="25">
        <v>0</v>
      </c>
      <c r="O226" s="25">
        <v>0</v>
      </c>
      <c r="Q226" s="96" t="s">
        <v>1576</v>
      </c>
      <c r="R226" s="96"/>
      <c r="T226" s="25">
        <v>4</v>
      </c>
      <c r="V226" s="25">
        <v>5</v>
      </c>
      <c r="W226" s="96">
        <v>4</v>
      </c>
      <c r="X226" s="96"/>
      <c r="Y226" s="96"/>
      <c r="Z226" s="25">
        <v>5</v>
      </c>
      <c r="AA226" s="94" t="b">
        <v>1</v>
      </c>
      <c r="AB226" s="1"/>
      <c r="AC226" s="57" t="s">
        <v>1298</v>
      </c>
      <c r="AD226" s="1"/>
      <c r="AE226" s="57"/>
      <c r="AF226" s="1"/>
      <c r="AG226" s="1"/>
      <c r="AH226" s="1"/>
      <c r="AI226" s="1"/>
      <c r="AJ226" s="1"/>
      <c r="AK226" s="1"/>
      <c r="AL226" s="1"/>
      <c r="AM226" s="1"/>
      <c r="AN226" s="1"/>
      <c r="AO226" s="1"/>
      <c r="AP226" s="1"/>
      <c r="AQ226" s="1"/>
      <c r="AR226" s="1"/>
      <c r="AS226" s="1"/>
      <c r="AT226" s="1"/>
      <c r="AU226" s="1"/>
      <c r="AV226" s="1"/>
      <c r="AW226" s="1"/>
      <c r="AX226" s="1"/>
      <c r="AY226" s="1"/>
      <c r="AZ226" s="1"/>
      <c r="BA226" s="1"/>
      <c r="BB226" s="1"/>
      <c r="BC226" s="1"/>
      <c r="BD226" s="1"/>
      <c r="BE226" s="1"/>
      <c r="BF226" s="1"/>
      <c r="BG226" s="1"/>
      <c r="BH226" s="1"/>
      <c r="BI226" s="1"/>
      <c r="BJ226" s="1"/>
      <c r="BK226" s="1"/>
      <c r="BL226" s="1"/>
      <c r="BM226" s="1"/>
      <c r="BN226" s="1"/>
      <c r="BO226" s="1"/>
      <c r="BP226" s="1"/>
      <c r="BQ226" s="1"/>
      <c r="BR226" s="1"/>
      <c r="BS226" s="1"/>
      <c r="BT226" s="1"/>
      <c r="BU226" s="1"/>
      <c r="BV226" s="1"/>
      <c r="BW226" s="1"/>
      <c r="BX226" s="1"/>
      <c r="BY226" s="1"/>
      <c r="BZ226" s="1"/>
      <c r="CA226" s="1"/>
      <c r="CB226" s="1"/>
      <c r="CC226" s="1"/>
      <c r="CD226" s="1"/>
      <c r="CE226" s="1"/>
      <c r="CF226" s="1"/>
      <c r="CG226" s="1"/>
      <c r="CH226" s="1"/>
      <c r="CI226" s="1"/>
      <c r="CJ226" s="1"/>
      <c r="CK226" s="1"/>
      <c r="CL226" s="1"/>
      <c r="CM226" s="1"/>
      <c r="CN226" s="1"/>
      <c r="CO226" s="1"/>
      <c r="CP226" s="1"/>
      <c r="CQ226" s="1"/>
      <c r="CR226" s="1"/>
      <c r="CS226" s="1"/>
      <c r="CT226" s="1"/>
      <c r="CU226" s="1"/>
      <c r="CV226" s="1"/>
      <c r="CW226" s="1"/>
      <c r="CX226" s="1"/>
      <c r="CY226" s="1"/>
      <c r="CZ226" s="1"/>
      <c r="DA226" s="1"/>
      <c r="DB226" s="1"/>
      <c r="DC226" s="1"/>
      <c r="DD226" s="1"/>
      <c r="DE226" s="1"/>
      <c r="DF226" s="1"/>
      <c r="DG226" s="1"/>
      <c r="DH226" s="1"/>
      <c r="DI226" s="1"/>
      <c r="DJ226" s="1"/>
      <c r="DK226" s="1"/>
      <c r="DL226" s="1"/>
      <c r="DM226" s="1"/>
      <c r="DN226" s="1"/>
      <c r="DO226" s="1"/>
      <c r="DP226" s="1"/>
      <c r="DQ226" s="1"/>
      <c r="DR226" s="1"/>
      <c r="DS226" s="1"/>
      <c r="DT226" s="1"/>
      <c r="DU226" s="1"/>
      <c r="DV226" s="1"/>
      <c r="DW226" s="1"/>
      <c r="DX226" s="1"/>
      <c r="DY226" s="1"/>
      <c r="DZ226" s="1"/>
      <c r="EA226" s="1"/>
      <c r="EB226" s="1"/>
      <c r="EC226" s="1"/>
      <c r="ED226" s="1"/>
      <c r="EE226" s="1"/>
      <c r="EF226" s="1"/>
      <c r="EG226" s="1"/>
      <c r="EH226" s="1"/>
      <c r="EI226" s="1"/>
      <c r="EJ226" s="1"/>
      <c r="EK226" s="1"/>
      <c r="EL226" s="1"/>
      <c r="EM226" s="1"/>
      <c r="EN226" s="1"/>
      <c r="EO226" s="1"/>
      <c r="EP226" s="1"/>
      <c r="EQ226" s="1"/>
      <c r="ER226" s="1"/>
      <c r="ES226" s="1"/>
      <c r="ET226" s="1"/>
      <c r="EU226" s="1"/>
      <c r="EV226" s="1"/>
      <c r="EW226" s="1"/>
      <c r="EX226" s="1"/>
      <c r="EY226" s="1"/>
      <c r="EZ226" s="1"/>
      <c r="FA226" s="1"/>
      <c r="FB226" s="1"/>
      <c r="FC226" s="1"/>
      <c r="FD226" s="1"/>
      <c r="FE226" s="1"/>
      <c r="FF226" s="1"/>
      <c r="FG226" s="1"/>
      <c r="FH226" s="1"/>
      <c r="FI226" s="1"/>
      <c r="FJ226" s="1"/>
      <c r="FK226" s="1"/>
      <c r="FL226" s="1"/>
      <c r="FM226" s="1"/>
      <c r="FN226" s="1"/>
      <c r="FO226" s="1"/>
      <c r="FP226" s="1"/>
      <c r="FQ226" s="1"/>
      <c r="FR226" s="1"/>
      <c r="FS226" s="1"/>
      <c r="FT226" s="1"/>
      <c r="FU226" s="1"/>
      <c r="FV226" s="1"/>
      <c r="FW226" s="1"/>
      <c r="FX226" s="1"/>
      <c r="FY226" s="1"/>
      <c r="FZ226" s="1"/>
      <c r="GA226" s="1"/>
      <c r="GB226" s="1"/>
      <c r="GC226" s="1"/>
      <c r="GD226" s="1"/>
      <c r="GE226" s="1"/>
      <c r="GF226" s="1"/>
      <c r="GG226" s="1"/>
      <c r="GH226" s="1"/>
      <c r="GI226" s="1"/>
      <c r="GJ226" s="1"/>
      <c r="GK226" s="1"/>
      <c r="GL226" s="1"/>
      <c r="GM226" s="1"/>
      <c r="GN226" s="1"/>
      <c r="GO226" s="1"/>
      <c r="GP226" s="1"/>
      <c r="GQ226" s="1"/>
      <c r="GR226" s="1"/>
      <c r="GS226" s="1"/>
      <c r="GT226" s="1"/>
      <c r="GU226" s="1"/>
      <c r="GV226" s="1"/>
      <c r="GW226" s="1"/>
      <c r="GX226" s="1"/>
      <c r="GY226" s="1"/>
      <c r="GZ226" s="1"/>
      <c r="HA226" s="1"/>
      <c r="HB226" s="1"/>
      <c r="HC226" s="1"/>
      <c r="HD226" s="1"/>
      <c r="HE226" s="1"/>
      <c r="HF226" s="1"/>
      <c r="HG226" s="1"/>
      <c r="HH226" s="1"/>
      <c r="HI226" s="1"/>
      <c r="HJ226" s="1"/>
      <c r="HK226" s="1"/>
      <c r="HL226" s="1"/>
      <c r="HM226" s="1"/>
      <c r="HN226" s="1"/>
      <c r="HO226" s="1"/>
      <c r="HP226" s="1"/>
      <c r="HQ226" s="1"/>
      <c r="HR226" s="1"/>
      <c r="HS226" s="1"/>
      <c r="HT226" s="1"/>
      <c r="HU226" s="1"/>
      <c r="HV226" s="1"/>
      <c r="HW226" s="1"/>
      <c r="HX226" s="1"/>
      <c r="HY226" s="1"/>
      <c r="HZ226" s="1"/>
      <c r="IA226" s="1"/>
      <c r="IB226" s="1"/>
      <c r="IC226" s="1"/>
      <c r="ID226" s="1"/>
      <c r="IE226" s="1"/>
      <c r="IF226" s="1"/>
      <c r="IG226" s="1"/>
      <c r="IH226" s="1"/>
      <c r="II226" s="1"/>
      <c r="IJ226" s="1"/>
      <c r="IK226" s="1"/>
      <c r="IL226" s="1"/>
      <c r="IM226" s="1"/>
      <c r="IN226" s="1"/>
      <c r="IO226" s="1"/>
      <c r="IP226" s="1"/>
      <c r="IQ226" s="1"/>
      <c r="IR226" s="1"/>
      <c r="IS226" s="1"/>
      <c r="IT226" s="1"/>
      <c r="IU226" s="1"/>
      <c r="IV226" s="1"/>
      <c r="IW226" s="1"/>
      <c r="IX226" s="1"/>
      <c r="IY226" s="1"/>
      <c r="IZ226" s="1"/>
      <c r="JA226" s="1"/>
      <c r="JB226" s="1"/>
      <c r="JC226" s="1"/>
      <c r="JD226" s="1"/>
      <c r="JE226" s="1"/>
      <c r="JF226" s="1"/>
      <c r="JG226" s="1"/>
      <c r="JH226" s="1"/>
      <c r="JI226" s="1"/>
      <c r="JJ226" s="1"/>
      <c r="JK226" s="1"/>
      <c r="JL226" s="1"/>
      <c r="JM226" s="1"/>
      <c r="JN226" s="1"/>
      <c r="JO226" s="1"/>
      <c r="JP226" s="1"/>
      <c r="JQ226" s="1"/>
      <c r="JR226" s="1"/>
      <c r="JS226" s="1"/>
      <c r="JT226" s="1"/>
      <c r="JU226" s="1"/>
      <c r="JV226" s="1"/>
      <c r="JW226" s="1"/>
      <c r="JX226" s="1"/>
      <c r="JY226" s="1"/>
      <c r="JZ226" s="1"/>
      <c r="KA226" s="1"/>
      <c r="KB226" s="1"/>
      <c r="KC226" s="1"/>
      <c r="KD226" s="1"/>
      <c r="KE226" s="1"/>
      <c r="KF226" s="1"/>
      <c r="KG226" s="1"/>
      <c r="KH226" s="1"/>
      <c r="KI226" s="1"/>
      <c r="KJ226" s="1"/>
      <c r="KK226" s="1"/>
      <c r="KL226" s="1"/>
      <c r="KM226" s="1"/>
      <c r="KN226" s="1"/>
      <c r="KO226" s="1"/>
      <c r="KP226" s="1"/>
      <c r="KQ226" s="1"/>
      <c r="KR226" s="1"/>
      <c r="KS226" s="1"/>
      <c r="KT226" s="1"/>
      <c r="KU226" s="1"/>
      <c r="KV226" s="1"/>
      <c r="KW226" s="1"/>
      <c r="KX226" s="1"/>
      <c r="KY226" s="1"/>
      <c r="KZ226" s="1"/>
      <c r="LA226" s="1"/>
      <c r="LB226" s="1"/>
      <c r="LC226" s="1"/>
      <c r="LD226" s="1"/>
      <c r="LE226" s="1"/>
      <c r="LF226" s="1"/>
      <c r="LG226" s="1"/>
      <c r="LH226" s="1"/>
      <c r="LI226" s="1"/>
      <c r="LJ226" s="1"/>
      <c r="LK226" s="1"/>
      <c r="LL226" s="1"/>
      <c r="LM226" s="1"/>
      <c r="LN226" s="1"/>
      <c r="LO226" s="1"/>
      <c r="LP226" s="1"/>
      <c r="LQ226" s="1"/>
      <c r="LR226" s="1"/>
      <c r="LS226" s="1"/>
    </row>
    <row r="227" spans="1:331" s="40" customFormat="1" x14ac:dyDescent="0.25">
      <c r="A227" s="40" t="s">
        <v>841</v>
      </c>
      <c r="B227" s="44" t="s">
        <v>842</v>
      </c>
      <c r="C227" s="94" t="s">
        <v>1650</v>
      </c>
      <c r="D227" s="40">
        <v>0</v>
      </c>
      <c r="H227" s="40" t="s">
        <v>843</v>
      </c>
      <c r="I227" s="40" t="s">
        <v>593</v>
      </c>
      <c r="J227" s="40" t="s">
        <v>843</v>
      </c>
      <c r="K227" s="40" t="s">
        <v>1701</v>
      </c>
      <c r="L227" s="40">
        <v>0</v>
      </c>
      <c r="O227" s="40">
        <v>1</v>
      </c>
      <c r="P227" s="40" t="s">
        <v>844</v>
      </c>
      <c r="Q227" s="96" t="s">
        <v>1577</v>
      </c>
      <c r="R227" s="96"/>
      <c r="T227" s="40">
        <v>22</v>
      </c>
      <c r="V227" s="40">
        <v>20</v>
      </c>
      <c r="W227" s="96">
        <v>22</v>
      </c>
      <c r="X227" s="96"/>
      <c r="Y227" s="96"/>
      <c r="Z227" s="40">
        <v>8</v>
      </c>
      <c r="AA227" s="94" t="b">
        <v>1</v>
      </c>
      <c r="AB227" s="1"/>
      <c r="AC227" s="57" t="s">
        <v>1429</v>
      </c>
      <c r="AD227" s="1"/>
      <c r="AE227" s="57"/>
      <c r="AF227" s="1"/>
      <c r="AG227" s="1"/>
      <c r="AH227" s="1"/>
      <c r="AI227" s="1"/>
      <c r="AJ227" s="1"/>
      <c r="AK227" s="1"/>
      <c r="AL227" s="1"/>
      <c r="AM227" s="1"/>
      <c r="AN227" s="1"/>
      <c r="AO227" s="1"/>
      <c r="AP227" s="1"/>
      <c r="AQ227" s="1"/>
      <c r="AR227" s="1"/>
      <c r="AS227" s="1"/>
      <c r="AT227" s="1"/>
      <c r="AU227" s="1"/>
      <c r="AV227" s="1"/>
      <c r="AW227" s="1"/>
      <c r="AX227" s="1"/>
      <c r="AY227" s="1"/>
      <c r="AZ227" s="1"/>
      <c r="BA227" s="1"/>
      <c r="BB227" s="1"/>
      <c r="BC227" s="1"/>
      <c r="BD227" s="1"/>
      <c r="BE227" s="1"/>
      <c r="BF227" s="1"/>
      <c r="BG227" s="1"/>
      <c r="BH227" s="1"/>
      <c r="BI227" s="1"/>
      <c r="BJ227" s="1"/>
      <c r="BK227" s="1"/>
      <c r="BL227" s="1"/>
      <c r="BM227" s="1"/>
      <c r="BN227" s="1"/>
      <c r="BO227" s="1"/>
      <c r="BP227" s="1"/>
      <c r="BQ227" s="1"/>
      <c r="BR227" s="1"/>
      <c r="BS227" s="1"/>
      <c r="BT227" s="1"/>
      <c r="BU227" s="1"/>
      <c r="BV227" s="1"/>
      <c r="BW227" s="1"/>
      <c r="BX227" s="1"/>
      <c r="BY227" s="1"/>
      <c r="BZ227" s="1"/>
      <c r="CA227" s="1"/>
      <c r="CB227" s="1"/>
      <c r="CC227" s="1"/>
      <c r="CD227" s="1"/>
      <c r="CE227" s="1"/>
      <c r="CF227" s="1"/>
      <c r="CG227" s="1"/>
      <c r="CH227" s="1"/>
      <c r="CI227" s="1"/>
      <c r="CJ227" s="1"/>
      <c r="CK227" s="1"/>
      <c r="CL227" s="1"/>
      <c r="CM227" s="1"/>
      <c r="CN227" s="1"/>
      <c r="CO227" s="1"/>
      <c r="CP227" s="1"/>
      <c r="CQ227" s="1"/>
      <c r="CR227" s="1"/>
      <c r="CS227" s="1"/>
      <c r="CT227" s="1"/>
      <c r="CU227" s="1"/>
      <c r="CV227" s="1"/>
      <c r="CW227" s="1"/>
      <c r="CX227" s="1"/>
      <c r="CY227" s="1"/>
      <c r="CZ227" s="1"/>
      <c r="DA227" s="1"/>
      <c r="DB227" s="1"/>
      <c r="DC227" s="1"/>
      <c r="DD227" s="1"/>
      <c r="DE227" s="1"/>
      <c r="DF227" s="1"/>
      <c r="DG227" s="1"/>
      <c r="DH227" s="1"/>
      <c r="DI227" s="1"/>
      <c r="DJ227" s="1"/>
      <c r="DK227" s="1"/>
      <c r="DL227" s="1"/>
      <c r="DM227" s="1"/>
      <c r="DN227" s="1"/>
      <c r="DO227" s="1"/>
      <c r="DP227" s="1"/>
      <c r="DQ227" s="1"/>
      <c r="DR227" s="1"/>
      <c r="DS227" s="1"/>
      <c r="DT227" s="1"/>
      <c r="DU227" s="1"/>
      <c r="DV227" s="1"/>
      <c r="DW227" s="1"/>
      <c r="DX227" s="1"/>
      <c r="DY227" s="1"/>
      <c r="DZ227" s="1"/>
      <c r="EA227" s="1"/>
      <c r="EB227" s="1"/>
      <c r="EC227" s="1"/>
      <c r="ED227" s="1"/>
      <c r="EE227" s="1"/>
      <c r="EF227" s="1"/>
      <c r="EG227" s="1"/>
      <c r="EH227" s="1"/>
      <c r="EI227" s="1"/>
      <c r="EJ227" s="1"/>
      <c r="EK227" s="1"/>
      <c r="EL227" s="1"/>
      <c r="EM227" s="1"/>
      <c r="EN227" s="1"/>
      <c r="EO227" s="1"/>
      <c r="EP227" s="1"/>
      <c r="EQ227" s="1"/>
      <c r="ER227" s="1"/>
      <c r="ES227" s="1"/>
      <c r="ET227" s="1"/>
      <c r="EU227" s="1"/>
      <c r="EV227" s="1"/>
      <c r="EW227" s="1"/>
      <c r="EX227" s="1"/>
      <c r="EY227" s="1"/>
      <c r="EZ227" s="1"/>
      <c r="FA227" s="1"/>
      <c r="FB227" s="1"/>
      <c r="FC227" s="1"/>
      <c r="FD227" s="1"/>
      <c r="FE227" s="1"/>
      <c r="FF227" s="1"/>
      <c r="FG227" s="1"/>
      <c r="FH227" s="1"/>
      <c r="FI227" s="1"/>
      <c r="FJ227" s="1"/>
      <c r="FK227" s="1"/>
      <c r="FL227" s="1"/>
      <c r="FM227" s="1"/>
      <c r="FN227" s="1"/>
      <c r="FO227" s="1"/>
      <c r="FP227" s="1"/>
      <c r="FQ227" s="1"/>
      <c r="FR227" s="1"/>
      <c r="FS227" s="1"/>
      <c r="FT227" s="1"/>
      <c r="FU227" s="1"/>
      <c r="FV227" s="1"/>
      <c r="FW227" s="1"/>
      <c r="FX227" s="1"/>
      <c r="FY227" s="1"/>
      <c r="FZ227" s="1"/>
      <c r="GA227" s="1"/>
      <c r="GB227" s="1"/>
      <c r="GC227" s="1"/>
      <c r="GD227" s="1"/>
      <c r="GE227" s="1"/>
      <c r="GF227" s="1"/>
      <c r="GG227" s="1"/>
      <c r="GH227" s="1"/>
      <c r="GI227" s="1"/>
      <c r="GJ227" s="1"/>
      <c r="GK227" s="1"/>
      <c r="GL227" s="1"/>
      <c r="GM227" s="1"/>
      <c r="GN227" s="1"/>
      <c r="GO227" s="1"/>
      <c r="GP227" s="1"/>
      <c r="GQ227" s="1"/>
      <c r="GR227" s="1"/>
      <c r="GS227" s="1"/>
      <c r="GT227" s="1"/>
      <c r="GU227" s="1"/>
      <c r="GV227" s="1"/>
      <c r="GW227" s="1"/>
      <c r="GX227" s="1"/>
      <c r="GY227" s="1"/>
      <c r="GZ227" s="1"/>
      <c r="HA227" s="1"/>
      <c r="HB227" s="1"/>
      <c r="HC227" s="1"/>
      <c r="HD227" s="1"/>
      <c r="HE227" s="1"/>
      <c r="HF227" s="1"/>
      <c r="HG227" s="1"/>
      <c r="HH227" s="1"/>
      <c r="HI227" s="1"/>
      <c r="HJ227" s="1"/>
      <c r="HK227" s="1"/>
      <c r="HL227" s="1"/>
      <c r="HM227" s="1"/>
      <c r="HN227" s="1"/>
      <c r="HO227" s="1"/>
      <c r="HP227" s="1"/>
      <c r="HQ227" s="1"/>
      <c r="HR227" s="1"/>
      <c r="HS227" s="1"/>
      <c r="HT227" s="1"/>
      <c r="HU227" s="1"/>
      <c r="HV227" s="1"/>
      <c r="HW227" s="1"/>
      <c r="HX227" s="1"/>
      <c r="HY227" s="1"/>
      <c r="HZ227" s="1"/>
      <c r="IA227" s="1"/>
      <c r="IB227" s="1"/>
      <c r="IC227" s="1"/>
      <c r="ID227" s="1"/>
      <c r="IE227" s="1"/>
      <c r="IF227" s="1"/>
      <c r="IG227" s="1"/>
      <c r="IH227" s="1"/>
      <c r="II227" s="1"/>
      <c r="IJ227" s="1"/>
      <c r="IK227" s="1"/>
      <c r="IL227" s="1"/>
      <c r="IM227" s="1"/>
      <c r="IN227" s="1"/>
      <c r="IO227" s="1"/>
      <c r="IP227" s="1"/>
      <c r="IQ227" s="1"/>
      <c r="IR227" s="1"/>
      <c r="IS227" s="1"/>
      <c r="IT227" s="1"/>
      <c r="IU227" s="1"/>
      <c r="IV227" s="1"/>
      <c r="IW227" s="1"/>
      <c r="IX227" s="1"/>
      <c r="IY227" s="1"/>
      <c r="IZ227" s="1"/>
      <c r="JA227" s="1"/>
      <c r="JB227" s="1"/>
      <c r="JC227" s="1"/>
      <c r="JD227" s="1"/>
      <c r="JE227" s="1"/>
      <c r="JF227" s="1"/>
      <c r="JG227" s="1"/>
      <c r="JH227" s="1"/>
      <c r="JI227" s="1"/>
      <c r="JJ227" s="1"/>
      <c r="JK227" s="1"/>
      <c r="JL227" s="1"/>
      <c r="JM227" s="1"/>
      <c r="JN227" s="1"/>
      <c r="JO227" s="1"/>
      <c r="JP227" s="1"/>
      <c r="JQ227" s="1"/>
      <c r="JR227" s="1"/>
      <c r="JS227" s="1"/>
      <c r="JT227" s="1"/>
      <c r="JU227" s="1"/>
      <c r="JV227" s="1"/>
      <c r="JW227" s="1"/>
      <c r="JX227" s="1"/>
      <c r="JY227" s="1"/>
      <c r="JZ227" s="1"/>
      <c r="KA227" s="1"/>
      <c r="KB227" s="1"/>
      <c r="KC227" s="1"/>
      <c r="KD227" s="1"/>
      <c r="KE227" s="1"/>
      <c r="KF227" s="1"/>
      <c r="KG227" s="1"/>
      <c r="KH227" s="1"/>
      <c r="KI227" s="1"/>
      <c r="KJ227" s="1"/>
      <c r="KK227" s="1"/>
      <c r="KL227" s="1"/>
      <c r="KM227" s="1"/>
      <c r="KN227" s="1"/>
      <c r="KO227" s="1"/>
      <c r="KP227" s="1"/>
      <c r="KQ227" s="1"/>
      <c r="KR227" s="1"/>
      <c r="KS227" s="1"/>
      <c r="KT227" s="1"/>
      <c r="KU227" s="1"/>
      <c r="KV227" s="1"/>
      <c r="KW227" s="1"/>
      <c r="KX227" s="1"/>
      <c r="KY227" s="1"/>
      <c r="KZ227" s="1"/>
      <c r="LA227" s="1"/>
      <c r="LB227" s="1"/>
      <c r="LC227" s="1"/>
      <c r="LD227" s="1"/>
      <c r="LE227" s="1"/>
      <c r="LF227" s="1"/>
      <c r="LG227" s="1"/>
      <c r="LH227" s="1"/>
      <c r="LI227" s="1"/>
      <c r="LJ227" s="1"/>
      <c r="LK227" s="1"/>
      <c r="LL227" s="1"/>
      <c r="LM227" s="1"/>
      <c r="LN227" s="1"/>
      <c r="LO227" s="1"/>
      <c r="LP227" s="1"/>
      <c r="LQ227" s="1"/>
      <c r="LR227" s="1"/>
      <c r="LS227" s="1"/>
    </row>
    <row r="228" spans="1:331" s="40" customFormat="1" x14ac:dyDescent="0.25">
      <c r="A228" s="40" t="s">
        <v>845</v>
      </c>
      <c r="B228" s="44" t="s">
        <v>846</v>
      </c>
      <c r="C228" s="94" t="s">
        <v>1650</v>
      </c>
      <c r="D228" s="40">
        <v>0</v>
      </c>
      <c r="H228" s="40" t="s">
        <v>847</v>
      </c>
      <c r="I228" s="44" t="s">
        <v>848</v>
      </c>
      <c r="J228" s="40" t="s">
        <v>847</v>
      </c>
      <c r="K228" s="40" t="s">
        <v>847</v>
      </c>
      <c r="L228" s="40">
        <v>0</v>
      </c>
      <c r="O228" s="40">
        <v>1</v>
      </c>
      <c r="P228" s="40" t="s">
        <v>849</v>
      </c>
      <c r="Q228" s="94" t="s">
        <v>1544</v>
      </c>
      <c r="R228" s="96"/>
      <c r="T228" s="40">
        <v>9</v>
      </c>
      <c r="V228" s="40">
        <v>10</v>
      </c>
      <c r="W228" s="96">
        <v>9</v>
      </c>
      <c r="X228" s="96"/>
      <c r="Y228" s="96"/>
      <c r="Z228" s="40">
        <v>8</v>
      </c>
      <c r="AA228" s="94" t="b">
        <v>1</v>
      </c>
      <c r="AB228" s="1"/>
      <c r="AC228" s="57" t="s">
        <v>1995</v>
      </c>
      <c r="AD228" s="1"/>
      <c r="AE228" t="s">
        <v>1869</v>
      </c>
      <c r="AF228" s="1"/>
      <c r="AG228" s="1"/>
      <c r="AH228" s="1"/>
      <c r="AI228" s="1"/>
      <c r="AJ228" s="1"/>
      <c r="AK228" s="1"/>
      <c r="AL228" s="1"/>
      <c r="AM228" s="1"/>
      <c r="AN228" s="1"/>
      <c r="AO228" s="1"/>
      <c r="AP228" s="1"/>
      <c r="AQ228" s="1"/>
      <c r="AR228" s="1"/>
      <c r="AS228" s="1"/>
      <c r="AT228" s="1"/>
      <c r="AU228" s="1"/>
      <c r="AV228" s="1"/>
      <c r="AW228" s="1"/>
      <c r="AX228" s="1"/>
      <c r="AY228" s="1"/>
      <c r="AZ228" s="1"/>
      <c r="BA228" s="1"/>
      <c r="BB228" s="1"/>
      <c r="BC228" s="1"/>
      <c r="BD228" s="1"/>
      <c r="BE228" s="1"/>
      <c r="BF228" s="1"/>
      <c r="BG228" s="1"/>
      <c r="BH228" s="1"/>
      <c r="BI228" s="1"/>
      <c r="BJ228" s="1"/>
      <c r="BK228" s="1"/>
      <c r="BL228" s="1"/>
      <c r="BM228" s="1"/>
      <c r="BN228" s="1"/>
      <c r="BO228" s="1"/>
      <c r="BP228" s="1"/>
      <c r="BQ228" s="1"/>
      <c r="BR228" s="1"/>
      <c r="BS228" s="1"/>
      <c r="BT228" s="1"/>
      <c r="BU228" s="1"/>
      <c r="BV228" s="1"/>
      <c r="BW228" s="1"/>
      <c r="BX228" s="1"/>
      <c r="BY228" s="1"/>
      <c r="BZ228" s="1"/>
      <c r="CA228" s="1"/>
      <c r="CB228" s="1"/>
      <c r="CC228" s="1"/>
      <c r="CD228" s="1"/>
      <c r="CE228" s="1"/>
      <c r="CF228" s="1"/>
      <c r="CG228" s="1"/>
      <c r="CH228" s="1"/>
      <c r="CI228" s="1"/>
      <c r="CJ228" s="1"/>
      <c r="CK228" s="1"/>
      <c r="CL228" s="1"/>
      <c r="CM228" s="1"/>
      <c r="CN228" s="1"/>
      <c r="CO228" s="1"/>
      <c r="CP228" s="1"/>
      <c r="CQ228" s="1"/>
      <c r="CR228" s="1"/>
      <c r="CS228" s="1"/>
      <c r="CT228" s="1"/>
      <c r="CU228" s="1"/>
      <c r="CV228" s="1"/>
      <c r="CW228" s="1"/>
      <c r="CX228" s="1"/>
      <c r="CY228" s="1"/>
      <c r="CZ228" s="1"/>
      <c r="DA228" s="1"/>
      <c r="DB228" s="1"/>
      <c r="DC228" s="1"/>
      <c r="DD228" s="1"/>
      <c r="DE228" s="1"/>
      <c r="DF228" s="1"/>
      <c r="DG228" s="1"/>
      <c r="DH228" s="1"/>
      <c r="DI228" s="1"/>
      <c r="DJ228" s="1"/>
      <c r="DK228" s="1"/>
      <c r="DL228" s="1"/>
      <c r="DM228" s="1"/>
      <c r="DN228" s="1"/>
      <c r="DO228" s="1"/>
      <c r="DP228" s="1"/>
      <c r="DQ228" s="1"/>
      <c r="DR228" s="1"/>
      <c r="DS228" s="1"/>
      <c r="DT228" s="1"/>
      <c r="DU228" s="1"/>
      <c r="DV228" s="1"/>
      <c r="DW228" s="1"/>
      <c r="DX228" s="1"/>
      <c r="DY228" s="1"/>
      <c r="DZ228" s="1"/>
      <c r="EA228" s="1"/>
      <c r="EB228" s="1"/>
      <c r="EC228" s="1"/>
      <c r="ED228" s="1"/>
      <c r="EE228" s="1"/>
      <c r="EF228" s="1"/>
      <c r="EG228" s="1"/>
      <c r="EH228" s="1"/>
      <c r="EI228" s="1"/>
      <c r="EJ228" s="1"/>
      <c r="EK228" s="1"/>
      <c r="EL228" s="1"/>
      <c r="EM228" s="1"/>
      <c r="EN228" s="1"/>
      <c r="EO228" s="1"/>
      <c r="EP228" s="1"/>
      <c r="EQ228" s="1"/>
      <c r="ER228" s="1"/>
      <c r="ES228" s="1"/>
      <c r="ET228" s="1"/>
      <c r="EU228" s="1"/>
      <c r="EV228" s="1"/>
      <c r="EW228" s="1"/>
      <c r="EX228" s="1"/>
      <c r="EY228" s="1"/>
      <c r="EZ228" s="1"/>
      <c r="FA228" s="1"/>
      <c r="FB228" s="1"/>
      <c r="FC228" s="1"/>
      <c r="FD228" s="1"/>
      <c r="FE228" s="1"/>
      <c r="FF228" s="1"/>
      <c r="FG228" s="1"/>
      <c r="FH228" s="1"/>
      <c r="FI228" s="1"/>
      <c r="FJ228" s="1"/>
      <c r="FK228" s="1"/>
      <c r="FL228" s="1"/>
      <c r="FM228" s="1"/>
      <c r="FN228" s="1"/>
      <c r="FO228" s="1"/>
      <c r="FP228" s="1"/>
      <c r="FQ228" s="1"/>
      <c r="FR228" s="1"/>
      <c r="FS228" s="1"/>
      <c r="FT228" s="1"/>
      <c r="FU228" s="1"/>
      <c r="FV228" s="1"/>
      <c r="FW228" s="1"/>
      <c r="FX228" s="1"/>
      <c r="FY228" s="1"/>
      <c r="FZ228" s="1"/>
      <c r="GA228" s="1"/>
      <c r="GB228" s="1"/>
      <c r="GC228" s="1"/>
      <c r="GD228" s="1"/>
      <c r="GE228" s="1"/>
      <c r="GF228" s="1"/>
      <c r="GG228" s="1"/>
      <c r="GH228" s="1"/>
      <c r="GI228" s="1"/>
      <c r="GJ228" s="1"/>
      <c r="GK228" s="1"/>
      <c r="GL228" s="1"/>
      <c r="GM228" s="1"/>
      <c r="GN228" s="1"/>
      <c r="GO228" s="1"/>
      <c r="GP228" s="1"/>
      <c r="GQ228" s="1"/>
      <c r="GR228" s="1"/>
      <c r="GS228" s="1"/>
      <c r="GT228" s="1"/>
      <c r="GU228" s="1"/>
      <c r="GV228" s="1"/>
      <c r="GW228" s="1"/>
      <c r="GX228" s="1"/>
      <c r="GY228" s="1"/>
      <c r="GZ228" s="1"/>
      <c r="HA228" s="1"/>
      <c r="HB228" s="1"/>
      <c r="HC228" s="1"/>
      <c r="HD228" s="1"/>
      <c r="HE228" s="1"/>
      <c r="HF228" s="1"/>
      <c r="HG228" s="1"/>
      <c r="HH228" s="1"/>
      <c r="HI228" s="1"/>
      <c r="HJ228" s="1"/>
      <c r="HK228" s="1"/>
      <c r="HL228" s="1"/>
      <c r="HM228" s="1"/>
      <c r="HN228" s="1"/>
      <c r="HO228" s="1"/>
      <c r="HP228" s="1"/>
      <c r="HQ228" s="1"/>
      <c r="HR228" s="1"/>
      <c r="HS228" s="1"/>
      <c r="HT228" s="1"/>
      <c r="HU228" s="1"/>
      <c r="HV228" s="1"/>
      <c r="HW228" s="1"/>
      <c r="HX228" s="1"/>
      <c r="HY228" s="1"/>
      <c r="HZ228" s="1"/>
      <c r="IA228" s="1"/>
      <c r="IB228" s="1"/>
      <c r="IC228" s="1"/>
      <c r="ID228" s="1"/>
      <c r="IE228" s="1"/>
      <c r="IF228" s="1"/>
      <c r="IG228" s="1"/>
      <c r="IH228" s="1"/>
      <c r="II228" s="1"/>
      <c r="IJ228" s="1"/>
      <c r="IK228" s="1"/>
      <c r="IL228" s="1"/>
      <c r="IM228" s="1"/>
      <c r="IN228" s="1"/>
      <c r="IO228" s="1"/>
      <c r="IP228" s="1"/>
      <c r="IQ228" s="1"/>
      <c r="IR228" s="1"/>
      <c r="IS228" s="1"/>
      <c r="IT228" s="1"/>
      <c r="IU228" s="1"/>
      <c r="IV228" s="1"/>
      <c r="IW228" s="1"/>
      <c r="IX228" s="1"/>
      <c r="IY228" s="1"/>
      <c r="IZ228" s="1"/>
      <c r="JA228" s="1"/>
      <c r="JB228" s="1"/>
      <c r="JC228" s="1"/>
      <c r="JD228" s="1"/>
      <c r="JE228" s="1"/>
      <c r="JF228" s="1"/>
      <c r="JG228" s="1"/>
      <c r="JH228" s="1"/>
      <c r="JI228" s="1"/>
      <c r="JJ228" s="1"/>
      <c r="JK228" s="1"/>
      <c r="JL228" s="1"/>
      <c r="JM228" s="1"/>
      <c r="JN228" s="1"/>
      <c r="JO228" s="1"/>
      <c r="JP228" s="1"/>
      <c r="JQ228" s="1"/>
      <c r="JR228" s="1"/>
      <c r="JS228" s="1"/>
      <c r="JT228" s="1"/>
      <c r="JU228" s="1"/>
      <c r="JV228" s="1"/>
      <c r="JW228" s="1"/>
      <c r="JX228" s="1"/>
      <c r="JY228" s="1"/>
      <c r="JZ228" s="1"/>
      <c r="KA228" s="1"/>
      <c r="KB228" s="1"/>
      <c r="KC228" s="1"/>
      <c r="KD228" s="1"/>
      <c r="KE228" s="1"/>
      <c r="KF228" s="1"/>
      <c r="KG228" s="1"/>
      <c r="KH228" s="1"/>
      <c r="KI228" s="1"/>
      <c r="KJ228" s="1"/>
      <c r="KK228" s="1"/>
      <c r="KL228" s="1"/>
      <c r="KM228" s="1"/>
      <c r="KN228" s="1"/>
      <c r="KO228" s="1"/>
      <c r="KP228" s="1"/>
      <c r="KQ228" s="1"/>
      <c r="KR228" s="1"/>
      <c r="KS228" s="1"/>
      <c r="KT228" s="1"/>
      <c r="KU228" s="1"/>
      <c r="KV228" s="1"/>
      <c r="KW228" s="1"/>
      <c r="KX228" s="1"/>
      <c r="KY228" s="1"/>
      <c r="KZ228" s="1"/>
      <c r="LA228" s="1"/>
      <c r="LB228" s="1"/>
      <c r="LC228" s="1"/>
      <c r="LD228" s="1"/>
      <c r="LE228" s="1"/>
      <c r="LF228" s="1"/>
      <c r="LG228" s="1"/>
      <c r="LH228" s="1"/>
      <c r="LI228" s="1"/>
      <c r="LJ228" s="1"/>
      <c r="LK228" s="1"/>
      <c r="LL228" s="1"/>
      <c r="LM228" s="1"/>
      <c r="LN228" s="1"/>
      <c r="LO228" s="1"/>
      <c r="LP228" s="1"/>
      <c r="LQ228" s="1"/>
      <c r="LR228" s="1"/>
      <c r="LS228" s="1"/>
    </row>
    <row r="229" spans="1:331" s="25" customFormat="1" x14ac:dyDescent="0.25">
      <c r="A229" s="25" t="s">
        <v>850</v>
      </c>
      <c r="B229" s="29" t="s">
        <v>851</v>
      </c>
      <c r="C229" s="94" t="s">
        <v>1650</v>
      </c>
      <c r="D229" s="25">
        <v>0</v>
      </c>
      <c r="H229" s="25" t="s">
        <v>852</v>
      </c>
      <c r="I229" s="25" t="s">
        <v>853</v>
      </c>
      <c r="J229" s="25" t="s">
        <v>852</v>
      </c>
      <c r="K229" s="25" t="s">
        <v>853</v>
      </c>
      <c r="L229" s="25">
        <v>0</v>
      </c>
      <c r="O229" s="25">
        <v>0</v>
      </c>
      <c r="Q229" s="96" t="s">
        <v>1134</v>
      </c>
      <c r="R229" s="96"/>
      <c r="S229" s="25">
        <v>12</v>
      </c>
      <c r="U229" s="25">
        <v>9</v>
      </c>
      <c r="W229" s="96">
        <v>12</v>
      </c>
      <c r="X229" s="96"/>
      <c r="Y229" s="96"/>
      <c r="Z229" s="25">
        <v>5</v>
      </c>
      <c r="AA229" s="94" t="b">
        <v>1</v>
      </c>
      <c r="AB229" s="1" t="s">
        <v>1899</v>
      </c>
      <c r="AC229" s="57" t="s">
        <v>1299</v>
      </c>
      <c r="AD229" s="1"/>
      <c r="AE229" t="s">
        <v>1870</v>
      </c>
      <c r="AF229" s="1"/>
      <c r="AG229" s="1"/>
      <c r="AH229" s="1"/>
      <c r="AI229" s="1"/>
      <c r="AJ229" s="1"/>
      <c r="AK229" s="1"/>
      <c r="AL229" s="1"/>
      <c r="AM229" s="1"/>
      <c r="AN229" s="1"/>
      <c r="AO229" s="1"/>
      <c r="AP229" s="1"/>
      <c r="AQ229" s="1"/>
      <c r="AR229" s="1"/>
      <c r="AS229" s="1"/>
      <c r="AT229" s="1"/>
      <c r="AU229" s="1"/>
      <c r="AV229" s="1"/>
      <c r="AW229" s="1"/>
      <c r="AX229" s="1"/>
      <c r="AY229" s="1"/>
      <c r="AZ229" s="1"/>
      <c r="BA229" s="1"/>
      <c r="BB229" s="1"/>
      <c r="BC229" s="1"/>
      <c r="BD229" s="1"/>
      <c r="BE229" s="1"/>
      <c r="BF229" s="1"/>
      <c r="BG229" s="1"/>
      <c r="BH229" s="1"/>
      <c r="BI229" s="1"/>
      <c r="BJ229" s="1"/>
      <c r="BK229" s="1"/>
      <c r="BL229" s="1"/>
      <c r="BM229" s="1"/>
      <c r="BN229" s="1"/>
      <c r="BO229" s="1"/>
      <c r="BP229" s="1"/>
      <c r="BQ229" s="1"/>
      <c r="BR229" s="1"/>
      <c r="BS229" s="1"/>
      <c r="BT229" s="1"/>
      <c r="BU229" s="1"/>
      <c r="BV229" s="1"/>
      <c r="BW229" s="1"/>
      <c r="BX229" s="1"/>
      <c r="BY229" s="1"/>
      <c r="BZ229" s="1"/>
      <c r="CA229" s="1"/>
      <c r="CB229" s="1"/>
      <c r="CC229" s="1"/>
      <c r="CD229" s="1"/>
      <c r="CE229" s="1"/>
      <c r="CF229" s="1"/>
      <c r="CG229" s="1"/>
      <c r="CH229" s="1"/>
      <c r="CI229" s="1"/>
      <c r="CJ229" s="1"/>
      <c r="CK229" s="1"/>
      <c r="CL229" s="1"/>
      <c r="CM229" s="1"/>
      <c r="CN229" s="1"/>
      <c r="CO229" s="1"/>
      <c r="CP229" s="1"/>
      <c r="CQ229" s="1"/>
      <c r="CR229" s="1"/>
      <c r="CS229" s="1"/>
      <c r="CT229" s="1"/>
      <c r="CU229" s="1"/>
      <c r="CV229" s="1"/>
      <c r="CW229" s="1"/>
      <c r="CX229" s="1"/>
      <c r="CY229" s="1"/>
      <c r="CZ229" s="1"/>
      <c r="DA229" s="1"/>
      <c r="DB229" s="1"/>
      <c r="DC229" s="1"/>
      <c r="DD229" s="1"/>
      <c r="DE229" s="1"/>
      <c r="DF229" s="1"/>
      <c r="DG229" s="1"/>
      <c r="DH229" s="1"/>
      <c r="DI229" s="1"/>
      <c r="DJ229" s="1"/>
      <c r="DK229" s="1"/>
      <c r="DL229" s="1"/>
      <c r="DM229" s="1"/>
      <c r="DN229" s="1"/>
      <c r="DO229" s="1"/>
      <c r="DP229" s="1"/>
      <c r="DQ229" s="1"/>
      <c r="DR229" s="1"/>
      <c r="DS229" s="1"/>
      <c r="DT229" s="1"/>
      <c r="DU229" s="1"/>
      <c r="DV229" s="1"/>
      <c r="DW229" s="1"/>
      <c r="DX229" s="1"/>
      <c r="DY229" s="1"/>
      <c r="DZ229" s="1"/>
      <c r="EA229" s="1"/>
      <c r="EB229" s="1"/>
      <c r="EC229" s="1"/>
      <c r="ED229" s="1"/>
      <c r="EE229" s="1"/>
      <c r="EF229" s="1"/>
      <c r="EG229" s="1"/>
      <c r="EH229" s="1"/>
      <c r="EI229" s="1"/>
      <c r="EJ229" s="1"/>
      <c r="EK229" s="1"/>
      <c r="EL229" s="1"/>
      <c r="EM229" s="1"/>
      <c r="EN229" s="1"/>
      <c r="EO229" s="1"/>
      <c r="EP229" s="1"/>
      <c r="EQ229" s="1"/>
      <c r="ER229" s="1"/>
      <c r="ES229" s="1"/>
      <c r="ET229" s="1"/>
      <c r="EU229" s="1"/>
      <c r="EV229" s="1"/>
      <c r="EW229" s="1"/>
      <c r="EX229" s="1"/>
      <c r="EY229" s="1"/>
      <c r="EZ229" s="1"/>
      <c r="FA229" s="1"/>
      <c r="FB229" s="1"/>
      <c r="FC229" s="1"/>
      <c r="FD229" s="1"/>
      <c r="FE229" s="1"/>
      <c r="FF229" s="1"/>
      <c r="FG229" s="1"/>
      <c r="FH229" s="1"/>
      <c r="FI229" s="1"/>
      <c r="FJ229" s="1"/>
      <c r="FK229" s="1"/>
      <c r="FL229" s="1"/>
      <c r="FM229" s="1"/>
      <c r="FN229" s="1"/>
      <c r="FO229" s="1"/>
      <c r="FP229" s="1"/>
      <c r="FQ229" s="1"/>
      <c r="FR229" s="1"/>
      <c r="FS229" s="1"/>
      <c r="FT229" s="1"/>
      <c r="FU229" s="1"/>
      <c r="FV229" s="1"/>
      <c r="FW229" s="1"/>
      <c r="FX229" s="1"/>
      <c r="FY229" s="1"/>
      <c r="FZ229" s="1"/>
      <c r="GA229" s="1"/>
      <c r="GB229" s="1"/>
      <c r="GC229" s="1"/>
      <c r="GD229" s="1"/>
      <c r="GE229" s="1"/>
      <c r="GF229" s="1"/>
      <c r="GG229" s="1"/>
      <c r="GH229" s="1"/>
      <c r="GI229" s="1"/>
      <c r="GJ229" s="1"/>
      <c r="GK229" s="1"/>
      <c r="GL229" s="1"/>
      <c r="GM229" s="1"/>
      <c r="GN229" s="1"/>
      <c r="GO229" s="1"/>
      <c r="GP229" s="1"/>
      <c r="GQ229" s="1"/>
      <c r="GR229" s="1"/>
      <c r="GS229" s="1"/>
      <c r="GT229" s="1"/>
      <c r="GU229" s="1"/>
      <c r="GV229" s="1"/>
      <c r="GW229" s="1"/>
      <c r="GX229" s="1"/>
      <c r="GY229" s="1"/>
      <c r="GZ229" s="1"/>
      <c r="HA229" s="1"/>
      <c r="HB229" s="1"/>
      <c r="HC229" s="1"/>
      <c r="HD229" s="1"/>
      <c r="HE229" s="1"/>
      <c r="HF229" s="1"/>
      <c r="HG229" s="1"/>
      <c r="HH229" s="1"/>
      <c r="HI229" s="1"/>
      <c r="HJ229" s="1"/>
      <c r="HK229" s="1"/>
      <c r="HL229" s="1"/>
      <c r="HM229" s="1"/>
      <c r="HN229" s="1"/>
      <c r="HO229" s="1"/>
      <c r="HP229" s="1"/>
      <c r="HQ229" s="1"/>
      <c r="HR229" s="1"/>
      <c r="HS229" s="1"/>
      <c r="HT229" s="1"/>
      <c r="HU229" s="1"/>
      <c r="HV229" s="1"/>
      <c r="HW229" s="1"/>
      <c r="HX229" s="1"/>
      <c r="HY229" s="1"/>
      <c r="HZ229" s="1"/>
      <c r="IA229" s="1"/>
      <c r="IB229" s="1"/>
      <c r="IC229" s="1"/>
      <c r="ID229" s="1"/>
      <c r="IE229" s="1"/>
      <c r="IF229" s="1"/>
      <c r="IG229" s="1"/>
      <c r="IH229" s="1"/>
      <c r="II229" s="1"/>
      <c r="IJ229" s="1"/>
      <c r="IK229" s="1"/>
      <c r="IL229" s="1"/>
      <c r="IM229" s="1"/>
      <c r="IN229" s="1"/>
      <c r="IO229" s="1"/>
      <c r="IP229" s="1"/>
      <c r="IQ229" s="1"/>
      <c r="IR229" s="1"/>
      <c r="IS229" s="1"/>
      <c r="IT229" s="1"/>
      <c r="IU229" s="1"/>
      <c r="IV229" s="1"/>
      <c r="IW229" s="1"/>
      <c r="IX229" s="1"/>
      <c r="IY229" s="1"/>
      <c r="IZ229" s="1"/>
      <c r="JA229" s="1"/>
      <c r="JB229" s="1"/>
      <c r="JC229" s="1"/>
      <c r="JD229" s="1"/>
      <c r="JE229" s="1"/>
      <c r="JF229" s="1"/>
      <c r="JG229" s="1"/>
      <c r="JH229" s="1"/>
      <c r="JI229" s="1"/>
      <c r="JJ229" s="1"/>
      <c r="JK229" s="1"/>
      <c r="JL229" s="1"/>
      <c r="JM229" s="1"/>
      <c r="JN229" s="1"/>
      <c r="JO229" s="1"/>
      <c r="JP229" s="1"/>
      <c r="JQ229" s="1"/>
      <c r="JR229" s="1"/>
      <c r="JS229" s="1"/>
      <c r="JT229" s="1"/>
      <c r="JU229" s="1"/>
      <c r="JV229" s="1"/>
      <c r="JW229" s="1"/>
      <c r="JX229" s="1"/>
      <c r="JY229" s="1"/>
      <c r="JZ229" s="1"/>
      <c r="KA229" s="1"/>
      <c r="KB229" s="1"/>
      <c r="KC229" s="1"/>
      <c r="KD229" s="1"/>
      <c r="KE229" s="1"/>
      <c r="KF229" s="1"/>
      <c r="KG229" s="1"/>
      <c r="KH229" s="1"/>
      <c r="KI229" s="1"/>
      <c r="KJ229" s="1"/>
      <c r="KK229" s="1"/>
      <c r="KL229" s="1"/>
      <c r="KM229" s="1"/>
      <c r="KN229" s="1"/>
      <c r="KO229" s="1"/>
      <c r="KP229" s="1"/>
      <c r="KQ229" s="1"/>
      <c r="KR229" s="1"/>
      <c r="KS229" s="1"/>
      <c r="KT229" s="1"/>
      <c r="KU229" s="1"/>
      <c r="KV229" s="1"/>
      <c r="KW229" s="1"/>
      <c r="KX229" s="1"/>
      <c r="KY229" s="1"/>
      <c r="KZ229" s="1"/>
      <c r="LA229" s="1"/>
      <c r="LB229" s="1"/>
      <c r="LC229" s="1"/>
      <c r="LD229" s="1"/>
      <c r="LE229" s="1"/>
      <c r="LF229" s="1"/>
      <c r="LG229" s="1"/>
      <c r="LH229" s="1"/>
      <c r="LI229" s="1"/>
      <c r="LJ229" s="1"/>
      <c r="LK229" s="1"/>
      <c r="LL229" s="1"/>
      <c r="LM229" s="1"/>
      <c r="LN229" s="1"/>
      <c r="LO229" s="1"/>
      <c r="LP229" s="1"/>
      <c r="LQ229" s="1"/>
      <c r="LR229" s="1"/>
      <c r="LS229" s="1"/>
    </row>
    <row r="230" spans="1:331" s="25" customFormat="1" x14ac:dyDescent="0.25">
      <c r="A230" s="25" t="s">
        <v>854</v>
      </c>
      <c r="B230" s="29" t="s">
        <v>855</v>
      </c>
      <c r="C230" s="94" t="s">
        <v>1650</v>
      </c>
      <c r="D230" s="25">
        <v>0</v>
      </c>
      <c r="H230" s="25" t="s">
        <v>856</v>
      </c>
      <c r="I230" s="25" t="s">
        <v>80</v>
      </c>
      <c r="J230" s="25" t="s">
        <v>856</v>
      </c>
      <c r="K230" s="25" t="s">
        <v>80</v>
      </c>
      <c r="L230" s="25">
        <v>0</v>
      </c>
      <c r="O230" s="25">
        <v>0</v>
      </c>
      <c r="Q230" s="96" t="s">
        <v>1578</v>
      </c>
      <c r="R230" s="96"/>
      <c r="S230" s="25">
        <v>9</v>
      </c>
      <c r="U230" s="25">
        <v>10</v>
      </c>
      <c r="W230" s="96">
        <v>9</v>
      </c>
      <c r="X230" s="96"/>
      <c r="Y230" s="96"/>
      <c r="Z230" s="25">
        <v>5</v>
      </c>
      <c r="AA230" s="94" t="b">
        <v>1</v>
      </c>
      <c r="AB230" s="1"/>
      <c r="AC230" s="57" t="s">
        <v>1297</v>
      </c>
      <c r="AD230" s="1"/>
      <c r="AE230" t="s">
        <v>1871</v>
      </c>
      <c r="AF230" s="1"/>
      <c r="AG230" s="1"/>
      <c r="AH230" s="1"/>
      <c r="AI230" s="1"/>
      <c r="AJ230" s="1"/>
      <c r="AK230" s="1"/>
      <c r="AL230" s="1"/>
      <c r="AM230" s="1"/>
      <c r="AN230" s="1"/>
      <c r="AO230" s="1"/>
      <c r="AP230" s="1"/>
      <c r="AQ230" s="1"/>
      <c r="AR230" s="1"/>
      <c r="AS230" s="1"/>
      <c r="AT230" s="1"/>
      <c r="AU230" s="1"/>
      <c r="AV230" s="1"/>
      <c r="AW230" s="1"/>
      <c r="AX230" s="1"/>
      <c r="AY230" s="1"/>
      <c r="AZ230" s="1"/>
      <c r="BA230" s="1"/>
      <c r="BB230" s="1"/>
      <c r="BC230" s="1"/>
      <c r="BD230" s="1"/>
      <c r="BE230" s="1"/>
      <c r="BF230" s="1"/>
      <c r="BG230" s="1"/>
      <c r="BH230" s="1"/>
      <c r="BI230" s="1"/>
      <c r="BJ230" s="1"/>
      <c r="BK230" s="1"/>
      <c r="BL230" s="1"/>
      <c r="BM230" s="1"/>
      <c r="BN230" s="1"/>
      <c r="BO230" s="1"/>
      <c r="BP230" s="1"/>
      <c r="BQ230" s="1"/>
      <c r="BR230" s="1"/>
      <c r="BS230" s="1"/>
      <c r="BT230" s="1"/>
      <c r="BU230" s="1"/>
      <c r="BV230" s="1"/>
      <c r="BW230" s="1"/>
      <c r="BX230" s="1"/>
      <c r="BY230" s="1"/>
      <c r="BZ230" s="1"/>
      <c r="CA230" s="1"/>
      <c r="CB230" s="1"/>
      <c r="CC230" s="1"/>
      <c r="CD230" s="1"/>
      <c r="CE230" s="1"/>
      <c r="CF230" s="1"/>
      <c r="CG230" s="1"/>
      <c r="CH230" s="1"/>
      <c r="CI230" s="1"/>
      <c r="CJ230" s="1"/>
      <c r="CK230" s="1"/>
      <c r="CL230" s="1"/>
      <c r="CM230" s="1"/>
      <c r="CN230" s="1"/>
      <c r="CO230" s="1"/>
      <c r="CP230" s="1"/>
      <c r="CQ230" s="1"/>
      <c r="CR230" s="1"/>
      <c r="CS230" s="1"/>
      <c r="CT230" s="1"/>
      <c r="CU230" s="1"/>
      <c r="CV230" s="1"/>
      <c r="CW230" s="1"/>
      <c r="CX230" s="1"/>
      <c r="CY230" s="1"/>
      <c r="CZ230" s="1"/>
      <c r="DA230" s="1"/>
      <c r="DB230" s="1"/>
      <c r="DC230" s="1"/>
      <c r="DD230" s="1"/>
      <c r="DE230" s="1"/>
      <c r="DF230" s="1"/>
      <c r="DG230" s="1"/>
      <c r="DH230" s="1"/>
      <c r="DI230" s="1"/>
      <c r="DJ230" s="1"/>
      <c r="DK230" s="1"/>
      <c r="DL230" s="1"/>
      <c r="DM230" s="1"/>
      <c r="DN230" s="1"/>
      <c r="DO230" s="1"/>
      <c r="DP230" s="1"/>
      <c r="DQ230" s="1"/>
      <c r="DR230" s="1"/>
      <c r="DS230" s="1"/>
      <c r="DT230" s="1"/>
      <c r="DU230" s="1"/>
      <c r="DV230" s="1"/>
      <c r="DW230" s="1"/>
      <c r="DX230" s="1"/>
      <c r="DY230" s="1"/>
      <c r="DZ230" s="1"/>
      <c r="EA230" s="1"/>
      <c r="EB230" s="1"/>
      <c r="EC230" s="1"/>
      <c r="ED230" s="1"/>
      <c r="EE230" s="1"/>
      <c r="EF230" s="1"/>
      <c r="EG230" s="1"/>
      <c r="EH230" s="1"/>
      <c r="EI230" s="1"/>
      <c r="EJ230" s="1"/>
      <c r="EK230" s="1"/>
      <c r="EL230" s="1"/>
      <c r="EM230" s="1"/>
      <c r="EN230" s="1"/>
      <c r="EO230" s="1"/>
      <c r="EP230" s="1"/>
      <c r="EQ230" s="1"/>
      <c r="ER230" s="1"/>
      <c r="ES230" s="1"/>
      <c r="ET230" s="1"/>
      <c r="EU230" s="1"/>
      <c r="EV230" s="1"/>
      <c r="EW230" s="1"/>
      <c r="EX230" s="1"/>
      <c r="EY230" s="1"/>
      <c r="EZ230" s="1"/>
      <c r="FA230" s="1"/>
      <c r="FB230" s="1"/>
      <c r="FC230" s="1"/>
      <c r="FD230" s="1"/>
      <c r="FE230" s="1"/>
      <c r="FF230" s="1"/>
      <c r="FG230" s="1"/>
      <c r="FH230" s="1"/>
      <c r="FI230" s="1"/>
      <c r="FJ230" s="1"/>
      <c r="FK230" s="1"/>
      <c r="FL230" s="1"/>
      <c r="FM230" s="1"/>
      <c r="FN230" s="1"/>
      <c r="FO230" s="1"/>
      <c r="FP230" s="1"/>
      <c r="FQ230" s="1"/>
      <c r="FR230" s="1"/>
      <c r="FS230" s="1"/>
      <c r="FT230" s="1"/>
      <c r="FU230" s="1"/>
      <c r="FV230" s="1"/>
      <c r="FW230" s="1"/>
      <c r="FX230" s="1"/>
      <c r="FY230" s="1"/>
      <c r="FZ230" s="1"/>
      <c r="GA230" s="1"/>
      <c r="GB230" s="1"/>
      <c r="GC230" s="1"/>
      <c r="GD230" s="1"/>
      <c r="GE230" s="1"/>
      <c r="GF230" s="1"/>
      <c r="GG230" s="1"/>
      <c r="GH230" s="1"/>
      <c r="GI230" s="1"/>
      <c r="GJ230" s="1"/>
      <c r="GK230" s="1"/>
      <c r="GL230" s="1"/>
      <c r="GM230" s="1"/>
      <c r="GN230" s="1"/>
      <c r="GO230" s="1"/>
      <c r="GP230" s="1"/>
      <c r="GQ230" s="1"/>
      <c r="GR230" s="1"/>
      <c r="GS230" s="1"/>
      <c r="GT230" s="1"/>
      <c r="GU230" s="1"/>
      <c r="GV230" s="1"/>
      <c r="GW230" s="1"/>
      <c r="GX230" s="1"/>
      <c r="GY230" s="1"/>
      <c r="GZ230" s="1"/>
      <c r="HA230" s="1"/>
      <c r="HB230" s="1"/>
      <c r="HC230" s="1"/>
      <c r="HD230" s="1"/>
      <c r="HE230" s="1"/>
      <c r="HF230" s="1"/>
      <c r="HG230" s="1"/>
      <c r="HH230" s="1"/>
      <c r="HI230" s="1"/>
      <c r="HJ230" s="1"/>
      <c r="HK230" s="1"/>
      <c r="HL230" s="1"/>
      <c r="HM230" s="1"/>
      <c r="HN230" s="1"/>
      <c r="HO230" s="1"/>
      <c r="HP230" s="1"/>
      <c r="HQ230" s="1"/>
      <c r="HR230" s="1"/>
      <c r="HS230" s="1"/>
      <c r="HT230" s="1"/>
      <c r="HU230" s="1"/>
      <c r="HV230" s="1"/>
      <c r="HW230" s="1"/>
      <c r="HX230" s="1"/>
      <c r="HY230" s="1"/>
      <c r="HZ230" s="1"/>
      <c r="IA230" s="1"/>
      <c r="IB230" s="1"/>
      <c r="IC230" s="1"/>
      <c r="ID230" s="1"/>
      <c r="IE230" s="1"/>
      <c r="IF230" s="1"/>
      <c r="IG230" s="1"/>
      <c r="IH230" s="1"/>
      <c r="II230" s="1"/>
      <c r="IJ230" s="1"/>
      <c r="IK230" s="1"/>
      <c r="IL230" s="1"/>
      <c r="IM230" s="1"/>
      <c r="IN230" s="1"/>
      <c r="IO230" s="1"/>
      <c r="IP230" s="1"/>
      <c r="IQ230" s="1"/>
      <c r="IR230" s="1"/>
      <c r="IS230" s="1"/>
      <c r="IT230" s="1"/>
      <c r="IU230" s="1"/>
      <c r="IV230" s="1"/>
      <c r="IW230" s="1"/>
      <c r="IX230" s="1"/>
      <c r="IY230" s="1"/>
      <c r="IZ230" s="1"/>
      <c r="JA230" s="1"/>
      <c r="JB230" s="1"/>
      <c r="JC230" s="1"/>
      <c r="JD230" s="1"/>
      <c r="JE230" s="1"/>
      <c r="JF230" s="1"/>
      <c r="JG230" s="1"/>
      <c r="JH230" s="1"/>
      <c r="JI230" s="1"/>
      <c r="JJ230" s="1"/>
      <c r="JK230" s="1"/>
      <c r="JL230" s="1"/>
      <c r="JM230" s="1"/>
      <c r="JN230" s="1"/>
      <c r="JO230" s="1"/>
      <c r="JP230" s="1"/>
      <c r="JQ230" s="1"/>
      <c r="JR230" s="1"/>
      <c r="JS230" s="1"/>
      <c r="JT230" s="1"/>
      <c r="JU230" s="1"/>
      <c r="JV230" s="1"/>
      <c r="JW230" s="1"/>
      <c r="JX230" s="1"/>
      <c r="JY230" s="1"/>
      <c r="JZ230" s="1"/>
      <c r="KA230" s="1"/>
      <c r="KB230" s="1"/>
      <c r="KC230" s="1"/>
      <c r="KD230" s="1"/>
      <c r="KE230" s="1"/>
      <c r="KF230" s="1"/>
      <c r="KG230" s="1"/>
      <c r="KH230" s="1"/>
      <c r="KI230" s="1"/>
      <c r="KJ230" s="1"/>
      <c r="KK230" s="1"/>
      <c r="KL230" s="1"/>
      <c r="KM230" s="1"/>
      <c r="KN230" s="1"/>
      <c r="KO230" s="1"/>
      <c r="KP230" s="1"/>
      <c r="KQ230" s="1"/>
      <c r="KR230" s="1"/>
      <c r="KS230" s="1"/>
      <c r="KT230" s="1"/>
      <c r="KU230" s="1"/>
      <c r="KV230" s="1"/>
      <c r="KW230" s="1"/>
      <c r="KX230" s="1"/>
      <c r="KY230" s="1"/>
      <c r="KZ230" s="1"/>
      <c r="LA230" s="1"/>
      <c r="LB230" s="1"/>
      <c r="LC230" s="1"/>
      <c r="LD230" s="1"/>
      <c r="LE230" s="1"/>
      <c r="LF230" s="1"/>
      <c r="LG230" s="1"/>
      <c r="LH230" s="1"/>
      <c r="LI230" s="1"/>
      <c r="LJ230" s="1"/>
      <c r="LK230" s="1"/>
      <c r="LL230" s="1"/>
      <c r="LM230" s="1"/>
      <c r="LN230" s="1"/>
      <c r="LO230" s="1"/>
      <c r="LP230" s="1"/>
      <c r="LQ230" s="1"/>
      <c r="LR230" s="1"/>
      <c r="LS230" s="1"/>
    </row>
    <row r="231" spans="1:331" s="25" customFormat="1" x14ac:dyDescent="0.25">
      <c r="A231" s="25" t="s">
        <v>857</v>
      </c>
      <c r="B231" s="29" t="s">
        <v>858</v>
      </c>
      <c r="C231" s="94" t="s">
        <v>1650</v>
      </c>
      <c r="D231" s="25">
        <v>0</v>
      </c>
      <c r="H231" s="25" t="s">
        <v>859</v>
      </c>
      <c r="I231" s="25" t="s">
        <v>859</v>
      </c>
      <c r="J231" s="25" t="s">
        <v>859</v>
      </c>
      <c r="K231" s="25" t="s">
        <v>859</v>
      </c>
      <c r="L231" s="25">
        <v>0</v>
      </c>
      <c r="O231" s="25">
        <v>0</v>
      </c>
      <c r="Q231" s="96" t="s">
        <v>81</v>
      </c>
      <c r="R231" s="96"/>
      <c r="T231" s="25">
        <v>9</v>
      </c>
      <c r="V231" s="25">
        <v>11</v>
      </c>
      <c r="W231" s="96">
        <v>9</v>
      </c>
      <c r="X231" s="96"/>
      <c r="Y231" s="96"/>
      <c r="Z231" s="25">
        <v>5</v>
      </c>
      <c r="AA231" s="94" t="b">
        <v>1</v>
      </c>
      <c r="AB231" s="1"/>
      <c r="AC231" s="57" t="s">
        <v>1340</v>
      </c>
      <c r="AD231" s="1"/>
      <c r="AE231" t="s">
        <v>1872</v>
      </c>
      <c r="AF231" s="1"/>
      <c r="AG231" s="1"/>
      <c r="AH231" s="1"/>
      <c r="AI231" s="1"/>
      <c r="AJ231" s="1"/>
      <c r="AK231" s="1"/>
      <c r="AL231" s="1"/>
      <c r="AM231" s="1"/>
      <c r="AN231" s="1"/>
      <c r="AO231" s="1"/>
      <c r="AP231" s="1"/>
      <c r="AQ231" s="1"/>
      <c r="AR231" s="1"/>
      <c r="AS231" s="1"/>
      <c r="AT231" s="1"/>
      <c r="AU231" s="1"/>
      <c r="AV231" s="1"/>
      <c r="AW231" s="1"/>
      <c r="AX231" s="1"/>
      <c r="AY231" s="1"/>
      <c r="AZ231" s="1"/>
      <c r="BA231" s="1"/>
      <c r="BB231" s="1"/>
      <c r="BC231" s="1"/>
      <c r="BD231" s="1"/>
      <c r="BE231" s="1"/>
      <c r="BF231" s="1"/>
      <c r="BG231" s="1"/>
      <c r="BH231" s="1"/>
      <c r="BI231" s="1"/>
      <c r="BJ231" s="1"/>
      <c r="BK231" s="1"/>
      <c r="BL231" s="1"/>
      <c r="BM231" s="1"/>
      <c r="BN231" s="1"/>
      <c r="BO231" s="1"/>
      <c r="BP231" s="1"/>
      <c r="BQ231" s="1"/>
      <c r="BR231" s="1"/>
      <c r="BS231" s="1"/>
      <c r="BT231" s="1"/>
      <c r="BU231" s="1"/>
      <c r="BV231" s="1"/>
      <c r="BW231" s="1"/>
      <c r="BX231" s="1"/>
      <c r="BY231" s="1"/>
      <c r="BZ231" s="1"/>
      <c r="CA231" s="1"/>
      <c r="CB231" s="1"/>
      <c r="CC231" s="1"/>
      <c r="CD231" s="1"/>
      <c r="CE231" s="1"/>
      <c r="CF231" s="1"/>
      <c r="CG231" s="1"/>
      <c r="CH231" s="1"/>
      <c r="CI231" s="1"/>
      <c r="CJ231" s="1"/>
      <c r="CK231" s="1"/>
      <c r="CL231" s="1"/>
      <c r="CM231" s="1"/>
      <c r="CN231" s="1"/>
      <c r="CO231" s="1"/>
      <c r="CP231" s="1"/>
      <c r="CQ231" s="1"/>
      <c r="CR231" s="1"/>
      <c r="CS231" s="1"/>
      <c r="CT231" s="1"/>
      <c r="CU231" s="1"/>
      <c r="CV231" s="1"/>
      <c r="CW231" s="1"/>
      <c r="CX231" s="1"/>
      <c r="CY231" s="1"/>
      <c r="CZ231" s="1"/>
      <c r="DA231" s="1"/>
      <c r="DB231" s="1"/>
      <c r="DC231" s="1"/>
      <c r="DD231" s="1"/>
      <c r="DE231" s="1"/>
      <c r="DF231" s="1"/>
      <c r="DG231" s="1"/>
      <c r="DH231" s="1"/>
      <c r="DI231" s="1"/>
      <c r="DJ231" s="1"/>
      <c r="DK231" s="1"/>
      <c r="DL231" s="1"/>
      <c r="DM231" s="1"/>
      <c r="DN231" s="1"/>
      <c r="DO231" s="1"/>
      <c r="DP231" s="1"/>
      <c r="DQ231" s="1"/>
      <c r="DR231" s="1"/>
      <c r="DS231" s="1"/>
      <c r="DT231" s="1"/>
      <c r="DU231" s="1"/>
      <c r="DV231" s="1"/>
      <c r="DW231" s="1"/>
      <c r="DX231" s="1"/>
      <c r="DY231" s="1"/>
      <c r="DZ231" s="1"/>
      <c r="EA231" s="1"/>
      <c r="EB231" s="1"/>
      <c r="EC231" s="1"/>
      <c r="ED231" s="1"/>
      <c r="EE231" s="1"/>
      <c r="EF231" s="1"/>
      <c r="EG231" s="1"/>
      <c r="EH231" s="1"/>
      <c r="EI231" s="1"/>
      <c r="EJ231" s="1"/>
      <c r="EK231" s="1"/>
      <c r="EL231" s="1"/>
      <c r="EM231" s="1"/>
      <c r="EN231" s="1"/>
      <c r="EO231" s="1"/>
      <c r="EP231" s="1"/>
      <c r="EQ231" s="1"/>
      <c r="ER231" s="1"/>
      <c r="ES231" s="1"/>
      <c r="ET231" s="1"/>
      <c r="EU231" s="1"/>
      <c r="EV231" s="1"/>
      <c r="EW231" s="1"/>
      <c r="EX231" s="1"/>
      <c r="EY231" s="1"/>
      <c r="EZ231" s="1"/>
      <c r="FA231" s="1"/>
      <c r="FB231" s="1"/>
      <c r="FC231" s="1"/>
      <c r="FD231" s="1"/>
      <c r="FE231" s="1"/>
      <c r="FF231" s="1"/>
      <c r="FG231" s="1"/>
      <c r="FH231" s="1"/>
      <c r="FI231" s="1"/>
      <c r="FJ231" s="1"/>
      <c r="FK231" s="1"/>
      <c r="FL231" s="1"/>
      <c r="FM231" s="1"/>
      <c r="FN231" s="1"/>
      <c r="FO231" s="1"/>
      <c r="FP231" s="1"/>
      <c r="FQ231" s="1"/>
      <c r="FR231" s="1"/>
      <c r="FS231" s="1"/>
      <c r="FT231" s="1"/>
      <c r="FU231" s="1"/>
      <c r="FV231" s="1"/>
      <c r="FW231" s="1"/>
      <c r="FX231" s="1"/>
      <c r="FY231" s="1"/>
      <c r="FZ231" s="1"/>
      <c r="GA231" s="1"/>
      <c r="GB231" s="1"/>
      <c r="GC231" s="1"/>
      <c r="GD231" s="1"/>
      <c r="GE231" s="1"/>
      <c r="GF231" s="1"/>
      <c r="GG231" s="1"/>
      <c r="GH231" s="1"/>
      <c r="GI231" s="1"/>
      <c r="GJ231" s="1"/>
      <c r="GK231" s="1"/>
      <c r="GL231" s="1"/>
      <c r="GM231" s="1"/>
      <c r="GN231" s="1"/>
      <c r="GO231" s="1"/>
      <c r="GP231" s="1"/>
      <c r="GQ231" s="1"/>
      <c r="GR231" s="1"/>
      <c r="GS231" s="1"/>
      <c r="GT231" s="1"/>
      <c r="GU231" s="1"/>
      <c r="GV231" s="1"/>
      <c r="GW231" s="1"/>
      <c r="GX231" s="1"/>
      <c r="GY231" s="1"/>
      <c r="GZ231" s="1"/>
      <c r="HA231" s="1"/>
      <c r="HB231" s="1"/>
      <c r="HC231" s="1"/>
      <c r="HD231" s="1"/>
      <c r="HE231" s="1"/>
      <c r="HF231" s="1"/>
      <c r="HG231" s="1"/>
      <c r="HH231" s="1"/>
      <c r="HI231" s="1"/>
      <c r="HJ231" s="1"/>
      <c r="HK231" s="1"/>
      <c r="HL231" s="1"/>
      <c r="HM231" s="1"/>
      <c r="HN231" s="1"/>
      <c r="HO231" s="1"/>
      <c r="HP231" s="1"/>
      <c r="HQ231" s="1"/>
      <c r="HR231" s="1"/>
      <c r="HS231" s="1"/>
      <c r="HT231" s="1"/>
      <c r="HU231" s="1"/>
      <c r="HV231" s="1"/>
      <c r="HW231" s="1"/>
      <c r="HX231" s="1"/>
      <c r="HY231" s="1"/>
      <c r="HZ231" s="1"/>
      <c r="IA231" s="1"/>
      <c r="IB231" s="1"/>
      <c r="IC231" s="1"/>
      <c r="ID231" s="1"/>
      <c r="IE231" s="1"/>
      <c r="IF231" s="1"/>
      <c r="IG231" s="1"/>
      <c r="IH231" s="1"/>
      <c r="II231" s="1"/>
      <c r="IJ231" s="1"/>
      <c r="IK231" s="1"/>
      <c r="IL231" s="1"/>
      <c r="IM231" s="1"/>
      <c r="IN231" s="1"/>
      <c r="IO231" s="1"/>
      <c r="IP231" s="1"/>
      <c r="IQ231" s="1"/>
      <c r="IR231" s="1"/>
      <c r="IS231" s="1"/>
      <c r="IT231" s="1"/>
      <c r="IU231" s="1"/>
      <c r="IV231" s="1"/>
      <c r="IW231" s="1"/>
      <c r="IX231" s="1"/>
      <c r="IY231" s="1"/>
      <c r="IZ231" s="1"/>
      <c r="JA231" s="1"/>
      <c r="JB231" s="1"/>
      <c r="JC231" s="1"/>
      <c r="JD231" s="1"/>
      <c r="JE231" s="1"/>
      <c r="JF231" s="1"/>
      <c r="JG231" s="1"/>
      <c r="JH231" s="1"/>
      <c r="JI231" s="1"/>
      <c r="JJ231" s="1"/>
      <c r="JK231" s="1"/>
      <c r="JL231" s="1"/>
      <c r="JM231" s="1"/>
      <c r="JN231" s="1"/>
      <c r="JO231" s="1"/>
      <c r="JP231" s="1"/>
      <c r="JQ231" s="1"/>
      <c r="JR231" s="1"/>
      <c r="JS231" s="1"/>
      <c r="JT231" s="1"/>
      <c r="JU231" s="1"/>
      <c r="JV231" s="1"/>
      <c r="JW231" s="1"/>
      <c r="JX231" s="1"/>
      <c r="JY231" s="1"/>
      <c r="JZ231" s="1"/>
      <c r="KA231" s="1"/>
      <c r="KB231" s="1"/>
      <c r="KC231" s="1"/>
      <c r="KD231" s="1"/>
      <c r="KE231" s="1"/>
      <c r="KF231" s="1"/>
      <c r="KG231" s="1"/>
      <c r="KH231" s="1"/>
      <c r="KI231" s="1"/>
      <c r="KJ231" s="1"/>
      <c r="KK231" s="1"/>
      <c r="KL231" s="1"/>
      <c r="KM231" s="1"/>
      <c r="KN231" s="1"/>
      <c r="KO231" s="1"/>
      <c r="KP231" s="1"/>
      <c r="KQ231" s="1"/>
      <c r="KR231" s="1"/>
      <c r="KS231" s="1"/>
      <c r="KT231" s="1"/>
      <c r="KU231" s="1"/>
      <c r="KV231" s="1"/>
      <c r="KW231" s="1"/>
      <c r="KX231" s="1"/>
      <c r="KY231" s="1"/>
      <c r="KZ231" s="1"/>
      <c r="LA231" s="1"/>
      <c r="LB231" s="1"/>
      <c r="LC231" s="1"/>
      <c r="LD231" s="1"/>
      <c r="LE231" s="1"/>
      <c r="LF231" s="1"/>
      <c r="LG231" s="1"/>
      <c r="LH231" s="1"/>
      <c r="LI231" s="1"/>
      <c r="LJ231" s="1"/>
      <c r="LK231" s="1"/>
      <c r="LL231" s="1"/>
      <c r="LM231" s="1"/>
      <c r="LN231" s="1"/>
      <c r="LO231" s="1"/>
      <c r="LP231" s="1"/>
      <c r="LQ231" s="1"/>
      <c r="LR231" s="1"/>
      <c r="LS231" s="1"/>
    </row>
    <row r="232" spans="1:331" s="30" customFormat="1" x14ac:dyDescent="0.25">
      <c r="A232" s="30" t="s">
        <v>860</v>
      </c>
      <c r="B232" s="34" t="s">
        <v>861</v>
      </c>
      <c r="C232" s="94" t="s">
        <v>1650</v>
      </c>
      <c r="D232" s="30">
        <v>1</v>
      </c>
      <c r="E232" s="30" t="s">
        <v>81</v>
      </c>
      <c r="H232" s="30" t="s">
        <v>862</v>
      </c>
      <c r="I232" s="30" t="s">
        <v>81</v>
      </c>
      <c r="J232" s="30" t="s">
        <v>862</v>
      </c>
      <c r="K232" s="30" t="s">
        <v>1702</v>
      </c>
      <c r="L232" s="30">
        <v>0</v>
      </c>
      <c r="O232" s="30">
        <v>0</v>
      </c>
      <c r="Q232" s="96" t="s">
        <v>1579</v>
      </c>
      <c r="R232" s="96"/>
      <c r="S232" s="30">
        <v>7</v>
      </c>
      <c r="U232" s="30">
        <v>8</v>
      </c>
      <c r="W232" s="96">
        <v>7</v>
      </c>
      <c r="X232" s="96"/>
      <c r="Y232" s="96"/>
      <c r="Z232" s="30">
        <v>6</v>
      </c>
      <c r="AA232" s="94" t="b">
        <v>1</v>
      </c>
      <c r="AB232" s="1"/>
      <c r="AC232" s="57" t="s">
        <v>1387</v>
      </c>
      <c r="AD232" s="1"/>
      <c r="AE232" t="s">
        <v>1873</v>
      </c>
      <c r="AF232" s="1"/>
      <c r="AG232" s="1"/>
      <c r="AH232" s="1"/>
      <c r="AI232" s="1"/>
      <c r="AJ232" s="1"/>
      <c r="AK232" s="1"/>
      <c r="AL232" s="1"/>
      <c r="AM232" s="1"/>
      <c r="AN232" s="1"/>
      <c r="AO232" s="1"/>
      <c r="AP232" s="1"/>
      <c r="AQ232" s="1"/>
      <c r="AR232" s="1"/>
      <c r="AS232" s="1"/>
      <c r="AT232" s="1"/>
      <c r="AU232" s="1"/>
      <c r="AV232" s="1"/>
      <c r="AW232" s="1"/>
      <c r="AX232" s="1"/>
      <c r="AY232" s="1"/>
      <c r="AZ232" s="1"/>
      <c r="BA232" s="1"/>
      <c r="BB232" s="1"/>
      <c r="BC232" s="1"/>
      <c r="BD232" s="1"/>
      <c r="BE232" s="1"/>
      <c r="BF232" s="1"/>
      <c r="BG232" s="1"/>
      <c r="BH232" s="1"/>
      <c r="BI232" s="1"/>
      <c r="BJ232" s="1"/>
      <c r="BK232" s="1"/>
      <c r="BL232" s="1"/>
      <c r="BM232" s="1"/>
      <c r="BN232" s="1"/>
      <c r="BO232" s="1"/>
      <c r="BP232" s="1"/>
      <c r="BQ232" s="1"/>
      <c r="BR232" s="1"/>
      <c r="BS232" s="1"/>
      <c r="BT232" s="1"/>
      <c r="BU232" s="1"/>
      <c r="BV232" s="1"/>
      <c r="BW232" s="1"/>
      <c r="BX232" s="1"/>
      <c r="BY232" s="1"/>
      <c r="BZ232" s="1"/>
      <c r="CA232" s="1"/>
      <c r="CB232" s="1"/>
      <c r="CC232" s="1"/>
      <c r="CD232" s="1"/>
      <c r="CE232" s="1"/>
      <c r="CF232" s="1"/>
      <c r="CG232" s="1"/>
      <c r="CH232" s="1"/>
      <c r="CI232" s="1"/>
      <c r="CJ232" s="1"/>
      <c r="CK232" s="1"/>
      <c r="CL232" s="1"/>
      <c r="CM232" s="1"/>
      <c r="CN232" s="1"/>
      <c r="CO232" s="1"/>
      <c r="CP232" s="1"/>
      <c r="CQ232" s="1"/>
      <c r="CR232" s="1"/>
      <c r="CS232" s="1"/>
      <c r="CT232" s="1"/>
      <c r="CU232" s="1"/>
      <c r="CV232" s="1"/>
      <c r="CW232" s="1"/>
      <c r="CX232" s="1"/>
      <c r="CY232" s="1"/>
      <c r="CZ232" s="1"/>
      <c r="DA232" s="1"/>
      <c r="DB232" s="1"/>
      <c r="DC232" s="1"/>
      <c r="DD232" s="1"/>
      <c r="DE232" s="1"/>
      <c r="DF232" s="1"/>
      <c r="DG232" s="1"/>
      <c r="DH232" s="1"/>
      <c r="DI232" s="1"/>
      <c r="DJ232" s="1"/>
      <c r="DK232" s="1"/>
      <c r="DL232" s="1"/>
      <c r="DM232" s="1"/>
      <c r="DN232" s="1"/>
      <c r="DO232" s="1"/>
      <c r="DP232" s="1"/>
      <c r="DQ232" s="1"/>
      <c r="DR232" s="1"/>
      <c r="DS232" s="1"/>
      <c r="DT232" s="1"/>
      <c r="DU232" s="1"/>
      <c r="DV232" s="1"/>
      <c r="DW232" s="1"/>
      <c r="DX232" s="1"/>
      <c r="DY232" s="1"/>
      <c r="DZ232" s="1"/>
      <c r="EA232" s="1"/>
      <c r="EB232" s="1"/>
      <c r="EC232" s="1"/>
      <c r="ED232" s="1"/>
      <c r="EE232" s="1"/>
      <c r="EF232" s="1"/>
      <c r="EG232" s="1"/>
      <c r="EH232" s="1"/>
      <c r="EI232" s="1"/>
      <c r="EJ232" s="1"/>
      <c r="EK232" s="1"/>
      <c r="EL232" s="1"/>
      <c r="EM232" s="1"/>
      <c r="EN232" s="1"/>
      <c r="EO232" s="1"/>
      <c r="EP232" s="1"/>
      <c r="EQ232" s="1"/>
      <c r="ER232" s="1"/>
      <c r="ES232" s="1"/>
      <c r="ET232" s="1"/>
      <c r="EU232" s="1"/>
      <c r="EV232" s="1"/>
      <c r="EW232" s="1"/>
      <c r="EX232" s="1"/>
      <c r="EY232" s="1"/>
      <c r="EZ232" s="1"/>
      <c r="FA232" s="1"/>
      <c r="FB232" s="1"/>
      <c r="FC232" s="1"/>
      <c r="FD232" s="1"/>
      <c r="FE232" s="1"/>
      <c r="FF232" s="1"/>
      <c r="FG232" s="1"/>
      <c r="FH232" s="1"/>
      <c r="FI232" s="1"/>
      <c r="FJ232" s="1"/>
      <c r="FK232" s="1"/>
      <c r="FL232" s="1"/>
      <c r="FM232" s="1"/>
      <c r="FN232" s="1"/>
      <c r="FO232" s="1"/>
      <c r="FP232" s="1"/>
      <c r="FQ232" s="1"/>
      <c r="FR232" s="1"/>
      <c r="FS232" s="1"/>
      <c r="FT232" s="1"/>
      <c r="FU232" s="1"/>
      <c r="FV232" s="1"/>
      <c r="FW232" s="1"/>
      <c r="FX232" s="1"/>
      <c r="FY232" s="1"/>
      <c r="FZ232" s="1"/>
      <c r="GA232" s="1"/>
      <c r="GB232" s="1"/>
      <c r="GC232" s="1"/>
      <c r="GD232" s="1"/>
      <c r="GE232" s="1"/>
      <c r="GF232" s="1"/>
      <c r="GG232" s="1"/>
      <c r="GH232" s="1"/>
      <c r="GI232" s="1"/>
      <c r="GJ232" s="1"/>
      <c r="GK232" s="1"/>
      <c r="GL232" s="1"/>
      <c r="GM232" s="1"/>
      <c r="GN232" s="1"/>
      <c r="GO232" s="1"/>
      <c r="GP232" s="1"/>
      <c r="GQ232" s="1"/>
      <c r="GR232" s="1"/>
      <c r="GS232" s="1"/>
      <c r="GT232" s="1"/>
      <c r="GU232" s="1"/>
      <c r="GV232" s="1"/>
      <c r="GW232" s="1"/>
      <c r="GX232" s="1"/>
      <c r="GY232" s="1"/>
      <c r="GZ232" s="1"/>
      <c r="HA232" s="1"/>
      <c r="HB232" s="1"/>
      <c r="HC232" s="1"/>
      <c r="HD232" s="1"/>
      <c r="HE232" s="1"/>
      <c r="HF232" s="1"/>
      <c r="HG232" s="1"/>
      <c r="HH232" s="1"/>
      <c r="HI232" s="1"/>
      <c r="HJ232" s="1"/>
      <c r="HK232" s="1"/>
      <c r="HL232" s="1"/>
      <c r="HM232" s="1"/>
      <c r="HN232" s="1"/>
      <c r="HO232" s="1"/>
      <c r="HP232" s="1"/>
      <c r="HQ232" s="1"/>
      <c r="HR232" s="1"/>
      <c r="HS232" s="1"/>
      <c r="HT232" s="1"/>
      <c r="HU232" s="1"/>
      <c r="HV232" s="1"/>
      <c r="HW232" s="1"/>
      <c r="HX232" s="1"/>
      <c r="HY232" s="1"/>
      <c r="HZ232" s="1"/>
      <c r="IA232" s="1"/>
      <c r="IB232" s="1"/>
      <c r="IC232" s="1"/>
      <c r="ID232" s="1"/>
      <c r="IE232" s="1"/>
      <c r="IF232" s="1"/>
      <c r="IG232" s="1"/>
      <c r="IH232" s="1"/>
      <c r="II232" s="1"/>
      <c r="IJ232" s="1"/>
      <c r="IK232" s="1"/>
      <c r="IL232" s="1"/>
      <c r="IM232" s="1"/>
      <c r="IN232" s="1"/>
      <c r="IO232" s="1"/>
      <c r="IP232" s="1"/>
      <c r="IQ232" s="1"/>
      <c r="IR232" s="1"/>
      <c r="IS232" s="1"/>
      <c r="IT232" s="1"/>
      <c r="IU232" s="1"/>
      <c r="IV232" s="1"/>
      <c r="IW232" s="1"/>
      <c r="IX232" s="1"/>
      <c r="IY232" s="1"/>
      <c r="IZ232" s="1"/>
      <c r="JA232" s="1"/>
      <c r="JB232" s="1"/>
      <c r="JC232" s="1"/>
      <c r="JD232" s="1"/>
      <c r="JE232" s="1"/>
      <c r="JF232" s="1"/>
      <c r="JG232" s="1"/>
      <c r="JH232" s="1"/>
      <c r="JI232" s="1"/>
      <c r="JJ232" s="1"/>
      <c r="JK232" s="1"/>
      <c r="JL232" s="1"/>
      <c r="JM232" s="1"/>
      <c r="JN232" s="1"/>
      <c r="JO232" s="1"/>
      <c r="JP232" s="1"/>
      <c r="JQ232" s="1"/>
      <c r="JR232" s="1"/>
      <c r="JS232" s="1"/>
      <c r="JT232" s="1"/>
      <c r="JU232" s="1"/>
      <c r="JV232" s="1"/>
      <c r="JW232" s="1"/>
      <c r="JX232" s="1"/>
      <c r="JY232" s="1"/>
      <c r="JZ232" s="1"/>
      <c r="KA232" s="1"/>
      <c r="KB232" s="1"/>
      <c r="KC232" s="1"/>
      <c r="KD232" s="1"/>
      <c r="KE232" s="1"/>
      <c r="KF232" s="1"/>
      <c r="KG232" s="1"/>
      <c r="KH232" s="1"/>
      <c r="KI232" s="1"/>
      <c r="KJ232" s="1"/>
      <c r="KK232" s="1"/>
      <c r="KL232" s="1"/>
      <c r="KM232" s="1"/>
      <c r="KN232" s="1"/>
      <c r="KO232" s="1"/>
      <c r="KP232" s="1"/>
      <c r="KQ232" s="1"/>
      <c r="KR232" s="1"/>
      <c r="KS232" s="1"/>
      <c r="KT232" s="1"/>
      <c r="KU232" s="1"/>
      <c r="KV232" s="1"/>
      <c r="KW232" s="1"/>
      <c r="KX232" s="1"/>
      <c r="KY232" s="1"/>
      <c r="KZ232" s="1"/>
      <c r="LA232" s="1"/>
      <c r="LB232" s="1"/>
      <c r="LC232" s="1"/>
      <c r="LD232" s="1"/>
      <c r="LE232" s="1"/>
      <c r="LF232" s="1"/>
      <c r="LG232" s="1"/>
      <c r="LH232" s="1"/>
      <c r="LI232" s="1"/>
      <c r="LJ232" s="1"/>
      <c r="LK232" s="1"/>
      <c r="LL232" s="1"/>
      <c r="LM232" s="1"/>
      <c r="LN232" s="1"/>
      <c r="LO232" s="1"/>
      <c r="LP232" s="1"/>
      <c r="LQ232" s="1"/>
      <c r="LR232" s="1"/>
      <c r="LS232" s="1"/>
    </row>
    <row r="233" spans="1:331" s="3" customFormat="1" x14ac:dyDescent="0.25">
      <c r="A233" s="3" t="s">
        <v>863</v>
      </c>
      <c r="B233" s="5" t="s">
        <v>864</v>
      </c>
      <c r="C233" s="94" t="s">
        <v>1650</v>
      </c>
      <c r="D233" s="3">
        <v>0</v>
      </c>
      <c r="H233" s="3" t="s">
        <v>839</v>
      </c>
      <c r="I233" s="3" t="s">
        <v>865</v>
      </c>
      <c r="J233" s="78">
        <v>43892</v>
      </c>
      <c r="K233" s="78" t="s">
        <v>840</v>
      </c>
      <c r="L233" s="3">
        <v>1</v>
      </c>
      <c r="M233" s="78">
        <v>43907</v>
      </c>
      <c r="O233" s="3">
        <v>1</v>
      </c>
      <c r="P233" s="3" t="s">
        <v>592</v>
      </c>
      <c r="Q233" s="96" t="s">
        <v>1580</v>
      </c>
      <c r="R233" s="96"/>
      <c r="T233" s="3">
        <v>16</v>
      </c>
      <c r="V233" s="3">
        <v>14</v>
      </c>
      <c r="W233" s="96">
        <v>16</v>
      </c>
      <c r="X233" s="96"/>
      <c r="Y233" s="96"/>
      <c r="Z233" s="3">
        <v>1</v>
      </c>
      <c r="AA233" s="94" t="b">
        <v>1</v>
      </c>
      <c r="AB233" s="1"/>
      <c r="AC233" s="57" t="s">
        <v>1627</v>
      </c>
      <c r="AD233" s="1"/>
      <c r="AE233" t="s">
        <v>1874</v>
      </c>
      <c r="AF233" s="1"/>
      <c r="AG233" s="1"/>
      <c r="AH233" s="1"/>
      <c r="AI233" s="1"/>
      <c r="AJ233" s="1"/>
      <c r="AK233" s="1"/>
      <c r="AL233" s="1"/>
      <c r="AM233" s="1"/>
      <c r="AN233" s="1"/>
      <c r="AO233" s="1"/>
      <c r="AP233" s="1"/>
      <c r="AQ233" s="1"/>
      <c r="AR233" s="1"/>
      <c r="AS233" s="1"/>
      <c r="AT233" s="1"/>
      <c r="AU233" s="1"/>
      <c r="AV233" s="1"/>
      <c r="AW233" s="1"/>
      <c r="AX233" s="1"/>
      <c r="AY233" s="1"/>
      <c r="AZ233" s="1"/>
      <c r="BA233" s="1"/>
      <c r="BB233" s="1"/>
      <c r="BC233" s="1"/>
      <c r="BD233" s="1"/>
      <c r="BE233" s="1"/>
      <c r="BF233" s="1"/>
      <c r="BG233" s="1"/>
      <c r="BH233" s="1"/>
      <c r="BI233" s="1"/>
      <c r="BJ233" s="1"/>
      <c r="BK233" s="1"/>
      <c r="BL233" s="1"/>
      <c r="BM233" s="1"/>
      <c r="BN233" s="1"/>
      <c r="BO233" s="1"/>
      <c r="BP233" s="1"/>
      <c r="BQ233" s="1"/>
      <c r="BR233" s="1"/>
      <c r="BS233" s="1"/>
      <c r="BT233" s="1"/>
      <c r="BU233" s="1"/>
      <c r="BV233" s="1"/>
      <c r="BW233" s="1"/>
      <c r="BX233" s="1"/>
      <c r="BY233" s="1"/>
      <c r="BZ233" s="1"/>
      <c r="CA233" s="1"/>
      <c r="CB233" s="1"/>
      <c r="CC233" s="1"/>
      <c r="CD233" s="1"/>
      <c r="CE233" s="1"/>
      <c r="CF233" s="1"/>
      <c r="CG233" s="1"/>
      <c r="CH233" s="1"/>
      <c r="CI233" s="1"/>
      <c r="CJ233" s="1"/>
      <c r="CK233" s="1"/>
      <c r="CL233" s="1"/>
      <c r="CM233" s="1"/>
      <c r="CN233" s="1"/>
      <c r="CO233" s="1"/>
      <c r="CP233" s="1"/>
      <c r="CQ233" s="1"/>
      <c r="CR233" s="1"/>
      <c r="CS233" s="1"/>
      <c r="CT233" s="1"/>
      <c r="CU233" s="1"/>
      <c r="CV233" s="1"/>
      <c r="CW233" s="1"/>
      <c r="CX233" s="1"/>
      <c r="CY233" s="1"/>
      <c r="CZ233" s="1"/>
      <c r="DA233" s="1"/>
      <c r="DB233" s="1"/>
      <c r="DC233" s="1"/>
      <c r="DD233" s="1"/>
      <c r="DE233" s="1"/>
      <c r="DF233" s="1"/>
      <c r="DG233" s="1"/>
      <c r="DH233" s="1"/>
      <c r="DI233" s="1"/>
      <c r="DJ233" s="1"/>
      <c r="DK233" s="1"/>
      <c r="DL233" s="1"/>
      <c r="DM233" s="1"/>
      <c r="DN233" s="1"/>
      <c r="DO233" s="1"/>
      <c r="DP233" s="1"/>
      <c r="DQ233" s="1"/>
      <c r="DR233" s="1"/>
      <c r="DS233" s="1"/>
      <c r="DT233" s="1"/>
      <c r="DU233" s="1"/>
      <c r="DV233" s="1"/>
      <c r="DW233" s="1"/>
      <c r="DX233" s="1"/>
      <c r="DY233" s="1"/>
      <c r="DZ233" s="1"/>
      <c r="EA233" s="1"/>
      <c r="EB233" s="1"/>
      <c r="EC233" s="1"/>
      <c r="ED233" s="1"/>
      <c r="EE233" s="1"/>
      <c r="EF233" s="1"/>
      <c r="EG233" s="1"/>
      <c r="EH233" s="1"/>
      <c r="EI233" s="1"/>
      <c r="EJ233" s="1"/>
      <c r="EK233" s="1"/>
      <c r="EL233" s="1"/>
      <c r="EM233" s="1"/>
      <c r="EN233" s="1"/>
      <c r="EO233" s="1"/>
      <c r="EP233" s="1"/>
      <c r="EQ233" s="1"/>
      <c r="ER233" s="1"/>
      <c r="ES233" s="1"/>
      <c r="ET233" s="1"/>
      <c r="EU233" s="1"/>
      <c r="EV233" s="1"/>
      <c r="EW233" s="1"/>
      <c r="EX233" s="1"/>
      <c r="EY233" s="1"/>
      <c r="EZ233" s="1"/>
      <c r="FA233" s="1"/>
      <c r="FB233" s="1"/>
      <c r="FC233" s="1"/>
      <c r="FD233" s="1"/>
      <c r="FE233" s="1"/>
      <c r="FF233" s="1"/>
      <c r="FG233" s="1"/>
      <c r="FH233" s="1"/>
      <c r="FI233" s="1"/>
      <c r="FJ233" s="1"/>
      <c r="FK233" s="1"/>
      <c r="FL233" s="1"/>
      <c r="FM233" s="1"/>
      <c r="FN233" s="1"/>
      <c r="FO233" s="1"/>
      <c r="FP233" s="1"/>
      <c r="FQ233" s="1"/>
      <c r="FR233" s="1"/>
      <c r="FS233" s="1"/>
      <c r="FT233" s="1"/>
      <c r="FU233" s="1"/>
      <c r="FV233" s="1"/>
      <c r="FW233" s="1"/>
      <c r="FX233" s="1"/>
      <c r="FY233" s="1"/>
      <c r="FZ233" s="1"/>
      <c r="GA233" s="1"/>
      <c r="GB233" s="1"/>
      <c r="GC233" s="1"/>
      <c r="GD233" s="1"/>
      <c r="GE233" s="1"/>
      <c r="GF233" s="1"/>
      <c r="GG233" s="1"/>
      <c r="GH233" s="1"/>
      <c r="GI233" s="1"/>
      <c r="GJ233" s="1"/>
      <c r="GK233" s="1"/>
      <c r="GL233" s="1"/>
      <c r="GM233" s="1"/>
      <c r="GN233" s="1"/>
      <c r="GO233" s="1"/>
      <c r="GP233" s="1"/>
      <c r="GQ233" s="1"/>
      <c r="GR233" s="1"/>
      <c r="GS233" s="1"/>
      <c r="GT233" s="1"/>
      <c r="GU233" s="1"/>
      <c r="GV233" s="1"/>
      <c r="GW233" s="1"/>
      <c r="GX233" s="1"/>
      <c r="GY233" s="1"/>
      <c r="GZ233" s="1"/>
      <c r="HA233" s="1"/>
      <c r="HB233" s="1"/>
      <c r="HC233" s="1"/>
      <c r="HD233" s="1"/>
      <c r="HE233" s="1"/>
      <c r="HF233" s="1"/>
      <c r="HG233" s="1"/>
      <c r="HH233" s="1"/>
      <c r="HI233" s="1"/>
      <c r="HJ233" s="1"/>
      <c r="HK233" s="1"/>
      <c r="HL233" s="1"/>
      <c r="HM233" s="1"/>
      <c r="HN233" s="1"/>
      <c r="HO233" s="1"/>
      <c r="HP233" s="1"/>
      <c r="HQ233" s="1"/>
      <c r="HR233" s="1"/>
      <c r="HS233" s="1"/>
      <c r="HT233" s="1"/>
      <c r="HU233" s="1"/>
      <c r="HV233" s="1"/>
      <c r="HW233" s="1"/>
      <c r="HX233" s="1"/>
      <c r="HY233" s="1"/>
      <c r="HZ233" s="1"/>
      <c r="IA233" s="1"/>
      <c r="IB233" s="1"/>
      <c r="IC233" s="1"/>
      <c r="ID233" s="1"/>
      <c r="IE233" s="1"/>
      <c r="IF233" s="1"/>
      <c r="IG233" s="1"/>
      <c r="IH233" s="1"/>
      <c r="II233" s="1"/>
      <c r="IJ233" s="1"/>
      <c r="IK233" s="1"/>
      <c r="IL233" s="1"/>
      <c r="IM233" s="1"/>
      <c r="IN233" s="1"/>
      <c r="IO233" s="1"/>
      <c r="IP233" s="1"/>
      <c r="IQ233" s="1"/>
      <c r="IR233" s="1"/>
      <c r="IS233" s="1"/>
      <c r="IT233" s="1"/>
      <c r="IU233" s="1"/>
      <c r="IV233" s="1"/>
      <c r="IW233" s="1"/>
      <c r="IX233" s="1"/>
      <c r="IY233" s="1"/>
      <c r="IZ233" s="1"/>
      <c r="JA233" s="1"/>
      <c r="JB233" s="1"/>
      <c r="JC233" s="1"/>
      <c r="JD233" s="1"/>
      <c r="JE233" s="1"/>
      <c r="JF233" s="1"/>
      <c r="JG233" s="1"/>
      <c r="JH233" s="1"/>
      <c r="JI233" s="1"/>
      <c r="JJ233" s="1"/>
      <c r="JK233" s="1"/>
      <c r="JL233" s="1"/>
      <c r="JM233" s="1"/>
      <c r="JN233" s="1"/>
      <c r="JO233" s="1"/>
      <c r="JP233" s="1"/>
      <c r="JQ233" s="1"/>
      <c r="JR233" s="1"/>
      <c r="JS233" s="1"/>
      <c r="JT233" s="1"/>
      <c r="JU233" s="1"/>
      <c r="JV233" s="1"/>
      <c r="JW233" s="1"/>
      <c r="JX233" s="1"/>
      <c r="JY233" s="1"/>
      <c r="JZ233" s="1"/>
      <c r="KA233" s="1"/>
      <c r="KB233" s="1"/>
      <c r="KC233" s="1"/>
      <c r="KD233" s="1"/>
      <c r="KE233" s="1"/>
      <c r="KF233" s="1"/>
      <c r="KG233" s="1"/>
      <c r="KH233" s="1"/>
      <c r="KI233" s="1"/>
      <c r="KJ233" s="1"/>
      <c r="KK233" s="1"/>
      <c r="KL233" s="1"/>
      <c r="KM233" s="1"/>
      <c r="KN233" s="1"/>
      <c r="KO233" s="1"/>
      <c r="KP233" s="1"/>
      <c r="KQ233" s="1"/>
      <c r="KR233" s="1"/>
      <c r="KS233" s="1"/>
      <c r="KT233" s="1"/>
      <c r="KU233" s="1"/>
      <c r="KV233" s="1"/>
      <c r="KW233" s="1"/>
      <c r="KX233" s="1"/>
      <c r="KY233" s="1"/>
      <c r="KZ233" s="1"/>
      <c r="LA233" s="1"/>
      <c r="LB233" s="1"/>
      <c r="LC233" s="1"/>
      <c r="LD233" s="1"/>
      <c r="LE233" s="1"/>
      <c r="LF233" s="1"/>
      <c r="LG233" s="1"/>
      <c r="LH233" s="1"/>
      <c r="LI233" s="1"/>
      <c r="LJ233" s="1"/>
      <c r="LK233" s="1"/>
      <c r="LL233" s="1"/>
      <c r="LM233" s="1"/>
      <c r="LN233" s="1"/>
      <c r="LO233" s="1"/>
      <c r="LP233" s="1"/>
      <c r="LQ233" s="1"/>
      <c r="LR233" s="1"/>
      <c r="LS233" s="1"/>
    </row>
    <row r="234" spans="1:331" s="17" customFormat="1" x14ac:dyDescent="0.25">
      <c r="A234" s="17" t="s">
        <v>867</v>
      </c>
      <c r="B234" s="21" t="s">
        <v>868</v>
      </c>
      <c r="C234" s="94" t="s">
        <v>1650</v>
      </c>
      <c r="D234" s="17">
        <v>1</v>
      </c>
      <c r="E234" s="17" t="s">
        <v>869</v>
      </c>
      <c r="H234" s="17" t="s">
        <v>869</v>
      </c>
      <c r="I234" s="17" t="s">
        <v>869</v>
      </c>
      <c r="J234" s="17" t="s">
        <v>869</v>
      </c>
      <c r="K234" s="17" t="s">
        <v>869</v>
      </c>
      <c r="L234" s="17">
        <v>1</v>
      </c>
      <c r="M234" s="17" t="s">
        <v>870</v>
      </c>
      <c r="O234" s="17">
        <v>1</v>
      </c>
      <c r="P234" s="17" t="s">
        <v>871</v>
      </c>
      <c r="Q234" s="96" t="s">
        <v>866</v>
      </c>
      <c r="R234" s="96"/>
      <c r="S234" s="17">
        <v>8</v>
      </c>
      <c r="W234" s="96">
        <v>8</v>
      </c>
      <c r="X234" s="96"/>
      <c r="Y234" s="96"/>
      <c r="Z234" s="17">
        <v>3</v>
      </c>
      <c r="AA234" s="94" t="b">
        <v>1</v>
      </c>
      <c r="AB234" s="1" t="s">
        <v>1894</v>
      </c>
      <c r="AC234" s="57" t="s">
        <v>1720</v>
      </c>
      <c r="AD234" s="1"/>
      <c r="AE234" t="s">
        <v>1875</v>
      </c>
      <c r="AF234" s="1"/>
      <c r="AG234" s="1"/>
      <c r="AH234" s="1"/>
      <c r="AI234" s="1"/>
      <c r="AJ234" s="1"/>
      <c r="AK234" s="1"/>
      <c r="AL234" s="1"/>
      <c r="AM234" s="1"/>
      <c r="AN234" s="1"/>
      <c r="AO234" s="1"/>
      <c r="AP234" s="1"/>
      <c r="AQ234" s="1"/>
      <c r="AR234" s="1"/>
      <c r="AS234" s="1"/>
      <c r="AT234" s="1"/>
      <c r="AU234" s="1"/>
      <c r="AV234" s="1"/>
      <c r="AW234" s="1"/>
      <c r="AX234" s="1"/>
      <c r="AY234" s="1"/>
      <c r="AZ234" s="1"/>
      <c r="BA234" s="1"/>
      <c r="BB234" s="1"/>
      <c r="BC234" s="1"/>
      <c r="BD234" s="1"/>
      <c r="BE234" s="1"/>
      <c r="BF234" s="1"/>
      <c r="BG234" s="1"/>
      <c r="BH234" s="1"/>
      <c r="BI234" s="1"/>
      <c r="BJ234" s="1"/>
      <c r="BK234" s="1"/>
      <c r="BL234" s="1"/>
      <c r="BM234" s="1"/>
      <c r="BN234" s="1"/>
      <c r="BO234" s="1"/>
      <c r="BP234" s="1"/>
      <c r="BQ234" s="1"/>
      <c r="BR234" s="1"/>
      <c r="BS234" s="1"/>
      <c r="BT234" s="1"/>
      <c r="BU234" s="1"/>
      <c r="BV234" s="1"/>
      <c r="BW234" s="1"/>
      <c r="BX234" s="1"/>
      <c r="BY234" s="1"/>
      <c r="BZ234" s="1"/>
      <c r="CA234" s="1"/>
      <c r="CB234" s="1"/>
      <c r="CC234" s="1"/>
      <c r="CD234" s="1"/>
      <c r="CE234" s="1"/>
      <c r="CF234" s="1"/>
      <c r="CG234" s="1"/>
      <c r="CH234" s="1"/>
      <c r="CI234" s="1"/>
      <c r="CJ234" s="1"/>
      <c r="CK234" s="1"/>
      <c r="CL234" s="1"/>
      <c r="CM234" s="1"/>
      <c r="CN234" s="1"/>
      <c r="CO234" s="1"/>
      <c r="CP234" s="1"/>
      <c r="CQ234" s="1"/>
      <c r="CR234" s="1"/>
      <c r="CS234" s="1"/>
      <c r="CT234" s="1"/>
      <c r="CU234" s="1"/>
      <c r="CV234" s="1"/>
      <c r="CW234" s="1"/>
      <c r="CX234" s="1"/>
      <c r="CY234" s="1"/>
      <c r="CZ234" s="1"/>
      <c r="DA234" s="1"/>
      <c r="DB234" s="1"/>
      <c r="DC234" s="1"/>
      <c r="DD234" s="1"/>
      <c r="DE234" s="1"/>
      <c r="DF234" s="1"/>
      <c r="DG234" s="1"/>
      <c r="DH234" s="1"/>
      <c r="DI234" s="1"/>
      <c r="DJ234" s="1"/>
      <c r="DK234" s="1"/>
      <c r="DL234" s="1"/>
      <c r="DM234" s="1"/>
      <c r="DN234" s="1"/>
      <c r="DO234" s="1"/>
      <c r="DP234" s="1"/>
      <c r="DQ234" s="1"/>
      <c r="DR234" s="1"/>
      <c r="DS234" s="1"/>
      <c r="DT234" s="1"/>
      <c r="DU234" s="1"/>
      <c r="DV234" s="1"/>
      <c r="DW234" s="1"/>
      <c r="DX234" s="1"/>
      <c r="DY234" s="1"/>
      <c r="DZ234" s="1"/>
      <c r="EA234" s="1"/>
      <c r="EB234" s="1"/>
      <c r="EC234" s="1"/>
      <c r="ED234" s="1"/>
      <c r="EE234" s="1"/>
      <c r="EF234" s="1"/>
      <c r="EG234" s="1"/>
      <c r="EH234" s="1"/>
      <c r="EI234" s="1"/>
      <c r="EJ234" s="1"/>
      <c r="EK234" s="1"/>
      <c r="EL234" s="1"/>
      <c r="EM234" s="1"/>
      <c r="EN234" s="1"/>
      <c r="EO234" s="1"/>
      <c r="EP234" s="1"/>
      <c r="EQ234" s="1"/>
      <c r="ER234" s="1"/>
      <c r="ES234" s="1"/>
      <c r="ET234" s="1"/>
      <c r="EU234" s="1"/>
      <c r="EV234" s="1"/>
      <c r="EW234" s="1"/>
      <c r="EX234" s="1"/>
      <c r="EY234" s="1"/>
      <c r="EZ234" s="1"/>
      <c r="FA234" s="1"/>
      <c r="FB234" s="1"/>
      <c r="FC234" s="1"/>
      <c r="FD234" s="1"/>
      <c r="FE234" s="1"/>
      <c r="FF234" s="1"/>
      <c r="FG234" s="1"/>
      <c r="FH234" s="1"/>
      <c r="FI234" s="1"/>
      <c r="FJ234" s="1"/>
      <c r="FK234" s="1"/>
      <c r="FL234" s="1"/>
      <c r="FM234" s="1"/>
      <c r="FN234" s="1"/>
      <c r="FO234" s="1"/>
      <c r="FP234" s="1"/>
      <c r="FQ234" s="1"/>
      <c r="FR234" s="1"/>
      <c r="FS234" s="1"/>
      <c r="FT234" s="1"/>
      <c r="FU234" s="1"/>
      <c r="FV234" s="1"/>
      <c r="FW234" s="1"/>
      <c r="FX234" s="1"/>
      <c r="FY234" s="1"/>
      <c r="FZ234" s="1"/>
      <c r="GA234" s="1"/>
      <c r="GB234" s="1"/>
      <c r="GC234" s="1"/>
      <c r="GD234" s="1"/>
      <c r="GE234" s="1"/>
      <c r="GF234" s="1"/>
      <c r="GG234" s="1"/>
      <c r="GH234" s="1"/>
      <c r="GI234" s="1"/>
      <c r="GJ234" s="1"/>
      <c r="GK234" s="1"/>
      <c r="GL234" s="1"/>
      <c r="GM234" s="1"/>
      <c r="GN234" s="1"/>
      <c r="GO234" s="1"/>
      <c r="GP234" s="1"/>
      <c r="GQ234" s="1"/>
      <c r="GR234" s="1"/>
      <c r="GS234" s="1"/>
      <c r="GT234" s="1"/>
      <c r="GU234" s="1"/>
      <c r="GV234" s="1"/>
      <c r="GW234" s="1"/>
      <c r="GX234" s="1"/>
      <c r="GY234" s="1"/>
      <c r="GZ234" s="1"/>
      <c r="HA234" s="1"/>
      <c r="HB234" s="1"/>
      <c r="HC234" s="1"/>
      <c r="HD234" s="1"/>
      <c r="HE234" s="1"/>
      <c r="HF234" s="1"/>
      <c r="HG234" s="1"/>
      <c r="HH234" s="1"/>
      <c r="HI234" s="1"/>
      <c r="HJ234" s="1"/>
      <c r="HK234" s="1"/>
      <c r="HL234" s="1"/>
      <c r="HM234" s="1"/>
      <c r="HN234" s="1"/>
      <c r="HO234" s="1"/>
      <c r="HP234" s="1"/>
      <c r="HQ234" s="1"/>
      <c r="HR234" s="1"/>
      <c r="HS234" s="1"/>
      <c r="HT234" s="1"/>
      <c r="HU234" s="1"/>
      <c r="HV234" s="1"/>
      <c r="HW234" s="1"/>
      <c r="HX234" s="1"/>
      <c r="HY234" s="1"/>
      <c r="HZ234" s="1"/>
      <c r="IA234" s="1"/>
      <c r="IB234" s="1"/>
      <c r="IC234" s="1"/>
      <c r="ID234" s="1"/>
      <c r="IE234" s="1"/>
      <c r="IF234" s="1"/>
      <c r="IG234" s="1"/>
      <c r="IH234" s="1"/>
      <c r="II234" s="1"/>
      <c r="IJ234" s="1"/>
      <c r="IK234" s="1"/>
      <c r="IL234" s="1"/>
      <c r="IM234" s="1"/>
      <c r="IN234" s="1"/>
      <c r="IO234" s="1"/>
      <c r="IP234" s="1"/>
      <c r="IQ234" s="1"/>
      <c r="IR234" s="1"/>
      <c r="IS234" s="1"/>
      <c r="IT234" s="1"/>
      <c r="IU234" s="1"/>
      <c r="IV234" s="1"/>
      <c r="IW234" s="1"/>
      <c r="IX234" s="1"/>
      <c r="IY234" s="1"/>
      <c r="IZ234" s="1"/>
      <c r="JA234" s="1"/>
      <c r="JB234" s="1"/>
      <c r="JC234" s="1"/>
      <c r="JD234" s="1"/>
      <c r="JE234" s="1"/>
      <c r="JF234" s="1"/>
      <c r="JG234" s="1"/>
      <c r="JH234" s="1"/>
      <c r="JI234" s="1"/>
      <c r="JJ234" s="1"/>
      <c r="JK234" s="1"/>
      <c r="JL234" s="1"/>
      <c r="JM234" s="1"/>
      <c r="JN234" s="1"/>
      <c r="JO234" s="1"/>
      <c r="JP234" s="1"/>
      <c r="JQ234" s="1"/>
      <c r="JR234" s="1"/>
      <c r="JS234" s="1"/>
      <c r="JT234" s="1"/>
      <c r="JU234" s="1"/>
      <c r="JV234" s="1"/>
      <c r="JW234" s="1"/>
      <c r="JX234" s="1"/>
      <c r="JY234" s="1"/>
      <c r="JZ234" s="1"/>
      <c r="KA234" s="1"/>
      <c r="KB234" s="1"/>
      <c r="KC234" s="1"/>
      <c r="KD234" s="1"/>
      <c r="KE234" s="1"/>
      <c r="KF234" s="1"/>
      <c r="KG234" s="1"/>
      <c r="KH234" s="1"/>
      <c r="KI234" s="1"/>
      <c r="KJ234" s="1"/>
      <c r="KK234" s="1"/>
      <c r="KL234" s="1"/>
      <c r="KM234" s="1"/>
      <c r="KN234" s="1"/>
      <c r="KO234" s="1"/>
      <c r="KP234" s="1"/>
      <c r="KQ234" s="1"/>
      <c r="KR234" s="1"/>
      <c r="KS234" s="1"/>
      <c r="KT234" s="1"/>
      <c r="KU234" s="1"/>
      <c r="KV234" s="1"/>
      <c r="KW234" s="1"/>
      <c r="KX234" s="1"/>
      <c r="KY234" s="1"/>
      <c r="KZ234" s="1"/>
      <c r="LA234" s="1"/>
      <c r="LB234" s="1"/>
      <c r="LC234" s="1"/>
      <c r="LD234" s="1"/>
      <c r="LE234" s="1"/>
      <c r="LF234" s="1"/>
      <c r="LG234" s="1"/>
      <c r="LH234" s="1"/>
      <c r="LI234" s="1"/>
      <c r="LJ234" s="1"/>
      <c r="LK234" s="1"/>
      <c r="LL234" s="1"/>
      <c r="LM234" s="1"/>
      <c r="LN234" s="1"/>
      <c r="LO234" s="1"/>
      <c r="LP234" s="1"/>
      <c r="LQ234" s="1"/>
      <c r="LR234" s="1"/>
      <c r="LS234" s="1"/>
    </row>
    <row r="235" spans="1:331" s="49" customFormat="1" x14ac:dyDescent="0.25">
      <c r="A235" s="49" t="s">
        <v>872</v>
      </c>
      <c r="B235" s="51" t="s">
        <v>873</v>
      </c>
      <c r="C235" s="94" t="s">
        <v>1650</v>
      </c>
      <c r="D235" s="49">
        <v>0</v>
      </c>
      <c r="H235" s="49" t="s">
        <v>91</v>
      </c>
      <c r="I235" s="49" t="s">
        <v>90</v>
      </c>
      <c r="J235" s="49" t="s">
        <v>91</v>
      </c>
      <c r="K235" s="49" t="s">
        <v>90</v>
      </c>
      <c r="L235" s="49">
        <v>0</v>
      </c>
      <c r="O235" s="49">
        <v>1</v>
      </c>
      <c r="Q235" s="96"/>
      <c r="R235" s="96" t="s">
        <v>874</v>
      </c>
      <c r="T235" s="49">
        <v>13</v>
      </c>
      <c r="V235" s="49">
        <v>12</v>
      </c>
      <c r="W235" s="96">
        <v>13</v>
      </c>
      <c r="X235" s="96"/>
      <c r="Y235" s="96"/>
      <c r="Z235" s="49">
        <v>9</v>
      </c>
      <c r="AA235" s="94" t="b">
        <v>1</v>
      </c>
      <c r="AB235" s="1"/>
      <c r="AC235" s="57" t="s">
        <v>1426</v>
      </c>
      <c r="AD235" s="1"/>
      <c r="AE235" t="s">
        <v>1873</v>
      </c>
      <c r="AF235" s="1"/>
      <c r="AG235" s="1"/>
      <c r="AH235" s="1"/>
      <c r="AI235" s="1"/>
      <c r="AJ235" s="1"/>
      <c r="AK235" s="1"/>
      <c r="AL235" s="1"/>
      <c r="AM235" s="1"/>
      <c r="AN235" s="1"/>
      <c r="AO235" s="1"/>
      <c r="AP235" s="1"/>
      <c r="AQ235" s="1"/>
      <c r="AR235" s="1"/>
      <c r="AS235" s="1"/>
      <c r="AT235" s="1"/>
      <c r="AU235" s="1"/>
      <c r="AV235" s="1"/>
      <c r="AW235" s="1"/>
      <c r="AX235" s="1"/>
      <c r="AY235" s="1"/>
      <c r="AZ235" s="1"/>
      <c r="BA235" s="1"/>
      <c r="BB235" s="1"/>
      <c r="BC235" s="1"/>
      <c r="BD235" s="1"/>
      <c r="BE235" s="1"/>
      <c r="BF235" s="1"/>
      <c r="BG235" s="1"/>
      <c r="BH235" s="1"/>
      <c r="BI235" s="1"/>
      <c r="BJ235" s="1"/>
      <c r="BK235" s="1"/>
      <c r="BL235" s="1"/>
      <c r="BM235" s="1"/>
      <c r="BN235" s="1"/>
      <c r="BO235" s="1"/>
      <c r="BP235" s="1"/>
      <c r="BQ235" s="1"/>
      <c r="BR235" s="1"/>
      <c r="BS235" s="1"/>
      <c r="BT235" s="1"/>
      <c r="BU235" s="1"/>
      <c r="BV235" s="1"/>
      <c r="BW235" s="1"/>
      <c r="BX235" s="1"/>
      <c r="BY235" s="1"/>
      <c r="BZ235" s="1"/>
      <c r="CA235" s="1"/>
      <c r="CB235" s="1"/>
      <c r="CC235" s="1"/>
      <c r="CD235" s="1"/>
      <c r="CE235" s="1"/>
      <c r="CF235" s="1"/>
      <c r="CG235" s="1"/>
      <c r="CH235" s="1"/>
      <c r="CI235" s="1"/>
      <c r="CJ235" s="1"/>
      <c r="CK235" s="1"/>
      <c r="CL235" s="1"/>
      <c r="CM235" s="1"/>
      <c r="CN235" s="1"/>
      <c r="CO235" s="1"/>
      <c r="CP235" s="1"/>
      <c r="CQ235" s="1"/>
      <c r="CR235" s="1"/>
      <c r="CS235" s="1"/>
      <c r="CT235" s="1"/>
      <c r="CU235" s="1"/>
      <c r="CV235" s="1"/>
      <c r="CW235" s="1"/>
      <c r="CX235" s="1"/>
      <c r="CY235" s="1"/>
      <c r="CZ235" s="1"/>
      <c r="DA235" s="1"/>
      <c r="DB235" s="1"/>
      <c r="DC235" s="1"/>
      <c r="DD235" s="1"/>
      <c r="DE235" s="1"/>
      <c r="DF235" s="1"/>
      <c r="DG235" s="1"/>
      <c r="DH235" s="1"/>
      <c r="DI235" s="1"/>
      <c r="DJ235" s="1"/>
      <c r="DK235" s="1"/>
      <c r="DL235" s="1"/>
      <c r="DM235" s="1"/>
      <c r="DN235" s="1"/>
      <c r="DO235" s="1"/>
      <c r="DP235" s="1"/>
      <c r="DQ235" s="1"/>
      <c r="DR235" s="1"/>
      <c r="DS235" s="1"/>
      <c r="DT235" s="1"/>
      <c r="DU235" s="1"/>
      <c r="DV235" s="1"/>
      <c r="DW235" s="1"/>
      <c r="DX235" s="1"/>
      <c r="DY235" s="1"/>
      <c r="DZ235" s="1"/>
      <c r="EA235" s="1"/>
      <c r="EB235" s="1"/>
      <c r="EC235" s="1"/>
      <c r="ED235" s="1"/>
      <c r="EE235" s="1"/>
      <c r="EF235" s="1"/>
      <c r="EG235" s="1"/>
      <c r="EH235" s="1"/>
      <c r="EI235" s="1"/>
      <c r="EJ235" s="1"/>
      <c r="EK235" s="1"/>
      <c r="EL235" s="1"/>
      <c r="EM235" s="1"/>
      <c r="EN235" s="1"/>
      <c r="EO235" s="1"/>
      <c r="EP235" s="1"/>
      <c r="EQ235" s="1"/>
      <c r="ER235" s="1"/>
      <c r="ES235" s="1"/>
      <c r="ET235" s="1"/>
      <c r="EU235" s="1"/>
      <c r="EV235" s="1"/>
      <c r="EW235" s="1"/>
      <c r="EX235" s="1"/>
      <c r="EY235" s="1"/>
      <c r="EZ235" s="1"/>
      <c r="FA235" s="1"/>
      <c r="FB235" s="1"/>
      <c r="FC235" s="1"/>
      <c r="FD235" s="1"/>
      <c r="FE235" s="1"/>
      <c r="FF235" s="1"/>
      <c r="FG235" s="1"/>
      <c r="FH235" s="1"/>
      <c r="FI235" s="1"/>
      <c r="FJ235" s="1"/>
      <c r="FK235" s="1"/>
      <c r="FL235" s="1"/>
      <c r="FM235" s="1"/>
      <c r="FN235" s="1"/>
      <c r="FO235" s="1"/>
      <c r="FP235" s="1"/>
      <c r="FQ235" s="1"/>
      <c r="FR235" s="1"/>
      <c r="FS235" s="1"/>
      <c r="FT235" s="1"/>
      <c r="FU235" s="1"/>
      <c r="FV235" s="1"/>
      <c r="FW235" s="1"/>
      <c r="FX235" s="1"/>
      <c r="FY235" s="1"/>
      <c r="FZ235" s="1"/>
      <c r="GA235" s="1"/>
      <c r="GB235" s="1"/>
      <c r="GC235" s="1"/>
      <c r="GD235" s="1"/>
      <c r="GE235" s="1"/>
      <c r="GF235" s="1"/>
      <c r="GG235" s="1"/>
      <c r="GH235" s="1"/>
      <c r="GI235" s="1"/>
      <c r="GJ235" s="1"/>
      <c r="GK235" s="1"/>
      <c r="GL235" s="1"/>
      <c r="GM235" s="1"/>
      <c r="GN235" s="1"/>
      <c r="GO235" s="1"/>
      <c r="GP235" s="1"/>
      <c r="GQ235" s="1"/>
      <c r="GR235" s="1"/>
      <c r="GS235" s="1"/>
      <c r="GT235" s="1"/>
      <c r="GU235" s="1"/>
      <c r="GV235" s="1"/>
      <c r="GW235" s="1"/>
      <c r="GX235" s="1"/>
      <c r="GY235" s="1"/>
      <c r="GZ235" s="1"/>
      <c r="HA235" s="1"/>
      <c r="HB235" s="1"/>
      <c r="HC235" s="1"/>
      <c r="HD235" s="1"/>
      <c r="HE235" s="1"/>
      <c r="HF235" s="1"/>
      <c r="HG235" s="1"/>
      <c r="HH235" s="1"/>
      <c r="HI235" s="1"/>
      <c r="HJ235" s="1"/>
      <c r="HK235" s="1"/>
      <c r="HL235" s="1"/>
      <c r="HM235" s="1"/>
      <c r="HN235" s="1"/>
      <c r="HO235" s="1"/>
      <c r="HP235" s="1"/>
      <c r="HQ235" s="1"/>
      <c r="HR235" s="1"/>
      <c r="HS235" s="1"/>
      <c r="HT235" s="1"/>
      <c r="HU235" s="1"/>
      <c r="HV235" s="1"/>
      <c r="HW235" s="1"/>
      <c r="HX235" s="1"/>
      <c r="HY235" s="1"/>
      <c r="HZ235" s="1"/>
      <c r="IA235" s="1"/>
      <c r="IB235" s="1"/>
      <c r="IC235" s="1"/>
      <c r="ID235" s="1"/>
      <c r="IE235" s="1"/>
      <c r="IF235" s="1"/>
      <c r="IG235" s="1"/>
      <c r="IH235" s="1"/>
      <c r="II235" s="1"/>
      <c r="IJ235" s="1"/>
      <c r="IK235" s="1"/>
      <c r="IL235" s="1"/>
      <c r="IM235" s="1"/>
      <c r="IN235" s="1"/>
      <c r="IO235" s="1"/>
      <c r="IP235" s="1"/>
      <c r="IQ235" s="1"/>
      <c r="IR235" s="1"/>
      <c r="IS235" s="1"/>
      <c r="IT235" s="1"/>
      <c r="IU235" s="1"/>
      <c r="IV235" s="1"/>
      <c r="IW235" s="1"/>
      <c r="IX235" s="1"/>
      <c r="IY235" s="1"/>
      <c r="IZ235" s="1"/>
      <c r="JA235" s="1"/>
      <c r="JB235" s="1"/>
      <c r="JC235" s="1"/>
      <c r="JD235" s="1"/>
      <c r="JE235" s="1"/>
      <c r="JF235" s="1"/>
      <c r="JG235" s="1"/>
      <c r="JH235" s="1"/>
      <c r="JI235" s="1"/>
      <c r="JJ235" s="1"/>
      <c r="JK235" s="1"/>
      <c r="JL235" s="1"/>
      <c r="JM235" s="1"/>
      <c r="JN235" s="1"/>
      <c r="JO235" s="1"/>
      <c r="JP235" s="1"/>
      <c r="JQ235" s="1"/>
      <c r="JR235" s="1"/>
      <c r="JS235" s="1"/>
      <c r="JT235" s="1"/>
      <c r="JU235" s="1"/>
      <c r="JV235" s="1"/>
      <c r="JW235" s="1"/>
      <c r="JX235" s="1"/>
      <c r="JY235" s="1"/>
      <c r="JZ235" s="1"/>
      <c r="KA235" s="1"/>
      <c r="KB235" s="1"/>
      <c r="KC235" s="1"/>
      <c r="KD235" s="1"/>
      <c r="KE235" s="1"/>
      <c r="KF235" s="1"/>
      <c r="KG235" s="1"/>
      <c r="KH235" s="1"/>
      <c r="KI235" s="1"/>
      <c r="KJ235" s="1"/>
      <c r="KK235" s="1"/>
      <c r="KL235" s="1"/>
      <c r="KM235" s="1"/>
      <c r="KN235" s="1"/>
      <c r="KO235" s="1"/>
      <c r="KP235" s="1"/>
      <c r="KQ235" s="1"/>
      <c r="KR235" s="1"/>
      <c r="KS235" s="1"/>
      <c r="KT235" s="1"/>
      <c r="KU235" s="1"/>
      <c r="KV235" s="1"/>
      <c r="KW235" s="1"/>
      <c r="KX235" s="1"/>
      <c r="KY235" s="1"/>
      <c r="KZ235" s="1"/>
      <c r="LA235" s="1"/>
      <c r="LB235" s="1"/>
      <c r="LC235" s="1"/>
      <c r="LD235" s="1"/>
      <c r="LE235" s="1"/>
      <c r="LF235" s="1"/>
      <c r="LG235" s="1"/>
      <c r="LH235" s="1"/>
      <c r="LI235" s="1"/>
      <c r="LJ235" s="1"/>
      <c r="LK235" s="1"/>
      <c r="LL235" s="1"/>
      <c r="LM235" s="1"/>
      <c r="LN235" s="1"/>
      <c r="LO235" s="1"/>
      <c r="LP235" s="1"/>
      <c r="LQ235" s="1"/>
      <c r="LR235" s="1"/>
      <c r="LS235" s="1"/>
    </row>
    <row r="236" spans="1:331" s="40" customFormat="1" x14ac:dyDescent="0.25">
      <c r="A236" s="40" t="s">
        <v>875</v>
      </c>
      <c r="B236" s="44" t="s">
        <v>876</v>
      </c>
      <c r="C236" s="94" t="s">
        <v>1650</v>
      </c>
      <c r="D236" s="40">
        <v>0</v>
      </c>
      <c r="H236" s="40" t="s">
        <v>94</v>
      </c>
      <c r="I236" s="40" t="s">
        <v>93</v>
      </c>
      <c r="J236" s="40" t="s">
        <v>94</v>
      </c>
      <c r="K236" s="40" t="s">
        <v>94</v>
      </c>
      <c r="L236" s="40">
        <v>0</v>
      </c>
      <c r="O236" s="40">
        <v>1</v>
      </c>
      <c r="P236" s="40" t="s">
        <v>147</v>
      </c>
      <c r="Q236" s="96" t="s">
        <v>1485</v>
      </c>
      <c r="R236" s="96"/>
      <c r="S236" s="40">
        <v>33</v>
      </c>
      <c r="U236" s="40">
        <v>34</v>
      </c>
      <c r="W236" s="96">
        <v>33</v>
      </c>
      <c r="X236" s="96"/>
      <c r="Y236" s="96"/>
      <c r="Z236" s="40">
        <v>8</v>
      </c>
      <c r="AA236" s="94" t="b">
        <v>1</v>
      </c>
      <c r="AB236" s="1"/>
      <c r="AC236" s="57" t="s">
        <v>1427</v>
      </c>
      <c r="AD236" s="1"/>
      <c r="AE236" t="s">
        <v>1876</v>
      </c>
      <c r="AF236" s="1"/>
      <c r="AG236" s="1"/>
      <c r="AH236" s="1"/>
      <c r="AI236" s="1"/>
      <c r="AJ236" s="1"/>
      <c r="AK236" s="1"/>
      <c r="AL236" s="1"/>
      <c r="AM236" s="1"/>
      <c r="AN236" s="1"/>
      <c r="AO236" s="1"/>
      <c r="AP236" s="1"/>
      <c r="AQ236" s="1"/>
      <c r="AR236" s="1"/>
      <c r="AS236" s="1"/>
      <c r="AT236" s="1"/>
      <c r="AU236" s="1"/>
      <c r="AV236" s="1"/>
      <c r="AW236" s="1"/>
      <c r="AX236" s="1"/>
      <c r="AY236" s="1"/>
      <c r="AZ236" s="1"/>
      <c r="BA236" s="1"/>
      <c r="BB236" s="1"/>
      <c r="BC236" s="1"/>
      <c r="BD236" s="1"/>
      <c r="BE236" s="1"/>
      <c r="BF236" s="1"/>
      <c r="BG236" s="1"/>
      <c r="BH236" s="1"/>
      <c r="BI236" s="1"/>
      <c r="BJ236" s="1"/>
      <c r="BK236" s="1"/>
      <c r="BL236" s="1"/>
      <c r="BM236" s="1"/>
      <c r="BN236" s="1"/>
      <c r="BO236" s="1"/>
      <c r="BP236" s="1"/>
      <c r="BQ236" s="1"/>
      <c r="BR236" s="1"/>
      <c r="BS236" s="1"/>
      <c r="BT236" s="1"/>
      <c r="BU236" s="1"/>
      <c r="BV236" s="1"/>
      <c r="BW236" s="1"/>
      <c r="BX236" s="1"/>
      <c r="BY236" s="1"/>
      <c r="BZ236" s="1"/>
      <c r="CA236" s="1"/>
      <c r="CB236" s="1"/>
      <c r="CC236" s="1"/>
      <c r="CD236" s="1"/>
      <c r="CE236" s="1"/>
      <c r="CF236" s="1"/>
      <c r="CG236" s="1"/>
      <c r="CH236" s="1"/>
      <c r="CI236" s="1"/>
      <c r="CJ236" s="1"/>
      <c r="CK236" s="1"/>
      <c r="CL236" s="1"/>
      <c r="CM236" s="1"/>
      <c r="CN236" s="1"/>
      <c r="CO236" s="1"/>
      <c r="CP236" s="1"/>
      <c r="CQ236" s="1"/>
      <c r="CR236" s="1"/>
      <c r="CS236" s="1"/>
      <c r="CT236" s="1"/>
      <c r="CU236" s="1"/>
      <c r="CV236" s="1"/>
      <c r="CW236" s="1"/>
      <c r="CX236" s="1"/>
      <c r="CY236" s="1"/>
      <c r="CZ236" s="1"/>
      <c r="DA236" s="1"/>
      <c r="DB236" s="1"/>
      <c r="DC236" s="1"/>
      <c r="DD236" s="1"/>
      <c r="DE236" s="1"/>
      <c r="DF236" s="1"/>
      <c r="DG236" s="1"/>
      <c r="DH236" s="1"/>
      <c r="DI236" s="1"/>
      <c r="DJ236" s="1"/>
      <c r="DK236" s="1"/>
      <c r="DL236" s="1"/>
      <c r="DM236" s="1"/>
      <c r="DN236" s="1"/>
      <c r="DO236" s="1"/>
      <c r="DP236" s="1"/>
      <c r="DQ236" s="1"/>
      <c r="DR236" s="1"/>
      <c r="DS236" s="1"/>
      <c r="DT236" s="1"/>
      <c r="DU236" s="1"/>
      <c r="DV236" s="1"/>
      <c r="DW236" s="1"/>
      <c r="DX236" s="1"/>
      <c r="DY236" s="1"/>
      <c r="DZ236" s="1"/>
      <c r="EA236" s="1"/>
      <c r="EB236" s="1"/>
      <c r="EC236" s="1"/>
      <c r="ED236" s="1"/>
      <c r="EE236" s="1"/>
      <c r="EF236" s="1"/>
      <c r="EG236" s="1"/>
      <c r="EH236" s="1"/>
      <c r="EI236" s="1"/>
      <c r="EJ236" s="1"/>
      <c r="EK236" s="1"/>
      <c r="EL236" s="1"/>
      <c r="EM236" s="1"/>
      <c r="EN236" s="1"/>
      <c r="EO236" s="1"/>
      <c r="EP236" s="1"/>
      <c r="EQ236" s="1"/>
      <c r="ER236" s="1"/>
      <c r="ES236" s="1"/>
      <c r="ET236" s="1"/>
      <c r="EU236" s="1"/>
      <c r="EV236" s="1"/>
      <c r="EW236" s="1"/>
      <c r="EX236" s="1"/>
      <c r="EY236" s="1"/>
      <c r="EZ236" s="1"/>
      <c r="FA236" s="1"/>
      <c r="FB236" s="1"/>
      <c r="FC236" s="1"/>
      <c r="FD236" s="1"/>
      <c r="FE236" s="1"/>
      <c r="FF236" s="1"/>
      <c r="FG236" s="1"/>
      <c r="FH236" s="1"/>
      <c r="FI236" s="1"/>
      <c r="FJ236" s="1"/>
      <c r="FK236" s="1"/>
      <c r="FL236" s="1"/>
      <c r="FM236" s="1"/>
      <c r="FN236" s="1"/>
      <c r="FO236" s="1"/>
      <c r="FP236" s="1"/>
      <c r="FQ236" s="1"/>
      <c r="FR236" s="1"/>
      <c r="FS236" s="1"/>
      <c r="FT236" s="1"/>
      <c r="FU236" s="1"/>
      <c r="FV236" s="1"/>
      <c r="FW236" s="1"/>
      <c r="FX236" s="1"/>
      <c r="FY236" s="1"/>
      <c r="FZ236" s="1"/>
      <c r="GA236" s="1"/>
      <c r="GB236" s="1"/>
      <c r="GC236" s="1"/>
      <c r="GD236" s="1"/>
      <c r="GE236" s="1"/>
      <c r="GF236" s="1"/>
      <c r="GG236" s="1"/>
      <c r="GH236" s="1"/>
      <c r="GI236" s="1"/>
      <c r="GJ236" s="1"/>
      <c r="GK236" s="1"/>
      <c r="GL236" s="1"/>
      <c r="GM236" s="1"/>
      <c r="GN236" s="1"/>
      <c r="GO236" s="1"/>
      <c r="GP236" s="1"/>
      <c r="GQ236" s="1"/>
      <c r="GR236" s="1"/>
      <c r="GS236" s="1"/>
      <c r="GT236" s="1"/>
      <c r="GU236" s="1"/>
      <c r="GV236" s="1"/>
      <c r="GW236" s="1"/>
      <c r="GX236" s="1"/>
      <c r="GY236" s="1"/>
      <c r="GZ236" s="1"/>
      <c r="HA236" s="1"/>
      <c r="HB236" s="1"/>
      <c r="HC236" s="1"/>
      <c r="HD236" s="1"/>
      <c r="HE236" s="1"/>
      <c r="HF236" s="1"/>
      <c r="HG236" s="1"/>
      <c r="HH236" s="1"/>
      <c r="HI236" s="1"/>
      <c r="HJ236" s="1"/>
      <c r="HK236" s="1"/>
      <c r="HL236" s="1"/>
      <c r="HM236" s="1"/>
      <c r="HN236" s="1"/>
      <c r="HO236" s="1"/>
      <c r="HP236" s="1"/>
      <c r="HQ236" s="1"/>
      <c r="HR236" s="1"/>
      <c r="HS236" s="1"/>
      <c r="HT236" s="1"/>
      <c r="HU236" s="1"/>
      <c r="HV236" s="1"/>
      <c r="HW236" s="1"/>
      <c r="HX236" s="1"/>
      <c r="HY236" s="1"/>
      <c r="HZ236" s="1"/>
      <c r="IA236" s="1"/>
      <c r="IB236" s="1"/>
      <c r="IC236" s="1"/>
      <c r="ID236" s="1"/>
      <c r="IE236" s="1"/>
      <c r="IF236" s="1"/>
      <c r="IG236" s="1"/>
      <c r="IH236" s="1"/>
      <c r="II236" s="1"/>
      <c r="IJ236" s="1"/>
      <c r="IK236" s="1"/>
      <c r="IL236" s="1"/>
      <c r="IM236" s="1"/>
      <c r="IN236" s="1"/>
      <c r="IO236" s="1"/>
      <c r="IP236" s="1"/>
      <c r="IQ236" s="1"/>
      <c r="IR236" s="1"/>
      <c r="IS236" s="1"/>
      <c r="IT236" s="1"/>
      <c r="IU236" s="1"/>
      <c r="IV236" s="1"/>
      <c r="IW236" s="1"/>
      <c r="IX236" s="1"/>
      <c r="IY236" s="1"/>
      <c r="IZ236" s="1"/>
      <c r="JA236" s="1"/>
      <c r="JB236" s="1"/>
      <c r="JC236" s="1"/>
      <c r="JD236" s="1"/>
      <c r="JE236" s="1"/>
      <c r="JF236" s="1"/>
      <c r="JG236" s="1"/>
      <c r="JH236" s="1"/>
      <c r="JI236" s="1"/>
      <c r="JJ236" s="1"/>
      <c r="JK236" s="1"/>
      <c r="JL236" s="1"/>
      <c r="JM236" s="1"/>
      <c r="JN236" s="1"/>
      <c r="JO236" s="1"/>
      <c r="JP236" s="1"/>
      <c r="JQ236" s="1"/>
      <c r="JR236" s="1"/>
      <c r="JS236" s="1"/>
      <c r="JT236" s="1"/>
      <c r="JU236" s="1"/>
      <c r="JV236" s="1"/>
      <c r="JW236" s="1"/>
      <c r="JX236" s="1"/>
      <c r="JY236" s="1"/>
      <c r="JZ236" s="1"/>
      <c r="KA236" s="1"/>
      <c r="KB236" s="1"/>
      <c r="KC236" s="1"/>
      <c r="KD236" s="1"/>
      <c r="KE236" s="1"/>
      <c r="KF236" s="1"/>
      <c r="KG236" s="1"/>
      <c r="KH236" s="1"/>
      <c r="KI236" s="1"/>
      <c r="KJ236" s="1"/>
      <c r="KK236" s="1"/>
      <c r="KL236" s="1"/>
      <c r="KM236" s="1"/>
      <c r="KN236" s="1"/>
      <c r="KO236" s="1"/>
      <c r="KP236" s="1"/>
      <c r="KQ236" s="1"/>
      <c r="KR236" s="1"/>
      <c r="KS236" s="1"/>
      <c r="KT236" s="1"/>
      <c r="KU236" s="1"/>
      <c r="KV236" s="1"/>
      <c r="KW236" s="1"/>
      <c r="KX236" s="1"/>
      <c r="KY236" s="1"/>
      <c r="KZ236" s="1"/>
      <c r="LA236" s="1"/>
      <c r="LB236" s="1"/>
      <c r="LC236" s="1"/>
      <c r="LD236" s="1"/>
      <c r="LE236" s="1"/>
      <c r="LF236" s="1"/>
      <c r="LG236" s="1"/>
      <c r="LH236" s="1"/>
      <c r="LI236" s="1"/>
      <c r="LJ236" s="1"/>
      <c r="LK236" s="1"/>
      <c r="LL236" s="1"/>
      <c r="LM236" s="1"/>
      <c r="LN236" s="1"/>
      <c r="LO236" s="1"/>
      <c r="LP236" s="1"/>
      <c r="LQ236" s="1"/>
      <c r="LR236" s="1"/>
      <c r="LS236" s="1"/>
    </row>
    <row r="237" spans="1:331" s="25" customFormat="1" x14ac:dyDescent="0.25">
      <c r="A237" s="25" t="s">
        <v>877</v>
      </c>
      <c r="B237" s="29" t="s">
        <v>878</v>
      </c>
      <c r="C237" s="94" t="s">
        <v>1650</v>
      </c>
      <c r="D237" s="25">
        <v>0</v>
      </c>
      <c r="H237" s="25" t="s">
        <v>87</v>
      </c>
      <c r="I237" s="25" t="s">
        <v>93</v>
      </c>
      <c r="J237" s="25" t="s">
        <v>87</v>
      </c>
      <c r="K237" s="25" t="s">
        <v>1703</v>
      </c>
      <c r="L237" s="25">
        <v>0</v>
      </c>
      <c r="O237" s="25">
        <v>0</v>
      </c>
      <c r="Q237" s="96" t="s">
        <v>1581</v>
      </c>
      <c r="R237" s="96"/>
      <c r="S237" s="25">
        <v>9</v>
      </c>
      <c r="U237" s="25">
        <v>9</v>
      </c>
      <c r="W237" s="96">
        <v>9</v>
      </c>
      <c r="X237" s="96"/>
      <c r="Y237" s="96"/>
      <c r="Z237" s="25">
        <v>5</v>
      </c>
      <c r="AA237" s="94" t="b">
        <v>1</v>
      </c>
      <c r="AB237" s="1"/>
      <c r="AC237" s="57" t="s">
        <v>1297</v>
      </c>
      <c r="AD237" s="1"/>
      <c r="AE237" t="s">
        <v>1873</v>
      </c>
      <c r="AF237" s="1"/>
      <c r="AG237" s="1"/>
      <c r="AH237" s="1"/>
      <c r="AI237" s="1"/>
      <c r="AJ237" s="1"/>
      <c r="AK237" s="1"/>
      <c r="AL237" s="1"/>
      <c r="AM237" s="1"/>
      <c r="AN237" s="1"/>
      <c r="AO237" s="1"/>
      <c r="AP237" s="1"/>
      <c r="AQ237" s="1"/>
      <c r="AR237" s="1"/>
      <c r="AS237" s="1"/>
      <c r="AT237" s="1"/>
      <c r="AU237" s="1"/>
      <c r="AV237" s="1"/>
      <c r="AW237" s="1"/>
      <c r="AX237" s="1"/>
      <c r="AY237" s="1"/>
      <c r="AZ237" s="1"/>
      <c r="BA237" s="1"/>
      <c r="BB237" s="1"/>
      <c r="BC237" s="1"/>
      <c r="BD237" s="1"/>
      <c r="BE237" s="1"/>
      <c r="BF237" s="1"/>
      <c r="BG237" s="1"/>
      <c r="BH237" s="1"/>
      <c r="BI237" s="1"/>
      <c r="BJ237" s="1"/>
      <c r="BK237" s="1"/>
      <c r="BL237" s="1"/>
      <c r="BM237" s="1"/>
      <c r="BN237" s="1"/>
      <c r="BO237" s="1"/>
      <c r="BP237" s="1"/>
      <c r="BQ237" s="1"/>
      <c r="BR237" s="1"/>
      <c r="BS237" s="1"/>
      <c r="BT237" s="1"/>
      <c r="BU237" s="1"/>
      <c r="BV237" s="1"/>
      <c r="BW237" s="1"/>
      <c r="BX237" s="1"/>
      <c r="BY237" s="1"/>
      <c r="BZ237" s="1"/>
      <c r="CA237" s="1"/>
      <c r="CB237" s="1"/>
      <c r="CC237" s="1"/>
      <c r="CD237" s="1"/>
      <c r="CE237" s="1"/>
      <c r="CF237" s="1"/>
      <c r="CG237" s="1"/>
      <c r="CH237" s="1"/>
      <c r="CI237" s="1"/>
      <c r="CJ237" s="1"/>
      <c r="CK237" s="1"/>
      <c r="CL237" s="1"/>
      <c r="CM237" s="1"/>
      <c r="CN237" s="1"/>
      <c r="CO237" s="1"/>
      <c r="CP237" s="1"/>
      <c r="CQ237" s="1"/>
      <c r="CR237" s="1"/>
      <c r="CS237" s="1"/>
      <c r="CT237" s="1"/>
      <c r="CU237" s="1"/>
      <c r="CV237" s="1"/>
      <c r="CW237" s="1"/>
      <c r="CX237" s="1"/>
      <c r="CY237" s="1"/>
      <c r="CZ237" s="1"/>
      <c r="DA237" s="1"/>
      <c r="DB237" s="1"/>
      <c r="DC237" s="1"/>
      <c r="DD237" s="1"/>
      <c r="DE237" s="1"/>
      <c r="DF237" s="1"/>
      <c r="DG237" s="1"/>
      <c r="DH237" s="1"/>
      <c r="DI237" s="1"/>
      <c r="DJ237" s="1"/>
      <c r="DK237" s="1"/>
      <c r="DL237" s="1"/>
      <c r="DM237" s="1"/>
      <c r="DN237" s="1"/>
      <c r="DO237" s="1"/>
      <c r="DP237" s="1"/>
      <c r="DQ237" s="1"/>
      <c r="DR237" s="1"/>
      <c r="DS237" s="1"/>
      <c r="DT237" s="1"/>
      <c r="DU237" s="1"/>
      <c r="DV237" s="1"/>
      <c r="DW237" s="1"/>
      <c r="DX237" s="1"/>
      <c r="DY237" s="1"/>
      <c r="DZ237" s="1"/>
      <c r="EA237" s="1"/>
      <c r="EB237" s="1"/>
      <c r="EC237" s="1"/>
      <c r="ED237" s="1"/>
      <c r="EE237" s="1"/>
      <c r="EF237" s="1"/>
      <c r="EG237" s="1"/>
      <c r="EH237" s="1"/>
      <c r="EI237" s="1"/>
      <c r="EJ237" s="1"/>
      <c r="EK237" s="1"/>
      <c r="EL237" s="1"/>
      <c r="EM237" s="1"/>
      <c r="EN237" s="1"/>
      <c r="EO237" s="1"/>
      <c r="EP237" s="1"/>
      <c r="EQ237" s="1"/>
      <c r="ER237" s="1"/>
      <c r="ES237" s="1"/>
      <c r="ET237" s="1"/>
      <c r="EU237" s="1"/>
      <c r="EV237" s="1"/>
      <c r="EW237" s="1"/>
      <c r="EX237" s="1"/>
      <c r="EY237" s="1"/>
      <c r="EZ237" s="1"/>
      <c r="FA237" s="1"/>
      <c r="FB237" s="1"/>
      <c r="FC237" s="1"/>
      <c r="FD237" s="1"/>
      <c r="FE237" s="1"/>
      <c r="FF237" s="1"/>
      <c r="FG237" s="1"/>
      <c r="FH237" s="1"/>
      <c r="FI237" s="1"/>
      <c r="FJ237" s="1"/>
      <c r="FK237" s="1"/>
      <c r="FL237" s="1"/>
      <c r="FM237" s="1"/>
      <c r="FN237" s="1"/>
      <c r="FO237" s="1"/>
      <c r="FP237" s="1"/>
      <c r="FQ237" s="1"/>
      <c r="FR237" s="1"/>
      <c r="FS237" s="1"/>
      <c r="FT237" s="1"/>
      <c r="FU237" s="1"/>
      <c r="FV237" s="1"/>
      <c r="FW237" s="1"/>
      <c r="FX237" s="1"/>
      <c r="FY237" s="1"/>
      <c r="FZ237" s="1"/>
      <c r="GA237" s="1"/>
      <c r="GB237" s="1"/>
      <c r="GC237" s="1"/>
      <c r="GD237" s="1"/>
      <c r="GE237" s="1"/>
      <c r="GF237" s="1"/>
      <c r="GG237" s="1"/>
      <c r="GH237" s="1"/>
      <c r="GI237" s="1"/>
      <c r="GJ237" s="1"/>
      <c r="GK237" s="1"/>
      <c r="GL237" s="1"/>
      <c r="GM237" s="1"/>
      <c r="GN237" s="1"/>
      <c r="GO237" s="1"/>
      <c r="GP237" s="1"/>
      <c r="GQ237" s="1"/>
      <c r="GR237" s="1"/>
      <c r="GS237" s="1"/>
      <c r="GT237" s="1"/>
      <c r="GU237" s="1"/>
      <c r="GV237" s="1"/>
      <c r="GW237" s="1"/>
      <c r="GX237" s="1"/>
      <c r="GY237" s="1"/>
      <c r="GZ237" s="1"/>
      <c r="HA237" s="1"/>
      <c r="HB237" s="1"/>
      <c r="HC237" s="1"/>
      <c r="HD237" s="1"/>
      <c r="HE237" s="1"/>
      <c r="HF237" s="1"/>
      <c r="HG237" s="1"/>
      <c r="HH237" s="1"/>
      <c r="HI237" s="1"/>
      <c r="HJ237" s="1"/>
      <c r="HK237" s="1"/>
      <c r="HL237" s="1"/>
      <c r="HM237" s="1"/>
      <c r="HN237" s="1"/>
      <c r="HO237" s="1"/>
      <c r="HP237" s="1"/>
      <c r="HQ237" s="1"/>
      <c r="HR237" s="1"/>
      <c r="HS237" s="1"/>
      <c r="HT237" s="1"/>
      <c r="HU237" s="1"/>
      <c r="HV237" s="1"/>
      <c r="HW237" s="1"/>
      <c r="HX237" s="1"/>
      <c r="HY237" s="1"/>
      <c r="HZ237" s="1"/>
      <c r="IA237" s="1"/>
      <c r="IB237" s="1"/>
      <c r="IC237" s="1"/>
      <c r="ID237" s="1"/>
      <c r="IE237" s="1"/>
      <c r="IF237" s="1"/>
      <c r="IG237" s="1"/>
      <c r="IH237" s="1"/>
      <c r="II237" s="1"/>
      <c r="IJ237" s="1"/>
      <c r="IK237" s="1"/>
      <c r="IL237" s="1"/>
      <c r="IM237" s="1"/>
      <c r="IN237" s="1"/>
      <c r="IO237" s="1"/>
      <c r="IP237" s="1"/>
      <c r="IQ237" s="1"/>
      <c r="IR237" s="1"/>
      <c r="IS237" s="1"/>
      <c r="IT237" s="1"/>
      <c r="IU237" s="1"/>
      <c r="IV237" s="1"/>
      <c r="IW237" s="1"/>
      <c r="IX237" s="1"/>
      <c r="IY237" s="1"/>
      <c r="IZ237" s="1"/>
      <c r="JA237" s="1"/>
      <c r="JB237" s="1"/>
      <c r="JC237" s="1"/>
      <c r="JD237" s="1"/>
      <c r="JE237" s="1"/>
      <c r="JF237" s="1"/>
      <c r="JG237" s="1"/>
      <c r="JH237" s="1"/>
      <c r="JI237" s="1"/>
      <c r="JJ237" s="1"/>
      <c r="JK237" s="1"/>
      <c r="JL237" s="1"/>
      <c r="JM237" s="1"/>
      <c r="JN237" s="1"/>
      <c r="JO237" s="1"/>
      <c r="JP237" s="1"/>
      <c r="JQ237" s="1"/>
      <c r="JR237" s="1"/>
      <c r="JS237" s="1"/>
      <c r="JT237" s="1"/>
      <c r="JU237" s="1"/>
      <c r="JV237" s="1"/>
      <c r="JW237" s="1"/>
      <c r="JX237" s="1"/>
      <c r="JY237" s="1"/>
      <c r="JZ237" s="1"/>
      <c r="KA237" s="1"/>
      <c r="KB237" s="1"/>
      <c r="KC237" s="1"/>
      <c r="KD237" s="1"/>
      <c r="KE237" s="1"/>
      <c r="KF237" s="1"/>
      <c r="KG237" s="1"/>
      <c r="KH237" s="1"/>
      <c r="KI237" s="1"/>
      <c r="KJ237" s="1"/>
      <c r="KK237" s="1"/>
      <c r="KL237" s="1"/>
      <c r="KM237" s="1"/>
      <c r="KN237" s="1"/>
      <c r="KO237" s="1"/>
      <c r="KP237" s="1"/>
      <c r="KQ237" s="1"/>
      <c r="KR237" s="1"/>
      <c r="KS237" s="1"/>
      <c r="KT237" s="1"/>
      <c r="KU237" s="1"/>
      <c r="KV237" s="1"/>
      <c r="KW237" s="1"/>
      <c r="KX237" s="1"/>
      <c r="KY237" s="1"/>
      <c r="KZ237" s="1"/>
      <c r="LA237" s="1"/>
      <c r="LB237" s="1"/>
      <c r="LC237" s="1"/>
      <c r="LD237" s="1"/>
      <c r="LE237" s="1"/>
      <c r="LF237" s="1"/>
      <c r="LG237" s="1"/>
      <c r="LH237" s="1"/>
      <c r="LI237" s="1"/>
      <c r="LJ237" s="1"/>
      <c r="LK237" s="1"/>
      <c r="LL237" s="1"/>
      <c r="LM237" s="1"/>
      <c r="LN237" s="1"/>
      <c r="LO237" s="1"/>
      <c r="LP237" s="1"/>
      <c r="LQ237" s="1"/>
      <c r="LR237" s="1"/>
      <c r="LS237" s="1"/>
    </row>
    <row r="238" spans="1:331" s="25" customFormat="1" x14ac:dyDescent="0.25">
      <c r="A238" s="25" t="s">
        <v>879</v>
      </c>
      <c r="B238" s="29" t="s">
        <v>880</v>
      </c>
      <c r="C238" s="94" t="s">
        <v>1650</v>
      </c>
      <c r="D238" s="25">
        <v>0</v>
      </c>
      <c r="H238" s="25" t="s">
        <v>881</v>
      </c>
      <c r="I238" s="25" t="s">
        <v>881</v>
      </c>
      <c r="J238" s="25" t="s">
        <v>882</v>
      </c>
      <c r="K238" s="25" t="s">
        <v>881</v>
      </c>
      <c r="L238" s="25">
        <v>0</v>
      </c>
      <c r="O238" s="25">
        <v>0</v>
      </c>
      <c r="Q238" s="96" t="s">
        <v>890</v>
      </c>
      <c r="R238" s="96"/>
      <c r="T238" s="25">
        <v>6</v>
      </c>
      <c r="W238" s="96">
        <v>6</v>
      </c>
      <c r="X238" s="96"/>
      <c r="Y238" s="96"/>
      <c r="Z238" s="25">
        <v>5</v>
      </c>
      <c r="AA238" s="94" t="b">
        <v>1</v>
      </c>
      <c r="AB238" s="1"/>
      <c r="AC238" s="57" t="s">
        <v>1862</v>
      </c>
      <c r="AD238" s="1"/>
      <c r="AE238" t="s">
        <v>1873</v>
      </c>
      <c r="AF238" s="1"/>
      <c r="AG238" s="1"/>
      <c r="AH238" s="1"/>
      <c r="AI238" s="1"/>
      <c r="AJ238" s="1"/>
      <c r="AK238" s="1"/>
      <c r="AL238" s="1"/>
      <c r="AM238" s="1"/>
      <c r="AN238" s="1"/>
      <c r="AO238" s="1"/>
      <c r="AP238" s="1"/>
      <c r="AQ238" s="1"/>
      <c r="AR238" s="1"/>
      <c r="AS238" s="1"/>
      <c r="AT238" s="1"/>
      <c r="AU238" s="1"/>
      <c r="AV238" s="1"/>
      <c r="AW238" s="1"/>
      <c r="AX238" s="1"/>
      <c r="AY238" s="1"/>
      <c r="AZ238" s="1"/>
      <c r="BA238" s="1"/>
      <c r="BB238" s="1"/>
      <c r="BC238" s="1"/>
      <c r="BD238" s="1"/>
      <c r="BE238" s="1"/>
      <c r="BF238" s="1"/>
      <c r="BG238" s="1"/>
      <c r="BH238" s="1"/>
      <c r="BI238" s="1"/>
      <c r="BJ238" s="1"/>
      <c r="BK238" s="1"/>
      <c r="BL238" s="1"/>
      <c r="BM238" s="1"/>
      <c r="BN238" s="1"/>
      <c r="BO238" s="1"/>
      <c r="BP238" s="1"/>
      <c r="BQ238" s="1"/>
      <c r="BR238" s="1"/>
      <c r="BS238" s="1"/>
      <c r="BT238" s="1"/>
      <c r="BU238" s="1"/>
      <c r="BV238" s="1"/>
      <c r="BW238" s="1"/>
      <c r="BX238" s="1"/>
      <c r="BY238" s="1"/>
      <c r="BZ238" s="1"/>
      <c r="CA238" s="1"/>
      <c r="CB238" s="1"/>
      <c r="CC238" s="1"/>
      <c r="CD238" s="1"/>
      <c r="CE238" s="1"/>
      <c r="CF238" s="1"/>
      <c r="CG238" s="1"/>
      <c r="CH238" s="1"/>
      <c r="CI238" s="1"/>
      <c r="CJ238" s="1"/>
      <c r="CK238" s="1"/>
      <c r="CL238" s="1"/>
      <c r="CM238" s="1"/>
      <c r="CN238" s="1"/>
      <c r="CO238" s="1"/>
      <c r="CP238" s="1"/>
      <c r="CQ238" s="1"/>
      <c r="CR238" s="1"/>
      <c r="CS238" s="1"/>
      <c r="CT238" s="1"/>
      <c r="CU238" s="1"/>
      <c r="CV238" s="1"/>
      <c r="CW238" s="1"/>
      <c r="CX238" s="1"/>
      <c r="CY238" s="1"/>
      <c r="CZ238" s="1"/>
      <c r="DA238" s="1"/>
      <c r="DB238" s="1"/>
      <c r="DC238" s="1"/>
      <c r="DD238" s="1"/>
      <c r="DE238" s="1"/>
      <c r="DF238" s="1"/>
      <c r="DG238" s="1"/>
      <c r="DH238" s="1"/>
      <c r="DI238" s="1"/>
      <c r="DJ238" s="1"/>
      <c r="DK238" s="1"/>
      <c r="DL238" s="1"/>
      <c r="DM238" s="1"/>
      <c r="DN238" s="1"/>
      <c r="DO238" s="1"/>
      <c r="DP238" s="1"/>
      <c r="DQ238" s="1"/>
      <c r="DR238" s="1"/>
      <c r="DS238" s="1"/>
      <c r="DT238" s="1"/>
      <c r="DU238" s="1"/>
      <c r="DV238" s="1"/>
      <c r="DW238" s="1"/>
      <c r="DX238" s="1"/>
      <c r="DY238" s="1"/>
      <c r="DZ238" s="1"/>
      <c r="EA238" s="1"/>
      <c r="EB238" s="1"/>
      <c r="EC238" s="1"/>
      <c r="ED238" s="1"/>
      <c r="EE238" s="1"/>
      <c r="EF238" s="1"/>
      <c r="EG238" s="1"/>
      <c r="EH238" s="1"/>
      <c r="EI238" s="1"/>
      <c r="EJ238" s="1"/>
      <c r="EK238" s="1"/>
      <c r="EL238" s="1"/>
      <c r="EM238" s="1"/>
      <c r="EN238" s="1"/>
      <c r="EO238" s="1"/>
      <c r="EP238" s="1"/>
      <c r="EQ238" s="1"/>
      <c r="ER238" s="1"/>
      <c r="ES238" s="1"/>
      <c r="ET238" s="1"/>
      <c r="EU238" s="1"/>
      <c r="EV238" s="1"/>
      <c r="EW238" s="1"/>
      <c r="EX238" s="1"/>
      <c r="EY238" s="1"/>
      <c r="EZ238" s="1"/>
      <c r="FA238" s="1"/>
      <c r="FB238" s="1"/>
      <c r="FC238" s="1"/>
      <c r="FD238" s="1"/>
      <c r="FE238" s="1"/>
      <c r="FF238" s="1"/>
      <c r="FG238" s="1"/>
      <c r="FH238" s="1"/>
      <c r="FI238" s="1"/>
      <c r="FJ238" s="1"/>
      <c r="FK238" s="1"/>
      <c r="FL238" s="1"/>
      <c r="FM238" s="1"/>
      <c r="FN238" s="1"/>
      <c r="FO238" s="1"/>
      <c r="FP238" s="1"/>
      <c r="FQ238" s="1"/>
      <c r="FR238" s="1"/>
      <c r="FS238" s="1"/>
      <c r="FT238" s="1"/>
      <c r="FU238" s="1"/>
      <c r="FV238" s="1"/>
      <c r="FW238" s="1"/>
      <c r="FX238" s="1"/>
      <c r="FY238" s="1"/>
      <c r="FZ238" s="1"/>
      <c r="GA238" s="1"/>
      <c r="GB238" s="1"/>
      <c r="GC238" s="1"/>
      <c r="GD238" s="1"/>
      <c r="GE238" s="1"/>
      <c r="GF238" s="1"/>
      <c r="GG238" s="1"/>
      <c r="GH238" s="1"/>
      <c r="GI238" s="1"/>
      <c r="GJ238" s="1"/>
      <c r="GK238" s="1"/>
      <c r="GL238" s="1"/>
      <c r="GM238" s="1"/>
      <c r="GN238" s="1"/>
      <c r="GO238" s="1"/>
      <c r="GP238" s="1"/>
      <c r="GQ238" s="1"/>
      <c r="GR238" s="1"/>
      <c r="GS238" s="1"/>
      <c r="GT238" s="1"/>
      <c r="GU238" s="1"/>
      <c r="GV238" s="1"/>
      <c r="GW238" s="1"/>
      <c r="GX238" s="1"/>
      <c r="GY238" s="1"/>
      <c r="GZ238" s="1"/>
      <c r="HA238" s="1"/>
      <c r="HB238" s="1"/>
      <c r="HC238" s="1"/>
      <c r="HD238" s="1"/>
      <c r="HE238" s="1"/>
      <c r="HF238" s="1"/>
      <c r="HG238" s="1"/>
      <c r="HH238" s="1"/>
      <c r="HI238" s="1"/>
      <c r="HJ238" s="1"/>
      <c r="HK238" s="1"/>
      <c r="HL238" s="1"/>
      <c r="HM238" s="1"/>
      <c r="HN238" s="1"/>
      <c r="HO238" s="1"/>
      <c r="HP238" s="1"/>
      <c r="HQ238" s="1"/>
      <c r="HR238" s="1"/>
      <c r="HS238" s="1"/>
      <c r="HT238" s="1"/>
      <c r="HU238" s="1"/>
      <c r="HV238" s="1"/>
      <c r="HW238" s="1"/>
      <c r="HX238" s="1"/>
      <c r="HY238" s="1"/>
      <c r="HZ238" s="1"/>
      <c r="IA238" s="1"/>
      <c r="IB238" s="1"/>
      <c r="IC238" s="1"/>
      <c r="ID238" s="1"/>
      <c r="IE238" s="1"/>
      <c r="IF238" s="1"/>
      <c r="IG238" s="1"/>
      <c r="IH238" s="1"/>
      <c r="II238" s="1"/>
      <c r="IJ238" s="1"/>
      <c r="IK238" s="1"/>
      <c r="IL238" s="1"/>
      <c r="IM238" s="1"/>
      <c r="IN238" s="1"/>
      <c r="IO238" s="1"/>
      <c r="IP238" s="1"/>
      <c r="IQ238" s="1"/>
      <c r="IR238" s="1"/>
      <c r="IS238" s="1"/>
      <c r="IT238" s="1"/>
      <c r="IU238" s="1"/>
      <c r="IV238" s="1"/>
      <c r="IW238" s="1"/>
      <c r="IX238" s="1"/>
      <c r="IY238" s="1"/>
      <c r="IZ238" s="1"/>
      <c r="JA238" s="1"/>
      <c r="JB238" s="1"/>
      <c r="JC238" s="1"/>
      <c r="JD238" s="1"/>
      <c r="JE238" s="1"/>
      <c r="JF238" s="1"/>
      <c r="JG238" s="1"/>
      <c r="JH238" s="1"/>
      <c r="JI238" s="1"/>
      <c r="JJ238" s="1"/>
      <c r="JK238" s="1"/>
      <c r="JL238" s="1"/>
      <c r="JM238" s="1"/>
      <c r="JN238" s="1"/>
      <c r="JO238" s="1"/>
      <c r="JP238" s="1"/>
      <c r="JQ238" s="1"/>
      <c r="JR238" s="1"/>
      <c r="JS238" s="1"/>
      <c r="JT238" s="1"/>
      <c r="JU238" s="1"/>
      <c r="JV238" s="1"/>
      <c r="JW238" s="1"/>
      <c r="JX238" s="1"/>
      <c r="JY238" s="1"/>
      <c r="JZ238" s="1"/>
      <c r="KA238" s="1"/>
      <c r="KB238" s="1"/>
      <c r="KC238" s="1"/>
      <c r="KD238" s="1"/>
      <c r="KE238" s="1"/>
      <c r="KF238" s="1"/>
      <c r="KG238" s="1"/>
      <c r="KH238" s="1"/>
      <c r="KI238" s="1"/>
      <c r="KJ238" s="1"/>
      <c r="KK238" s="1"/>
      <c r="KL238" s="1"/>
      <c r="KM238" s="1"/>
      <c r="KN238" s="1"/>
      <c r="KO238" s="1"/>
      <c r="KP238" s="1"/>
      <c r="KQ238" s="1"/>
      <c r="KR238" s="1"/>
      <c r="KS238" s="1"/>
      <c r="KT238" s="1"/>
      <c r="KU238" s="1"/>
      <c r="KV238" s="1"/>
      <c r="KW238" s="1"/>
      <c r="KX238" s="1"/>
      <c r="KY238" s="1"/>
      <c r="KZ238" s="1"/>
      <c r="LA238" s="1"/>
      <c r="LB238" s="1"/>
      <c r="LC238" s="1"/>
      <c r="LD238" s="1"/>
      <c r="LE238" s="1"/>
      <c r="LF238" s="1"/>
      <c r="LG238" s="1"/>
      <c r="LH238" s="1"/>
      <c r="LI238" s="1"/>
      <c r="LJ238" s="1"/>
      <c r="LK238" s="1"/>
      <c r="LL238" s="1"/>
      <c r="LM238" s="1"/>
      <c r="LN238" s="1"/>
      <c r="LO238" s="1"/>
      <c r="LP238" s="1"/>
      <c r="LQ238" s="1"/>
      <c r="LR238" s="1"/>
      <c r="LS238" s="1"/>
    </row>
    <row r="239" spans="1:331" s="25" customFormat="1" x14ac:dyDescent="0.25">
      <c r="A239" s="25" t="s">
        <v>883</v>
      </c>
      <c r="B239" s="29" t="s">
        <v>884</v>
      </c>
      <c r="C239" s="94" t="s">
        <v>1650</v>
      </c>
      <c r="D239" s="25">
        <v>0</v>
      </c>
      <c r="H239" s="25" t="s">
        <v>885</v>
      </c>
      <c r="I239" s="25" t="s">
        <v>886</v>
      </c>
      <c r="J239" s="25" t="s">
        <v>885</v>
      </c>
      <c r="K239" s="25" t="s">
        <v>886</v>
      </c>
      <c r="L239" s="25">
        <v>0</v>
      </c>
      <c r="O239" s="25">
        <v>0</v>
      </c>
      <c r="Q239" s="96" t="s">
        <v>889</v>
      </c>
      <c r="R239" s="96"/>
      <c r="S239" s="25">
        <v>14</v>
      </c>
      <c r="U239" s="25">
        <v>11</v>
      </c>
      <c r="W239" s="96">
        <v>14</v>
      </c>
      <c r="X239" s="96"/>
      <c r="Y239" s="96"/>
      <c r="Z239" s="25">
        <v>5</v>
      </c>
      <c r="AA239" s="94" t="b">
        <v>1</v>
      </c>
      <c r="AB239" s="1" t="s">
        <v>1899</v>
      </c>
      <c r="AC239" s="57" t="s">
        <v>1903</v>
      </c>
      <c r="AD239" s="1"/>
      <c r="AE239" t="s">
        <v>1873</v>
      </c>
      <c r="AF239" s="1"/>
      <c r="AG239" s="1"/>
      <c r="AH239" s="1"/>
      <c r="AI239" s="1"/>
      <c r="AJ239" s="1"/>
      <c r="AK239" s="1"/>
      <c r="AL239" s="1"/>
      <c r="AM239" s="1"/>
      <c r="AN239" s="1"/>
      <c r="AO239" s="1"/>
      <c r="AP239" s="1"/>
      <c r="AQ239" s="1"/>
      <c r="AR239" s="1"/>
      <c r="AS239" s="1"/>
      <c r="AT239" s="1"/>
      <c r="AU239" s="1"/>
      <c r="AV239" s="1"/>
      <c r="AW239" s="1"/>
      <c r="AX239" s="1"/>
      <c r="AY239" s="1"/>
      <c r="AZ239" s="1"/>
      <c r="BA239" s="1"/>
      <c r="BB239" s="1"/>
      <c r="BC239" s="1"/>
      <c r="BD239" s="1"/>
      <c r="BE239" s="1"/>
      <c r="BF239" s="1"/>
      <c r="BG239" s="1"/>
      <c r="BH239" s="1"/>
      <c r="BI239" s="1"/>
      <c r="BJ239" s="1"/>
      <c r="BK239" s="1"/>
      <c r="BL239" s="1"/>
      <c r="BM239" s="1"/>
      <c r="BN239" s="1"/>
      <c r="BO239" s="1"/>
      <c r="BP239" s="1"/>
      <c r="BQ239" s="1"/>
      <c r="BR239" s="1"/>
      <c r="BS239" s="1"/>
      <c r="BT239" s="1"/>
      <c r="BU239" s="1"/>
      <c r="BV239" s="1"/>
      <c r="BW239" s="1"/>
      <c r="BX239" s="1"/>
      <c r="BY239" s="1"/>
      <c r="BZ239" s="1"/>
      <c r="CA239" s="1"/>
      <c r="CB239" s="1"/>
      <c r="CC239" s="1"/>
      <c r="CD239" s="1"/>
      <c r="CE239" s="1"/>
      <c r="CF239" s="1"/>
      <c r="CG239" s="1"/>
      <c r="CH239" s="1"/>
      <c r="CI239" s="1"/>
      <c r="CJ239" s="1"/>
      <c r="CK239" s="1"/>
      <c r="CL239" s="1"/>
      <c r="CM239" s="1"/>
      <c r="CN239" s="1"/>
      <c r="CO239" s="1"/>
      <c r="CP239" s="1"/>
      <c r="CQ239" s="1"/>
      <c r="CR239" s="1"/>
      <c r="CS239" s="1"/>
      <c r="CT239" s="1"/>
      <c r="CU239" s="1"/>
      <c r="CV239" s="1"/>
      <c r="CW239" s="1"/>
      <c r="CX239" s="1"/>
      <c r="CY239" s="1"/>
      <c r="CZ239" s="1"/>
      <c r="DA239" s="1"/>
      <c r="DB239" s="1"/>
      <c r="DC239" s="1"/>
      <c r="DD239" s="1"/>
      <c r="DE239" s="1"/>
      <c r="DF239" s="1"/>
      <c r="DG239" s="1"/>
      <c r="DH239" s="1"/>
      <c r="DI239" s="1"/>
      <c r="DJ239" s="1"/>
      <c r="DK239" s="1"/>
      <c r="DL239" s="1"/>
      <c r="DM239" s="1"/>
      <c r="DN239" s="1"/>
      <c r="DO239" s="1"/>
      <c r="DP239" s="1"/>
      <c r="DQ239" s="1"/>
      <c r="DR239" s="1"/>
      <c r="DS239" s="1"/>
      <c r="DT239" s="1"/>
      <c r="DU239" s="1"/>
      <c r="DV239" s="1"/>
      <c r="DW239" s="1"/>
      <c r="DX239" s="1"/>
      <c r="DY239" s="1"/>
      <c r="DZ239" s="1"/>
      <c r="EA239" s="1"/>
      <c r="EB239" s="1"/>
      <c r="EC239" s="1"/>
      <c r="ED239" s="1"/>
      <c r="EE239" s="1"/>
      <c r="EF239" s="1"/>
      <c r="EG239" s="1"/>
      <c r="EH239" s="1"/>
      <c r="EI239" s="1"/>
      <c r="EJ239" s="1"/>
      <c r="EK239" s="1"/>
      <c r="EL239" s="1"/>
      <c r="EM239" s="1"/>
      <c r="EN239" s="1"/>
      <c r="EO239" s="1"/>
      <c r="EP239" s="1"/>
      <c r="EQ239" s="1"/>
      <c r="ER239" s="1"/>
      <c r="ES239" s="1"/>
      <c r="ET239" s="1"/>
      <c r="EU239" s="1"/>
      <c r="EV239" s="1"/>
      <c r="EW239" s="1"/>
      <c r="EX239" s="1"/>
      <c r="EY239" s="1"/>
      <c r="EZ239" s="1"/>
      <c r="FA239" s="1"/>
      <c r="FB239" s="1"/>
      <c r="FC239" s="1"/>
      <c r="FD239" s="1"/>
      <c r="FE239" s="1"/>
      <c r="FF239" s="1"/>
      <c r="FG239" s="1"/>
      <c r="FH239" s="1"/>
      <c r="FI239" s="1"/>
      <c r="FJ239" s="1"/>
      <c r="FK239" s="1"/>
      <c r="FL239" s="1"/>
      <c r="FM239" s="1"/>
      <c r="FN239" s="1"/>
      <c r="FO239" s="1"/>
      <c r="FP239" s="1"/>
      <c r="FQ239" s="1"/>
      <c r="FR239" s="1"/>
      <c r="FS239" s="1"/>
      <c r="FT239" s="1"/>
      <c r="FU239" s="1"/>
      <c r="FV239" s="1"/>
      <c r="FW239" s="1"/>
      <c r="FX239" s="1"/>
      <c r="FY239" s="1"/>
      <c r="FZ239" s="1"/>
      <c r="GA239" s="1"/>
      <c r="GB239" s="1"/>
      <c r="GC239" s="1"/>
      <c r="GD239" s="1"/>
      <c r="GE239" s="1"/>
      <c r="GF239" s="1"/>
      <c r="GG239" s="1"/>
      <c r="GH239" s="1"/>
      <c r="GI239" s="1"/>
      <c r="GJ239" s="1"/>
      <c r="GK239" s="1"/>
      <c r="GL239" s="1"/>
      <c r="GM239" s="1"/>
      <c r="GN239" s="1"/>
      <c r="GO239" s="1"/>
      <c r="GP239" s="1"/>
      <c r="GQ239" s="1"/>
      <c r="GR239" s="1"/>
      <c r="GS239" s="1"/>
      <c r="GT239" s="1"/>
      <c r="GU239" s="1"/>
      <c r="GV239" s="1"/>
      <c r="GW239" s="1"/>
      <c r="GX239" s="1"/>
      <c r="GY239" s="1"/>
      <c r="GZ239" s="1"/>
      <c r="HA239" s="1"/>
      <c r="HB239" s="1"/>
      <c r="HC239" s="1"/>
      <c r="HD239" s="1"/>
      <c r="HE239" s="1"/>
      <c r="HF239" s="1"/>
      <c r="HG239" s="1"/>
      <c r="HH239" s="1"/>
      <c r="HI239" s="1"/>
      <c r="HJ239" s="1"/>
      <c r="HK239" s="1"/>
      <c r="HL239" s="1"/>
      <c r="HM239" s="1"/>
      <c r="HN239" s="1"/>
      <c r="HO239" s="1"/>
      <c r="HP239" s="1"/>
      <c r="HQ239" s="1"/>
      <c r="HR239" s="1"/>
      <c r="HS239" s="1"/>
      <c r="HT239" s="1"/>
      <c r="HU239" s="1"/>
      <c r="HV239" s="1"/>
      <c r="HW239" s="1"/>
      <c r="HX239" s="1"/>
      <c r="HY239" s="1"/>
      <c r="HZ239" s="1"/>
      <c r="IA239" s="1"/>
      <c r="IB239" s="1"/>
      <c r="IC239" s="1"/>
      <c r="ID239" s="1"/>
      <c r="IE239" s="1"/>
      <c r="IF239" s="1"/>
      <c r="IG239" s="1"/>
      <c r="IH239" s="1"/>
      <c r="II239" s="1"/>
      <c r="IJ239" s="1"/>
      <c r="IK239" s="1"/>
      <c r="IL239" s="1"/>
      <c r="IM239" s="1"/>
      <c r="IN239" s="1"/>
      <c r="IO239" s="1"/>
      <c r="IP239" s="1"/>
      <c r="IQ239" s="1"/>
      <c r="IR239" s="1"/>
      <c r="IS239" s="1"/>
      <c r="IT239" s="1"/>
      <c r="IU239" s="1"/>
      <c r="IV239" s="1"/>
      <c r="IW239" s="1"/>
      <c r="IX239" s="1"/>
      <c r="IY239" s="1"/>
      <c r="IZ239" s="1"/>
      <c r="JA239" s="1"/>
      <c r="JB239" s="1"/>
      <c r="JC239" s="1"/>
      <c r="JD239" s="1"/>
      <c r="JE239" s="1"/>
      <c r="JF239" s="1"/>
      <c r="JG239" s="1"/>
      <c r="JH239" s="1"/>
      <c r="JI239" s="1"/>
      <c r="JJ239" s="1"/>
      <c r="JK239" s="1"/>
      <c r="JL239" s="1"/>
      <c r="JM239" s="1"/>
      <c r="JN239" s="1"/>
      <c r="JO239" s="1"/>
      <c r="JP239" s="1"/>
      <c r="JQ239" s="1"/>
      <c r="JR239" s="1"/>
      <c r="JS239" s="1"/>
      <c r="JT239" s="1"/>
      <c r="JU239" s="1"/>
      <c r="JV239" s="1"/>
      <c r="JW239" s="1"/>
      <c r="JX239" s="1"/>
      <c r="JY239" s="1"/>
      <c r="JZ239" s="1"/>
      <c r="KA239" s="1"/>
      <c r="KB239" s="1"/>
      <c r="KC239" s="1"/>
      <c r="KD239" s="1"/>
      <c r="KE239" s="1"/>
      <c r="KF239" s="1"/>
      <c r="KG239" s="1"/>
      <c r="KH239" s="1"/>
      <c r="KI239" s="1"/>
      <c r="KJ239" s="1"/>
      <c r="KK239" s="1"/>
      <c r="KL239" s="1"/>
      <c r="KM239" s="1"/>
      <c r="KN239" s="1"/>
      <c r="KO239" s="1"/>
      <c r="KP239" s="1"/>
      <c r="KQ239" s="1"/>
      <c r="KR239" s="1"/>
      <c r="KS239" s="1"/>
      <c r="KT239" s="1"/>
      <c r="KU239" s="1"/>
      <c r="KV239" s="1"/>
      <c r="KW239" s="1"/>
      <c r="KX239" s="1"/>
      <c r="KY239" s="1"/>
      <c r="KZ239" s="1"/>
      <c r="LA239" s="1"/>
      <c r="LB239" s="1"/>
      <c r="LC239" s="1"/>
      <c r="LD239" s="1"/>
      <c r="LE239" s="1"/>
      <c r="LF239" s="1"/>
      <c r="LG239" s="1"/>
      <c r="LH239" s="1"/>
      <c r="LI239" s="1"/>
      <c r="LJ239" s="1"/>
      <c r="LK239" s="1"/>
      <c r="LL239" s="1"/>
      <c r="LM239" s="1"/>
      <c r="LN239" s="1"/>
      <c r="LO239" s="1"/>
      <c r="LP239" s="1"/>
      <c r="LQ239" s="1"/>
      <c r="LR239" s="1"/>
      <c r="LS239" s="1"/>
    </row>
    <row r="240" spans="1:331" s="3" customFormat="1" x14ac:dyDescent="0.25">
      <c r="A240" s="3" t="s">
        <v>887</v>
      </c>
      <c r="B240" s="5" t="s">
        <v>888</v>
      </c>
      <c r="C240" s="94" t="s">
        <v>1650</v>
      </c>
      <c r="D240" s="3">
        <v>0</v>
      </c>
      <c r="H240" s="3" t="s">
        <v>874</v>
      </c>
      <c r="I240" s="3" t="s">
        <v>889</v>
      </c>
      <c r="J240" s="3" t="s">
        <v>874</v>
      </c>
      <c r="K240" s="3" t="s">
        <v>889</v>
      </c>
      <c r="L240" s="3">
        <v>1</v>
      </c>
      <c r="M240" s="3" t="s">
        <v>890</v>
      </c>
      <c r="O240" s="3">
        <v>1</v>
      </c>
      <c r="P240" s="3" t="s">
        <v>891</v>
      </c>
      <c r="Q240" s="96" t="s">
        <v>1582</v>
      </c>
      <c r="R240" s="96"/>
      <c r="S240" s="3">
        <v>15.5</v>
      </c>
      <c r="U240" s="3">
        <v>16</v>
      </c>
      <c r="W240" s="96">
        <v>16</v>
      </c>
      <c r="X240" s="96"/>
      <c r="Y240" s="96"/>
      <c r="Z240" s="3">
        <v>1</v>
      </c>
      <c r="AA240" s="94" t="b">
        <v>1</v>
      </c>
      <c r="AB240" s="1"/>
      <c r="AC240" s="57" t="s">
        <v>1372</v>
      </c>
      <c r="AD240" s="1"/>
      <c r="AE240" t="s">
        <v>1877</v>
      </c>
      <c r="AF240" s="1"/>
      <c r="AG240" s="1"/>
      <c r="AH240" s="1"/>
      <c r="AI240" s="1"/>
      <c r="AJ240" s="1"/>
      <c r="AK240" s="1"/>
      <c r="AL240" s="1"/>
      <c r="AM240" s="1"/>
      <c r="AN240" s="1"/>
      <c r="AO240" s="1"/>
      <c r="AP240" s="1"/>
      <c r="AQ240" s="1"/>
      <c r="AR240" s="1"/>
      <c r="AS240" s="1"/>
      <c r="AT240" s="1"/>
      <c r="AU240" s="1"/>
      <c r="AV240" s="1"/>
      <c r="AW240" s="1"/>
      <c r="AX240" s="1"/>
      <c r="AY240" s="1"/>
      <c r="AZ240" s="1"/>
      <c r="BA240" s="1"/>
      <c r="BB240" s="1"/>
      <c r="BC240" s="1"/>
      <c r="BD240" s="1"/>
      <c r="BE240" s="1"/>
      <c r="BF240" s="1"/>
      <c r="BG240" s="1"/>
      <c r="BH240" s="1"/>
      <c r="BI240" s="1"/>
      <c r="BJ240" s="1"/>
      <c r="BK240" s="1"/>
      <c r="BL240" s="1"/>
      <c r="BM240" s="1"/>
      <c r="BN240" s="1"/>
      <c r="BO240" s="1"/>
      <c r="BP240" s="1"/>
      <c r="BQ240" s="1"/>
      <c r="BR240" s="1"/>
      <c r="BS240" s="1"/>
      <c r="BT240" s="1"/>
      <c r="BU240" s="1"/>
      <c r="BV240" s="1"/>
      <c r="BW240" s="1"/>
      <c r="BX240" s="1"/>
      <c r="BY240" s="1"/>
      <c r="BZ240" s="1"/>
      <c r="CA240" s="1"/>
      <c r="CB240" s="1"/>
      <c r="CC240" s="1"/>
      <c r="CD240" s="1"/>
      <c r="CE240" s="1"/>
      <c r="CF240" s="1"/>
      <c r="CG240" s="1"/>
      <c r="CH240" s="1"/>
      <c r="CI240" s="1"/>
      <c r="CJ240" s="1"/>
      <c r="CK240" s="1"/>
      <c r="CL240" s="1"/>
      <c r="CM240" s="1"/>
      <c r="CN240" s="1"/>
      <c r="CO240" s="1"/>
      <c r="CP240" s="1"/>
      <c r="CQ240" s="1"/>
      <c r="CR240" s="1"/>
      <c r="CS240" s="1"/>
      <c r="CT240" s="1"/>
      <c r="CU240" s="1"/>
      <c r="CV240" s="1"/>
      <c r="CW240" s="1"/>
      <c r="CX240" s="1"/>
      <c r="CY240" s="1"/>
      <c r="CZ240" s="1"/>
      <c r="DA240" s="1"/>
      <c r="DB240" s="1"/>
      <c r="DC240" s="1"/>
      <c r="DD240" s="1"/>
      <c r="DE240" s="1"/>
      <c r="DF240" s="1"/>
      <c r="DG240" s="1"/>
      <c r="DH240" s="1"/>
      <c r="DI240" s="1"/>
      <c r="DJ240" s="1"/>
      <c r="DK240" s="1"/>
      <c r="DL240" s="1"/>
      <c r="DM240" s="1"/>
      <c r="DN240" s="1"/>
      <c r="DO240" s="1"/>
      <c r="DP240" s="1"/>
      <c r="DQ240" s="1"/>
      <c r="DR240" s="1"/>
      <c r="DS240" s="1"/>
      <c r="DT240" s="1"/>
      <c r="DU240" s="1"/>
      <c r="DV240" s="1"/>
      <c r="DW240" s="1"/>
      <c r="DX240" s="1"/>
      <c r="DY240" s="1"/>
      <c r="DZ240" s="1"/>
      <c r="EA240" s="1"/>
      <c r="EB240" s="1"/>
      <c r="EC240" s="1"/>
      <c r="ED240" s="1"/>
      <c r="EE240" s="1"/>
      <c r="EF240" s="1"/>
      <c r="EG240" s="1"/>
      <c r="EH240" s="1"/>
      <c r="EI240" s="1"/>
      <c r="EJ240" s="1"/>
      <c r="EK240" s="1"/>
      <c r="EL240" s="1"/>
      <c r="EM240" s="1"/>
      <c r="EN240" s="1"/>
      <c r="EO240" s="1"/>
      <c r="EP240" s="1"/>
      <c r="EQ240" s="1"/>
      <c r="ER240" s="1"/>
      <c r="ES240" s="1"/>
      <c r="ET240" s="1"/>
      <c r="EU240" s="1"/>
      <c r="EV240" s="1"/>
      <c r="EW240" s="1"/>
      <c r="EX240" s="1"/>
      <c r="EY240" s="1"/>
      <c r="EZ240" s="1"/>
      <c r="FA240" s="1"/>
      <c r="FB240" s="1"/>
      <c r="FC240" s="1"/>
      <c r="FD240" s="1"/>
      <c r="FE240" s="1"/>
      <c r="FF240" s="1"/>
      <c r="FG240" s="1"/>
      <c r="FH240" s="1"/>
      <c r="FI240" s="1"/>
      <c r="FJ240" s="1"/>
      <c r="FK240" s="1"/>
      <c r="FL240" s="1"/>
      <c r="FM240" s="1"/>
      <c r="FN240" s="1"/>
      <c r="FO240" s="1"/>
      <c r="FP240" s="1"/>
      <c r="FQ240" s="1"/>
      <c r="FR240" s="1"/>
      <c r="FS240" s="1"/>
      <c r="FT240" s="1"/>
      <c r="FU240" s="1"/>
      <c r="FV240" s="1"/>
      <c r="FW240" s="1"/>
      <c r="FX240" s="1"/>
      <c r="FY240" s="1"/>
      <c r="FZ240" s="1"/>
      <c r="GA240" s="1"/>
      <c r="GB240" s="1"/>
      <c r="GC240" s="1"/>
      <c r="GD240" s="1"/>
      <c r="GE240" s="1"/>
      <c r="GF240" s="1"/>
      <c r="GG240" s="1"/>
      <c r="GH240" s="1"/>
      <c r="GI240" s="1"/>
      <c r="GJ240" s="1"/>
      <c r="GK240" s="1"/>
      <c r="GL240" s="1"/>
      <c r="GM240" s="1"/>
      <c r="GN240" s="1"/>
      <c r="GO240" s="1"/>
      <c r="GP240" s="1"/>
      <c r="GQ240" s="1"/>
      <c r="GR240" s="1"/>
      <c r="GS240" s="1"/>
      <c r="GT240" s="1"/>
      <c r="GU240" s="1"/>
      <c r="GV240" s="1"/>
      <c r="GW240" s="1"/>
      <c r="GX240" s="1"/>
      <c r="GY240" s="1"/>
      <c r="GZ240" s="1"/>
      <c r="HA240" s="1"/>
      <c r="HB240" s="1"/>
      <c r="HC240" s="1"/>
      <c r="HD240" s="1"/>
      <c r="HE240" s="1"/>
      <c r="HF240" s="1"/>
      <c r="HG240" s="1"/>
      <c r="HH240" s="1"/>
      <c r="HI240" s="1"/>
      <c r="HJ240" s="1"/>
      <c r="HK240" s="1"/>
      <c r="HL240" s="1"/>
      <c r="HM240" s="1"/>
      <c r="HN240" s="1"/>
      <c r="HO240" s="1"/>
      <c r="HP240" s="1"/>
      <c r="HQ240" s="1"/>
      <c r="HR240" s="1"/>
      <c r="HS240" s="1"/>
      <c r="HT240" s="1"/>
      <c r="HU240" s="1"/>
      <c r="HV240" s="1"/>
      <c r="HW240" s="1"/>
      <c r="HX240" s="1"/>
      <c r="HY240" s="1"/>
      <c r="HZ240" s="1"/>
      <c r="IA240" s="1"/>
      <c r="IB240" s="1"/>
      <c r="IC240" s="1"/>
      <c r="ID240" s="1"/>
      <c r="IE240" s="1"/>
      <c r="IF240" s="1"/>
      <c r="IG240" s="1"/>
      <c r="IH240" s="1"/>
      <c r="II240" s="1"/>
      <c r="IJ240" s="1"/>
      <c r="IK240" s="1"/>
      <c r="IL240" s="1"/>
      <c r="IM240" s="1"/>
      <c r="IN240" s="1"/>
      <c r="IO240" s="1"/>
      <c r="IP240" s="1"/>
      <c r="IQ240" s="1"/>
      <c r="IR240" s="1"/>
      <c r="IS240" s="1"/>
      <c r="IT240" s="1"/>
      <c r="IU240" s="1"/>
      <c r="IV240" s="1"/>
      <c r="IW240" s="1"/>
      <c r="IX240" s="1"/>
      <c r="IY240" s="1"/>
      <c r="IZ240" s="1"/>
      <c r="JA240" s="1"/>
      <c r="JB240" s="1"/>
      <c r="JC240" s="1"/>
      <c r="JD240" s="1"/>
      <c r="JE240" s="1"/>
      <c r="JF240" s="1"/>
      <c r="JG240" s="1"/>
      <c r="JH240" s="1"/>
      <c r="JI240" s="1"/>
      <c r="JJ240" s="1"/>
      <c r="JK240" s="1"/>
      <c r="JL240" s="1"/>
      <c r="JM240" s="1"/>
      <c r="JN240" s="1"/>
      <c r="JO240" s="1"/>
      <c r="JP240" s="1"/>
      <c r="JQ240" s="1"/>
      <c r="JR240" s="1"/>
      <c r="JS240" s="1"/>
      <c r="JT240" s="1"/>
      <c r="JU240" s="1"/>
      <c r="JV240" s="1"/>
      <c r="JW240" s="1"/>
      <c r="JX240" s="1"/>
      <c r="JY240" s="1"/>
      <c r="JZ240" s="1"/>
      <c r="KA240" s="1"/>
      <c r="KB240" s="1"/>
      <c r="KC240" s="1"/>
      <c r="KD240" s="1"/>
      <c r="KE240" s="1"/>
      <c r="KF240" s="1"/>
      <c r="KG240" s="1"/>
      <c r="KH240" s="1"/>
      <c r="KI240" s="1"/>
      <c r="KJ240" s="1"/>
      <c r="KK240" s="1"/>
      <c r="KL240" s="1"/>
      <c r="KM240" s="1"/>
      <c r="KN240" s="1"/>
      <c r="KO240" s="1"/>
      <c r="KP240" s="1"/>
      <c r="KQ240" s="1"/>
      <c r="KR240" s="1"/>
      <c r="KS240" s="1"/>
      <c r="KT240" s="1"/>
      <c r="KU240" s="1"/>
      <c r="KV240" s="1"/>
      <c r="KW240" s="1"/>
      <c r="KX240" s="1"/>
      <c r="KY240" s="1"/>
      <c r="KZ240" s="1"/>
      <c r="LA240" s="1"/>
      <c r="LB240" s="1"/>
      <c r="LC240" s="1"/>
      <c r="LD240" s="1"/>
      <c r="LE240" s="1"/>
      <c r="LF240" s="1"/>
      <c r="LG240" s="1"/>
      <c r="LH240" s="1"/>
      <c r="LI240" s="1"/>
      <c r="LJ240" s="1"/>
      <c r="LK240" s="1"/>
      <c r="LL240" s="1"/>
      <c r="LM240" s="1"/>
      <c r="LN240" s="1"/>
      <c r="LO240" s="1"/>
      <c r="LP240" s="1"/>
      <c r="LQ240" s="1"/>
      <c r="LR240" s="1"/>
      <c r="LS240" s="1"/>
    </row>
    <row r="241" spans="1:331" s="40" customFormat="1" x14ac:dyDescent="0.25">
      <c r="A241" s="40" t="s">
        <v>892</v>
      </c>
      <c r="B241" s="44" t="s">
        <v>893</v>
      </c>
      <c r="C241" s="94" t="s">
        <v>1650</v>
      </c>
      <c r="D241" s="40">
        <v>0</v>
      </c>
      <c r="H241" s="40" t="s">
        <v>894</v>
      </c>
      <c r="I241" s="40" t="s">
        <v>889</v>
      </c>
      <c r="J241" s="44" t="s">
        <v>894</v>
      </c>
      <c r="K241" s="77" t="s">
        <v>889</v>
      </c>
      <c r="L241" s="40">
        <v>0</v>
      </c>
      <c r="O241" s="40">
        <v>1</v>
      </c>
      <c r="P241" s="40" t="s">
        <v>891</v>
      </c>
      <c r="Q241" s="94" t="s">
        <v>1996</v>
      </c>
      <c r="R241" s="96"/>
      <c r="S241" s="40">
        <v>5</v>
      </c>
      <c r="U241" s="40">
        <v>7</v>
      </c>
      <c r="W241" s="96">
        <v>5</v>
      </c>
      <c r="X241" s="96"/>
      <c r="Y241" s="96"/>
      <c r="Z241" s="40">
        <v>8</v>
      </c>
      <c r="AA241" s="94" t="b">
        <v>1</v>
      </c>
      <c r="AB241" s="1" t="s">
        <v>1894</v>
      </c>
      <c r="AC241" s="57" t="s">
        <v>1997</v>
      </c>
      <c r="AD241" s="1"/>
      <c r="AE241" t="s">
        <v>1878</v>
      </c>
      <c r="AF241" s="1"/>
      <c r="AG241" s="1"/>
      <c r="AH241" s="1"/>
      <c r="AI241" s="1"/>
      <c r="AJ241" s="1"/>
      <c r="AK241" s="1"/>
      <c r="AL241" s="1"/>
      <c r="AM241" s="1"/>
      <c r="AN241" s="1"/>
      <c r="AO241" s="1"/>
      <c r="AP241" s="1"/>
      <c r="AQ241" s="1"/>
      <c r="AR241" s="1"/>
      <c r="AS241" s="1"/>
      <c r="AT241" s="1"/>
      <c r="AU241" s="1"/>
      <c r="AV241" s="1"/>
      <c r="AW241" s="1"/>
      <c r="AX241" s="1"/>
      <c r="AY241" s="1"/>
      <c r="AZ241" s="1"/>
      <c r="BA241" s="1"/>
      <c r="BB241" s="1"/>
      <c r="BC241" s="1"/>
      <c r="BD241" s="1"/>
      <c r="BE241" s="1"/>
      <c r="BF241" s="1"/>
      <c r="BG241" s="1"/>
      <c r="BH241" s="1"/>
      <c r="BI241" s="1"/>
      <c r="BJ241" s="1"/>
      <c r="BK241" s="1"/>
      <c r="BL241" s="1"/>
      <c r="BM241" s="1"/>
      <c r="BN241" s="1"/>
      <c r="BO241" s="1"/>
      <c r="BP241" s="1"/>
      <c r="BQ241" s="1"/>
      <c r="BR241" s="1"/>
      <c r="BS241" s="1"/>
      <c r="BT241" s="1"/>
      <c r="BU241" s="1"/>
      <c r="BV241" s="1"/>
      <c r="BW241" s="1"/>
      <c r="BX241" s="1"/>
      <c r="BY241" s="1"/>
      <c r="BZ241" s="1"/>
      <c r="CA241" s="1"/>
      <c r="CB241" s="1"/>
      <c r="CC241" s="1"/>
      <c r="CD241" s="1"/>
      <c r="CE241" s="1"/>
      <c r="CF241" s="1"/>
      <c r="CG241" s="1"/>
      <c r="CH241" s="1"/>
      <c r="CI241" s="1"/>
      <c r="CJ241" s="1"/>
      <c r="CK241" s="1"/>
      <c r="CL241" s="1"/>
      <c r="CM241" s="1"/>
      <c r="CN241" s="1"/>
      <c r="CO241" s="1"/>
      <c r="CP241" s="1"/>
      <c r="CQ241" s="1"/>
      <c r="CR241" s="1"/>
      <c r="CS241" s="1"/>
      <c r="CT241" s="1"/>
      <c r="CU241" s="1"/>
      <c r="CV241" s="1"/>
      <c r="CW241" s="1"/>
      <c r="CX241" s="1"/>
      <c r="CY241" s="1"/>
      <c r="CZ241" s="1"/>
      <c r="DA241" s="1"/>
      <c r="DB241" s="1"/>
      <c r="DC241" s="1"/>
      <c r="DD241" s="1"/>
      <c r="DE241" s="1"/>
      <c r="DF241" s="1"/>
      <c r="DG241" s="1"/>
      <c r="DH241" s="1"/>
      <c r="DI241" s="1"/>
      <c r="DJ241" s="1"/>
      <c r="DK241" s="1"/>
      <c r="DL241" s="1"/>
      <c r="DM241" s="1"/>
      <c r="DN241" s="1"/>
      <c r="DO241" s="1"/>
      <c r="DP241" s="1"/>
      <c r="DQ241" s="1"/>
      <c r="DR241" s="1"/>
      <c r="DS241" s="1"/>
      <c r="DT241" s="1"/>
      <c r="DU241" s="1"/>
      <c r="DV241" s="1"/>
      <c r="DW241" s="1"/>
      <c r="DX241" s="1"/>
      <c r="DY241" s="1"/>
      <c r="DZ241" s="1"/>
      <c r="EA241" s="1"/>
      <c r="EB241" s="1"/>
      <c r="EC241" s="1"/>
      <c r="ED241" s="1"/>
      <c r="EE241" s="1"/>
      <c r="EF241" s="1"/>
      <c r="EG241" s="1"/>
      <c r="EH241" s="1"/>
      <c r="EI241" s="1"/>
      <c r="EJ241" s="1"/>
      <c r="EK241" s="1"/>
      <c r="EL241" s="1"/>
      <c r="EM241" s="1"/>
      <c r="EN241" s="1"/>
      <c r="EO241" s="1"/>
      <c r="EP241" s="1"/>
      <c r="EQ241" s="1"/>
      <c r="ER241" s="1"/>
      <c r="ES241" s="1"/>
      <c r="ET241" s="1"/>
      <c r="EU241" s="1"/>
      <c r="EV241" s="1"/>
      <c r="EW241" s="1"/>
      <c r="EX241" s="1"/>
      <c r="EY241" s="1"/>
      <c r="EZ241" s="1"/>
      <c r="FA241" s="1"/>
      <c r="FB241" s="1"/>
      <c r="FC241" s="1"/>
      <c r="FD241" s="1"/>
      <c r="FE241" s="1"/>
      <c r="FF241" s="1"/>
      <c r="FG241" s="1"/>
      <c r="FH241" s="1"/>
      <c r="FI241" s="1"/>
      <c r="FJ241" s="1"/>
      <c r="FK241" s="1"/>
      <c r="FL241" s="1"/>
      <c r="FM241" s="1"/>
      <c r="FN241" s="1"/>
      <c r="FO241" s="1"/>
      <c r="FP241" s="1"/>
      <c r="FQ241" s="1"/>
      <c r="FR241" s="1"/>
      <c r="FS241" s="1"/>
      <c r="FT241" s="1"/>
      <c r="FU241" s="1"/>
      <c r="FV241" s="1"/>
      <c r="FW241" s="1"/>
      <c r="FX241" s="1"/>
      <c r="FY241" s="1"/>
      <c r="FZ241" s="1"/>
      <c r="GA241" s="1"/>
      <c r="GB241" s="1"/>
      <c r="GC241" s="1"/>
      <c r="GD241" s="1"/>
      <c r="GE241" s="1"/>
      <c r="GF241" s="1"/>
      <c r="GG241" s="1"/>
      <c r="GH241" s="1"/>
      <c r="GI241" s="1"/>
      <c r="GJ241" s="1"/>
      <c r="GK241" s="1"/>
      <c r="GL241" s="1"/>
      <c r="GM241" s="1"/>
      <c r="GN241" s="1"/>
      <c r="GO241" s="1"/>
      <c r="GP241" s="1"/>
      <c r="GQ241" s="1"/>
      <c r="GR241" s="1"/>
      <c r="GS241" s="1"/>
      <c r="GT241" s="1"/>
      <c r="GU241" s="1"/>
      <c r="GV241" s="1"/>
      <c r="GW241" s="1"/>
      <c r="GX241" s="1"/>
      <c r="GY241" s="1"/>
      <c r="GZ241" s="1"/>
      <c r="HA241" s="1"/>
      <c r="HB241" s="1"/>
      <c r="HC241" s="1"/>
      <c r="HD241" s="1"/>
      <c r="HE241" s="1"/>
      <c r="HF241" s="1"/>
      <c r="HG241" s="1"/>
      <c r="HH241" s="1"/>
      <c r="HI241" s="1"/>
      <c r="HJ241" s="1"/>
      <c r="HK241" s="1"/>
      <c r="HL241" s="1"/>
      <c r="HM241" s="1"/>
      <c r="HN241" s="1"/>
      <c r="HO241" s="1"/>
      <c r="HP241" s="1"/>
      <c r="HQ241" s="1"/>
      <c r="HR241" s="1"/>
      <c r="HS241" s="1"/>
      <c r="HT241" s="1"/>
      <c r="HU241" s="1"/>
      <c r="HV241" s="1"/>
      <c r="HW241" s="1"/>
      <c r="HX241" s="1"/>
      <c r="HY241" s="1"/>
      <c r="HZ241" s="1"/>
      <c r="IA241" s="1"/>
      <c r="IB241" s="1"/>
      <c r="IC241" s="1"/>
      <c r="ID241" s="1"/>
      <c r="IE241" s="1"/>
      <c r="IF241" s="1"/>
      <c r="IG241" s="1"/>
      <c r="IH241" s="1"/>
      <c r="II241" s="1"/>
      <c r="IJ241" s="1"/>
      <c r="IK241" s="1"/>
      <c r="IL241" s="1"/>
      <c r="IM241" s="1"/>
      <c r="IN241" s="1"/>
      <c r="IO241" s="1"/>
      <c r="IP241" s="1"/>
      <c r="IQ241" s="1"/>
      <c r="IR241" s="1"/>
      <c r="IS241" s="1"/>
      <c r="IT241" s="1"/>
      <c r="IU241" s="1"/>
      <c r="IV241" s="1"/>
      <c r="IW241" s="1"/>
      <c r="IX241" s="1"/>
      <c r="IY241" s="1"/>
      <c r="IZ241" s="1"/>
      <c r="JA241" s="1"/>
      <c r="JB241" s="1"/>
      <c r="JC241" s="1"/>
      <c r="JD241" s="1"/>
      <c r="JE241" s="1"/>
      <c r="JF241" s="1"/>
      <c r="JG241" s="1"/>
      <c r="JH241" s="1"/>
      <c r="JI241" s="1"/>
      <c r="JJ241" s="1"/>
      <c r="JK241" s="1"/>
      <c r="JL241" s="1"/>
      <c r="JM241" s="1"/>
      <c r="JN241" s="1"/>
      <c r="JO241" s="1"/>
      <c r="JP241" s="1"/>
      <c r="JQ241" s="1"/>
      <c r="JR241" s="1"/>
      <c r="JS241" s="1"/>
      <c r="JT241" s="1"/>
      <c r="JU241" s="1"/>
      <c r="JV241" s="1"/>
      <c r="JW241" s="1"/>
      <c r="JX241" s="1"/>
      <c r="JY241" s="1"/>
      <c r="JZ241" s="1"/>
      <c r="KA241" s="1"/>
      <c r="KB241" s="1"/>
      <c r="KC241" s="1"/>
      <c r="KD241" s="1"/>
      <c r="KE241" s="1"/>
      <c r="KF241" s="1"/>
      <c r="KG241" s="1"/>
      <c r="KH241" s="1"/>
      <c r="KI241" s="1"/>
      <c r="KJ241" s="1"/>
      <c r="KK241" s="1"/>
      <c r="KL241" s="1"/>
      <c r="KM241" s="1"/>
      <c r="KN241" s="1"/>
      <c r="KO241" s="1"/>
      <c r="KP241" s="1"/>
      <c r="KQ241" s="1"/>
      <c r="KR241" s="1"/>
      <c r="KS241" s="1"/>
      <c r="KT241" s="1"/>
      <c r="KU241" s="1"/>
      <c r="KV241" s="1"/>
      <c r="KW241" s="1"/>
      <c r="KX241" s="1"/>
      <c r="KY241" s="1"/>
      <c r="KZ241" s="1"/>
      <c r="LA241" s="1"/>
      <c r="LB241" s="1"/>
      <c r="LC241" s="1"/>
      <c r="LD241" s="1"/>
      <c r="LE241" s="1"/>
      <c r="LF241" s="1"/>
      <c r="LG241" s="1"/>
      <c r="LH241" s="1"/>
      <c r="LI241" s="1"/>
      <c r="LJ241" s="1"/>
      <c r="LK241" s="1"/>
      <c r="LL241" s="1"/>
      <c r="LM241" s="1"/>
      <c r="LN241" s="1"/>
      <c r="LO241" s="1"/>
      <c r="LP241" s="1"/>
      <c r="LQ241" s="1"/>
      <c r="LR241" s="1"/>
      <c r="LS241" s="1"/>
    </row>
    <row r="242" spans="1:331" s="72" customFormat="1" x14ac:dyDescent="0.25">
      <c r="A242" s="72" t="s">
        <v>895</v>
      </c>
      <c r="B242" s="75" t="s">
        <v>896</v>
      </c>
      <c r="C242" s="94" t="s">
        <v>1650</v>
      </c>
      <c r="D242" s="72">
        <v>0</v>
      </c>
      <c r="H242" s="72" t="s">
        <v>897</v>
      </c>
      <c r="I242" s="72" t="s">
        <v>898</v>
      </c>
      <c r="J242" s="72" t="s">
        <v>897</v>
      </c>
      <c r="K242" s="72" t="s">
        <v>898</v>
      </c>
      <c r="L242" s="72">
        <v>0</v>
      </c>
      <c r="O242" s="72">
        <v>1</v>
      </c>
      <c r="P242" s="72" t="s">
        <v>543</v>
      </c>
      <c r="Q242" s="96"/>
      <c r="R242" s="96" t="s">
        <v>899</v>
      </c>
      <c r="S242" s="72">
        <v>7.7</v>
      </c>
      <c r="T242" s="72">
        <v>7</v>
      </c>
      <c r="V242" s="72">
        <v>8</v>
      </c>
      <c r="W242" s="96">
        <v>8</v>
      </c>
      <c r="X242" s="96"/>
      <c r="Y242" s="96"/>
      <c r="Z242" s="72">
        <v>14</v>
      </c>
      <c r="AA242" s="94" t="b">
        <v>1</v>
      </c>
      <c r="AB242" s="1"/>
      <c r="AC242" s="57" t="s">
        <v>1431</v>
      </c>
      <c r="AD242" s="1"/>
      <c r="AE242" t="s">
        <v>1879</v>
      </c>
      <c r="AF242" s="1"/>
      <c r="AG242" s="1"/>
      <c r="AH242" s="1"/>
      <c r="AI242" s="1"/>
      <c r="AJ242" s="1"/>
      <c r="AK242" s="1"/>
      <c r="AL242" s="1"/>
      <c r="AM242" s="1"/>
      <c r="AN242" s="1"/>
      <c r="AO242" s="1"/>
      <c r="AP242" s="1"/>
      <c r="AQ242" s="1"/>
      <c r="AR242" s="1"/>
      <c r="AS242" s="1"/>
      <c r="AT242" s="1"/>
      <c r="AU242" s="1"/>
      <c r="AV242" s="1"/>
      <c r="AW242" s="1"/>
      <c r="AX242" s="1"/>
      <c r="AY242" s="1"/>
      <c r="AZ242" s="1"/>
      <c r="BA242" s="1"/>
      <c r="BB242" s="1"/>
      <c r="BC242" s="1"/>
      <c r="BD242" s="1"/>
      <c r="BE242" s="1"/>
      <c r="BF242" s="1"/>
      <c r="BG242" s="1"/>
      <c r="BH242" s="1"/>
      <c r="BI242" s="1"/>
      <c r="BJ242" s="1"/>
      <c r="BK242" s="1"/>
      <c r="BL242" s="1"/>
      <c r="BM242" s="1"/>
      <c r="BN242" s="1"/>
      <c r="BO242" s="1"/>
      <c r="BP242" s="1"/>
      <c r="BQ242" s="1"/>
      <c r="BR242" s="1"/>
      <c r="BS242" s="1"/>
      <c r="BT242" s="1"/>
      <c r="BU242" s="1"/>
      <c r="BV242" s="1"/>
    </row>
    <row r="243" spans="1:331" s="3" customFormat="1" x14ac:dyDescent="0.25">
      <c r="A243" s="3" t="s">
        <v>900</v>
      </c>
      <c r="B243" s="5" t="s">
        <v>901</v>
      </c>
      <c r="C243" s="94" t="s">
        <v>1650</v>
      </c>
      <c r="D243" s="3">
        <v>0</v>
      </c>
      <c r="H243" s="3" t="s">
        <v>902</v>
      </c>
      <c r="I243" s="3" t="s">
        <v>252</v>
      </c>
      <c r="J243" s="3" t="s">
        <v>902</v>
      </c>
      <c r="K243" s="3" t="s">
        <v>252</v>
      </c>
      <c r="L243" s="3">
        <v>1</v>
      </c>
      <c r="M243" s="3" t="s">
        <v>206</v>
      </c>
      <c r="O243" s="3">
        <v>1</v>
      </c>
      <c r="P243" s="3" t="s">
        <v>903</v>
      </c>
      <c r="Q243" s="96" t="s">
        <v>772</v>
      </c>
      <c r="R243" s="96"/>
      <c r="S243" s="3">
        <v>13</v>
      </c>
      <c r="W243" s="96">
        <v>13</v>
      </c>
      <c r="X243" s="96"/>
      <c r="Y243" s="96"/>
      <c r="Z243" s="3">
        <v>1</v>
      </c>
      <c r="AA243" s="94" t="b">
        <v>1</v>
      </c>
      <c r="AB243" s="1"/>
      <c r="AC243" s="57" t="s">
        <v>1373</v>
      </c>
      <c r="AD243" s="1"/>
      <c r="AE243" t="s">
        <v>1880</v>
      </c>
      <c r="AF243" s="1"/>
      <c r="AG243" s="1"/>
      <c r="AH243" s="1"/>
      <c r="AI243" s="1"/>
      <c r="AJ243" s="1"/>
      <c r="AK243" s="1"/>
      <c r="AL243" s="1"/>
      <c r="AM243" s="1"/>
      <c r="AN243" s="1"/>
      <c r="AO243" s="1"/>
      <c r="AP243" s="1"/>
      <c r="AQ243" s="1"/>
      <c r="AR243" s="1"/>
      <c r="AS243" s="1"/>
      <c r="AT243" s="1"/>
      <c r="AU243" s="1"/>
      <c r="AV243" s="1"/>
      <c r="AW243" s="1"/>
      <c r="AX243" s="1"/>
      <c r="AY243" s="1"/>
      <c r="AZ243" s="1"/>
      <c r="BA243" s="1"/>
      <c r="BB243" s="1"/>
      <c r="BC243" s="1"/>
      <c r="BD243" s="1"/>
      <c r="BE243" s="1"/>
      <c r="BF243" s="1"/>
      <c r="BG243" s="1"/>
      <c r="BH243" s="1"/>
      <c r="BI243" s="1"/>
      <c r="BJ243" s="1"/>
      <c r="BK243" s="1"/>
      <c r="BL243" s="1"/>
      <c r="BM243" s="1"/>
      <c r="BN243" s="1"/>
      <c r="BO243" s="1"/>
      <c r="BP243" s="1"/>
      <c r="BQ243" s="1"/>
      <c r="BR243" s="1"/>
      <c r="BS243" s="1"/>
      <c r="BT243" s="1"/>
      <c r="BU243" s="1"/>
      <c r="BV243" s="1"/>
      <c r="BW243" s="1"/>
      <c r="BX243" s="1"/>
      <c r="BY243" s="1"/>
      <c r="BZ243" s="1"/>
      <c r="CA243" s="1"/>
      <c r="CB243" s="1"/>
      <c r="CC243" s="1"/>
      <c r="CD243" s="1"/>
      <c r="CE243" s="1"/>
      <c r="CF243" s="1"/>
      <c r="CG243" s="1"/>
      <c r="CH243" s="1"/>
      <c r="CI243" s="1"/>
      <c r="CJ243" s="1"/>
      <c r="CK243" s="1"/>
      <c r="CL243" s="1"/>
      <c r="CM243" s="1"/>
      <c r="CN243" s="1"/>
      <c r="CO243" s="1"/>
      <c r="CP243" s="1"/>
      <c r="CQ243" s="1"/>
      <c r="CR243" s="1"/>
      <c r="CS243" s="1"/>
      <c r="CT243" s="1"/>
      <c r="CU243" s="1"/>
      <c r="CV243" s="1"/>
      <c r="CW243" s="1"/>
      <c r="CX243" s="1"/>
      <c r="CY243" s="1"/>
      <c r="CZ243" s="1"/>
      <c r="DA243" s="1"/>
      <c r="DB243" s="1"/>
      <c r="DC243" s="1"/>
      <c r="DD243" s="1"/>
      <c r="DE243" s="1"/>
      <c r="DF243" s="1"/>
      <c r="DG243" s="1"/>
      <c r="DH243" s="1"/>
      <c r="DI243" s="1"/>
      <c r="DJ243" s="1"/>
      <c r="DK243" s="1"/>
      <c r="DL243" s="1"/>
      <c r="DM243" s="1"/>
      <c r="DN243" s="1"/>
      <c r="DO243" s="1"/>
      <c r="DP243" s="1"/>
      <c r="DQ243" s="1"/>
      <c r="DR243" s="1"/>
      <c r="DS243" s="1"/>
      <c r="DT243" s="1"/>
      <c r="DU243" s="1"/>
      <c r="DV243" s="1"/>
      <c r="DW243" s="1"/>
      <c r="DX243" s="1"/>
      <c r="DY243" s="1"/>
      <c r="DZ243" s="1"/>
      <c r="EA243" s="1"/>
      <c r="EB243" s="1"/>
      <c r="EC243" s="1"/>
      <c r="ED243" s="1"/>
      <c r="EE243" s="1"/>
      <c r="EF243" s="1"/>
      <c r="EG243" s="1"/>
      <c r="EH243" s="1"/>
      <c r="EI243" s="1"/>
      <c r="EJ243" s="1"/>
      <c r="EK243" s="1"/>
      <c r="EL243" s="1"/>
      <c r="EM243" s="1"/>
      <c r="EN243" s="1"/>
      <c r="EO243" s="1"/>
      <c r="EP243" s="1"/>
      <c r="EQ243" s="1"/>
      <c r="ER243" s="1"/>
      <c r="ES243" s="1"/>
      <c r="ET243" s="1"/>
      <c r="EU243" s="1"/>
      <c r="EV243" s="1"/>
      <c r="EW243" s="1"/>
      <c r="EX243" s="1"/>
      <c r="EY243" s="1"/>
      <c r="EZ243" s="1"/>
      <c r="FA243" s="1"/>
      <c r="FB243" s="1"/>
      <c r="FC243" s="1"/>
      <c r="FD243" s="1"/>
      <c r="FE243" s="1"/>
      <c r="FF243" s="1"/>
      <c r="FG243" s="1"/>
      <c r="FH243" s="1"/>
      <c r="FI243" s="1"/>
      <c r="FJ243" s="1"/>
      <c r="FK243" s="1"/>
      <c r="FL243" s="1"/>
      <c r="FM243" s="1"/>
      <c r="FN243" s="1"/>
      <c r="FO243" s="1"/>
      <c r="FP243" s="1"/>
      <c r="FQ243" s="1"/>
      <c r="FR243" s="1"/>
      <c r="FS243" s="1"/>
      <c r="FT243" s="1"/>
      <c r="FU243" s="1"/>
      <c r="FV243" s="1"/>
      <c r="FW243" s="1"/>
      <c r="FX243" s="1"/>
      <c r="FY243" s="1"/>
      <c r="FZ243" s="1"/>
      <c r="GA243" s="1"/>
      <c r="GB243" s="1"/>
      <c r="GC243" s="1"/>
      <c r="GD243" s="1"/>
      <c r="GE243" s="1"/>
      <c r="GF243" s="1"/>
      <c r="GG243" s="1"/>
      <c r="GH243" s="1"/>
      <c r="GI243" s="1"/>
      <c r="GJ243" s="1"/>
      <c r="GK243" s="1"/>
      <c r="GL243" s="1"/>
      <c r="GM243" s="1"/>
      <c r="GN243" s="1"/>
      <c r="GO243" s="1"/>
      <c r="GP243" s="1"/>
      <c r="GQ243" s="1"/>
      <c r="GR243" s="1"/>
      <c r="GS243" s="1"/>
      <c r="GT243" s="1"/>
      <c r="GU243" s="1"/>
      <c r="GV243" s="1"/>
      <c r="GW243" s="1"/>
      <c r="GX243" s="1"/>
      <c r="GY243" s="1"/>
      <c r="GZ243" s="1"/>
      <c r="HA243" s="1"/>
      <c r="HB243" s="1"/>
      <c r="HC243" s="1"/>
      <c r="HD243" s="1"/>
      <c r="HE243" s="1"/>
      <c r="HF243" s="1"/>
      <c r="HG243" s="1"/>
      <c r="HH243" s="1"/>
      <c r="HI243" s="1"/>
      <c r="HJ243" s="1"/>
      <c r="HK243" s="1"/>
      <c r="HL243" s="1"/>
      <c r="HM243" s="1"/>
      <c r="HN243" s="1"/>
      <c r="HO243" s="1"/>
      <c r="HP243" s="1"/>
      <c r="HQ243" s="1"/>
      <c r="HR243" s="1"/>
      <c r="HS243" s="1"/>
      <c r="HT243" s="1"/>
      <c r="HU243" s="1"/>
      <c r="HV243" s="1"/>
      <c r="HW243" s="1"/>
      <c r="HX243" s="1"/>
      <c r="HY243" s="1"/>
      <c r="HZ243" s="1"/>
      <c r="IA243" s="1"/>
      <c r="IB243" s="1"/>
      <c r="IC243" s="1"/>
      <c r="ID243" s="1"/>
      <c r="IE243" s="1"/>
      <c r="IF243" s="1"/>
      <c r="IG243" s="1"/>
      <c r="IH243" s="1"/>
      <c r="II243" s="1"/>
      <c r="IJ243" s="1"/>
      <c r="IK243" s="1"/>
      <c r="IL243" s="1"/>
      <c r="IM243" s="1"/>
      <c r="IN243" s="1"/>
      <c r="IO243" s="1"/>
      <c r="IP243" s="1"/>
      <c r="IQ243" s="1"/>
      <c r="IR243" s="1"/>
      <c r="IS243" s="1"/>
      <c r="IT243" s="1"/>
      <c r="IU243" s="1"/>
      <c r="IV243" s="1"/>
      <c r="IW243" s="1"/>
      <c r="IX243" s="1"/>
      <c r="IY243" s="1"/>
      <c r="IZ243" s="1"/>
      <c r="JA243" s="1"/>
      <c r="JB243" s="1"/>
      <c r="JC243" s="1"/>
      <c r="JD243" s="1"/>
      <c r="JE243" s="1"/>
      <c r="JF243" s="1"/>
      <c r="JG243" s="1"/>
      <c r="JH243" s="1"/>
      <c r="JI243" s="1"/>
      <c r="JJ243" s="1"/>
      <c r="JK243" s="1"/>
      <c r="JL243" s="1"/>
      <c r="JM243" s="1"/>
      <c r="JN243" s="1"/>
      <c r="JO243" s="1"/>
      <c r="JP243" s="1"/>
      <c r="JQ243" s="1"/>
      <c r="JR243" s="1"/>
      <c r="JS243" s="1"/>
      <c r="JT243" s="1"/>
      <c r="JU243" s="1"/>
      <c r="JV243" s="1"/>
      <c r="JW243" s="1"/>
      <c r="JX243" s="1"/>
      <c r="JY243" s="1"/>
      <c r="JZ243" s="1"/>
      <c r="KA243" s="1"/>
      <c r="KB243" s="1"/>
      <c r="KC243" s="1"/>
      <c r="KD243" s="1"/>
      <c r="KE243" s="1"/>
      <c r="KF243" s="1"/>
      <c r="KG243" s="1"/>
      <c r="KH243" s="1"/>
      <c r="KI243" s="1"/>
      <c r="KJ243" s="1"/>
      <c r="KK243" s="1"/>
      <c r="KL243" s="1"/>
      <c r="KM243" s="1"/>
      <c r="KN243" s="1"/>
      <c r="KO243" s="1"/>
      <c r="KP243" s="1"/>
      <c r="KQ243" s="1"/>
      <c r="KR243" s="1"/>
      <c r="KS243" s="1"/>
      <c r="KT243" s="1"/>
      <c r="KU243" s="1"/>
      <c r="KV243" s="1"/>
      <c r="KW243" s="1"/>
      <c r="KX243" s="1"/>
      <c r="KY243" s="1"/>
      <c r="KZ243" s="1"/>
      <c r="LA243" s="1"/>
      <c r="LB243" s="1"/>
      <c r="LC243" s="1"/>
      <c r="LD243" s="1"/>
      <c r="LE243" s="1"/>
      <c r="LF243" s="1"/>
      <c r="LG243" s="1"/>
      <c r="LH243" s="1"/>
      <c r="LI243" s="1"/>
      <c r="LJ243" s="1"/>
      <c r="LK243" s="1"/>
      <c r="LL243" s="1"/>
      <c r="LM243" s="1"/>
      <c r="LN243" s="1"/>
      <c r="LO243" s="1"/>
      <c r="LP243" s="1"/>
      <c r="LQ243" s="1"/>
      <c r="LR243" s="1"/>
      <c r="LS243" s="1"/>
    </row>
    <row r="244" spans="1:331" s="45" customFormat="1" x14ac:dyDescent="0.25">
      <c r="A244" s="45" t="s">
        <v>904</v>
      </c>
      <c r="B244" s="45" t="s">
        <v>905</v>
      </c>
      <c r="C244" s="96" t="s">
        <v>1650</v>
      </c>
      <c r="D244" s="45">
        <v>0</v>
      </c>
      <c r="H244" s="45" t="s">
        <v>906</v>
      </c>
      <c r="I244" s="45" t="s">
        <v>206</v>
      </c>
      <c r="J244" s="45" t="s">
        <v>906</v>
      </c>
      <c r="K244" s="45" t="s">
        <v>906</v>
      </c>
      <c r="L244" s="45">
        <v>0</v>
      </c>
      <c r="O244" s="45">
        <v>0</v>
      </c>
      <c r="Q244" s="96" t="s">
        <v>770</v>
      </c>
      <c r="R244" s="96"/>
      <c r="T244" s="45">
        <v>15</v>
      </c>
      <c r="V244" s="45">
        <v>15</v>
      </c>
      <c r="W244" s="96"/>
      <c r="X244" s="96"/>
      <c r="Y244" s="96"/>
      <c r="Z244" s="45">
        <v>-1</v>
      </c>
      <c r="AA244" s="94" t="b">
        <v>0</v>
      </c>
      <c r="AB244" s="1" t="s">
        <v>1893</v>
      </c>
      <c r="AC244" s="57" t="s">
        <v>1940</v>
      </c>
      <c r="AD244" s="1"/>
      <c r="AE244" t="s">
        <v>1881</v>
      </c>
      <c r="AF244" s="1"/>
      <c r="AG244" s="1"/>
      <c r="AH244" s="1"/>
      <c r="AI244" s="1"/>
      <c r="AJ244" s="1"/>
      <c r="AK244" s="1"/>
      <c r="AL244" s="1"/>
      <c r="AM244" s="1"/>
      <c r="AN244" s="1"/>
      <c r="AO244" s="1"/>
      <c r="AP244" s="1"/>
      <c r="AQ244" s="1"/>
      <c r="AR244" s="1"/>
      <c r="AS244" s="1"/>
      <c r="AT244" s="1"/>
      <c r="AU244" s="1"/>
      <c r="AV244" s="1"/>
      <c r="AW244" s="1"/>
      <c r="AX244" s="1"/>
      <c r="AY244" s="1"/>
      <c r="AZ244" s="1"/>
      <c r="BA244" s="1"/>
      <c r="BB244" s="1"/>
      <c r="BC244" s="1"/>
      <c r="BD244" s="1"/>
      <c r="BE244" s="1"/>
      <c r="BF244" s="1"/>
      <c r="BG244" s="1"/>
      <c r="BH244" s="1"/>
      <c r="BI244" s="1"/>
      <c r="BJ244" s="1"/>
      <c r="BK244" s="1"/>
      <c r="BL244" s="1"/>
      <c r="BM244" s="1"/>
      <c r="BN244" s="1"/>
      <c r="BO244" s="1"/>
      <c r="BP244" s="1"/>
      <c r="BQ244" s="1"/>
      <c r="BR244" s="1"/>
      <c r="BS244" s="1"/>
      <c r="BT244" s="1"/>
      <c r="BU244" s="1"/>
      <c r="BV244" s="1"/>
      <c r="BW244" s="1"/>
      <c r="BX244" s="1"/>
      <c r="BY244" s="1"/>
      <c r="BZ244" s="1"/>
      <c r="CA244" s="1"/>
      <c r="CB244" s="1"/>
      <c r="CC244" s="1"/>
      <c r="CD244" s="1"/>
      <c r="CE244" s="1"/>
      <c r="CF244" s="1"/>
      <c r="CG244" s="1"/>
      <c r="CH244" s="1"/>
      <c r="CI244" s="1"/>
      <c r="CJ244" s="1"/>
      <c r="CK244" s="1"/>
      <c r="CL244" s="1"/>
      <c r="CM244" s="1"/>
      <c r="CN244" s="1"/>
      <c r="CO244" s="1"/>
      <c r="CP244" s="1"/>
      <c r="CQ244" s="1"/>
      <c r="CR244" s="1"/>
      <c r="CS244" s="1"/>
      <c r="CT244" s="1"/>
      <c r="CU244" s="1"/>
      <c r="CV244" s="1"/>
      <c r="CW244" s="1"/>
      <c r="CX244" s="1"/>
      <c r="CY244" s="1"/>
      <c r="CZ244" s="1"/>
      <c r="DA244" s="1"/>
      <c r="DB244" s="1"/>
      <c r="DC244" s="1"/>
      <c r="DD244" s="1"/>
      <c r="DE244" s="1"/>
      <c r="DF244" s="1"/>
      <c r="DG244" s="1"/>
      <c r="DH244" s="1"/>
      <c r="DI244" s="1"/>
      <c r="DJ244" s="1"/>
      <c r="DK244" s="1"/>
      <c r="DL244" s="1"/>
      <c r="DM244" s="1"/>
      <c r="DN244" s="1"/>
      <c r="DO244" s="1"/>
      <c r="DP244" s="1"/>
      <c r="DQ244" s="1"/>
      <c r="DR244" s="1"/>
      <c r="DS244" s="1"/>
      <c r="DT244" s="1"/>
      <c r="DU244" s="1"/>
      <c r="DV244" s="1"/>
      <c r="DW244" s="1"/>
      <c r="DX244" s="1"/>
      <c r="DY244" s="1"/>
      <c r="DZ244" s="1"/>
      <c r="EA244" s="1"/>
      <c r="EB244" s="1"/>
      <c r="EC244" s="1"/>
      <c r="ED244" s="1"/>
      <c r="EE244" s="1"/>
      <c r="EF244" s="1"/>
      <c r="EG244" s="1"/>
      <c r="EH244" s="1"/>
      <c r="EI244" s="1"/>
      <c r="EJ244" s="1"/>
      <c r="EK244" s="1"/>
      <c r="EL244" s="1"/>
      <c r="EM244" s="1"/>
      <c r="EN244" s="1"/>
      <c r="EO244" s="1"/>
      <c r="EP244" s="1"/>
      <c r="EQ244" s="1"/>
      <c r="ER244" s="1"/>
      <c r="ES244" s="1"/>
      <c r="ET244" s="1"/>
      <c r="EU244" s="1"/>
      <c r="EV244" s="1"/>
      <c r="EW244" s="1"/>
      <c r="EX244" s="1"/>
      <c r="EY244" s="1"/>
      <c r="EZ244" s="1"/>
      <c r="FA244" s="1"/>
      <c r="FB244" s="1"/>
      <c r="FC244" s="1"/>
      <c r="FD244" s="1"/>
      <c r="FE244" s="1"/>
      <c r="FF244" s="1"/>
      <c r="FG244" s="1"/>
      <c r="FH244" s="1"/>
      <c r="FI244" s="1"/>
      <c r="FJ244" s="1"/>
      <c r="FK244" s="1"/>
      <c r="FL244" s="1"/>
      <c r="FM244" s="1"/>
      <c r="FN244" s="1"/>
      <c r="FO244" s="1"/>
      <c r="FP244" s="1"/>
      <c r="FQ244" s="1"/>
      <c r="FR244" s="1"/>
      <c r="FS244" s="1"/>
      <c r="FT244" s="1"/>
      <c r="FU244" s="1"/>
      <c r="FV244" s="1"/>
      <c r="FW244" s="1"/>
      <c r="FX244" s="1"/>
      <c r="FY244" s="1"/>
      <c r="FZ244" s="1"/>
      <c r="GA244" s="1"/>
      <c r="GB244" s="1"/>
      <c r="GC244" s="1"/>
      <c r="GD244" s="1"/>
      <c r="GE244" s="1"/>
      <c r="GF244" s="1"/>
      <c r="GG244" s="1"/>
      <c r="GH244" s="1"/>
      <c r="GI244" s="1"/>
      <c r="GJ244" s="1"/>
      <c r="GK244" s="1"/>
      <c r="GL244" s="1"/>
      <c r="GM244" s="1"/>
      <c r="GN244" s="1"/>
      <c r="GO244" s="1"/>
      <c r="GP244" s="1"/>
      <c r="GQ244" s="1"/>
      <c r="GR244" s="1"/>
      <c r="GS244" s="1"/>
      <c r="GT244" s="1"/>
      <c r="GU244" s="1"/>
      <c r="GV244" s="1"/>
      <c r="GW244" s="1"/>
      <c r="GX244" s="1"/>
      <c r="GY244" s="1"/>
      <c r="GZ244" s="1"/>
      <c r="HA244" s="1"/>
      <c r="HB244" s="1"/>
      <c r="HC244" s="1"/>
      <c r="HD244" s="1"/>
      <c r="HE244" s="1"/>
      <c r="HF244" s="1"/>
      <c r="HG244" s="1"/>
      <c r="HH244" s="1"/>
      <c r="HI244" s="1"/>
      <c r="HJ244" s="1"/>
      <c r="HK244" s="1"/>
      <c r="HL244" s="1"/>
      <c r="HM244" s="1"/>
      <c r="HN244" s="1"/>
      <c r="HO244" s="1"/>
      <c r="HP244" s="1"/>
      <c r="HQ244" s="1"/>
      <c r="HR244" s="1"/>
      <c r="HS244" s="1"/>
      <c r="HT244" s="1"/>
      <c r="HU244" s="1"/>
      <c r="HV244" s="1"/>
      <c r="HW244" s="1"/>
      <c r="HX244" s="1"/>
      <c r="HY244" s="1"/>
      <c r="HZ244" s="1"/>
      <c r="IA244" s="1"/>
      <c r="IB244" s="1"/>
      <c r="IC244" s="1"/>
      <c r="ID244" s="1"/>
      <c r="IE244" s="1"/>
      <c r="IF244" s="1"/>
      <c r="IG244" s="1"/>
      <c r="IH244" s="1"/>
      <c r="II244" s="1"/>
      <c r="IJ244" s="1"/>
      <c r="IK244" s="1"/>
      <c r="IL244" s="1"/>
      <c r="IM244" s="1"/>
      <c r="IN244" s="1"/>
      <c r="IO244" s="1"/>
      <c r="IP244" s="1"/>
      <c r="IQ244" s="1"/>
      <c r="IR244" s="1"/>
      <c r="IS244" s="1"/>
      <c r="IT244" s="1"/>
      <c r="IU244" s="1"/>
      <c r="IV244" s="1"/>
      <c r="IW244" s="1"/>
      <c r="IX244" s="1"/>
      <c r="IY244" s="1"/>
      <c r="IZ244" s="1"/>
      <c r="JA244" s="1"/>
      <c r="JB244" s="1"/>
      <c r="JC244" s="1"/>
      <c r="JD244" s="1"/>
      <c r="JE244" s="1"/>
      <c r="JF244" s="1"/>
      <c r="JG244" s="1"/>
      <c r="JH244" s="1"/>
      <c r="JI244" s="1"/>
      <c r="JJ244" s="1"/>
      <c r="JK244" s="1"/>
      <c r="JL244" s="1"/>
      <c r="JM244" s="1"/>
      <c r="JN244" s="1"/>
      <c r="JO244" s="1"/>
      <c r="JP244" s="1"/>
      <c r="JQ244" s="1"/>
      <c r="JR244" s="1"/>
      <c r="JS244" s="1"/>
      <c r="JT244" s="1"/>
      <c r="JU244" s="1"/>
      <c r="JV244" s="1"/>
      <c r="JW244" s="1"/>
      <c r="JX244" s="1"/>
      <c r="JY244" s="1"/>
      <c r="JZ244" s="1"/>
      <c r="KA244" s="1"/>
      <c r="KB244" s="1"/>
      <c r="KC244" s="1"/>
      <c r="KD244" s="1"/>
      <c r="KE244" s="1"/>
      <c r="KF244" s="1"/>
      <c r="KG244" s="1"/>
      <c r="KH244" s="1"/>
      <c r="KI244" s="1"/>
      <c r="KJ244" s="1"/>
      <c r="KK244" s="1"/>
      <c r="KL244" s="1"/>
      <c r="KM244" s="1"/>
      <c r="KN244" s="1"/>
      <c r="KO244" s="1"/>
      <c r="KP244" s="1"/>
      <c r="KQ244" s="1"/>
      <c r="KR244" s="1"/>
      <c r="KS244" s="1"/>
      <c r="KT244" s="1"/>
      <c r="KU244" s="1"/>
      <c r="KV244" s="1"/>
      <c r="KW244" s="1"/>
      <c r="KX244" s="1"/>
      <c r="KY244" s="1"/>
      <c r="KZ244" s="1"/>
      <c r="LA244" s="1"/>
      <c r="LB244" s="1"/>
      <c r="LC244" s="1"/>
      <c r="LD244" s="1"/>
      <c r="LE244" s="1"/>
      <c r="LF244" s="1"/>
      <c r="LG244" s="1"/>
      <c r="LH244" s="1"/>
      <c r="LI244" s="1"/>
      <c r="LJ244" s="1"/>
      <c r="LK244" s="1"/>
      <c r="LL244" s="1"/>
      <c r="LM244" s="1"/>
      <c r="LN244" s="1"/>
      <c r="LO244" s="1"/>
      <c r="LP244" s="1"/>
      <c r="LQ244" s="1"/>
      <c r="LR244" s="1"/>
      <c r="LS244" s="1"/>
    </row>
    <row r="245" spans="1:331" s="25" customFormat="1" x14ac:dyDescent="0.25">
      <c r="A245" s="25" t="s">
        <v>907</v>
      </c>
      <c r="B245" s="29" t="s">
        <v>908</v>
      </c>
      <c r="C245" s="94" t="s">
        <v>1650</v>
      </c>
      <c r="D245" s="25">
        <v>0</v>
      </c>
      <c r="H245" s="25" t="s">
        <v>903</v>
      </c>
      <c r="I245" s="25" t="s">
        <v>354</v>
      </c>
      <c r="J245" s="25" t="s">
        <v>903</v>
      </c>
      <c r="K245" s="25" t="s">
        <v>1519</v>
      </c>
      <c r="L245" s="25">
        <v>0</v>
      </c>
      <c r="O245" s="25">
        <v>0</v>
      </c>
      <c r="Q245" s="96" t="s">
        <v>1583</v>
      </c>
      <c r="R245" s="96"/>
      <c r="T245" s="25">
        <v>6</v>
      </c>
      <c r="V245" s="25">
        <v>7</v>
      </c>
      <c r="W245" s="96">
        <v>6</v>
      </c>
      <c r="X245" s="96"/>
      <c r="Y245" s="96"/>
      <c r="Z245" s="25">
        <v>5</v>
      </c>
      <c r="AA245" s="94" t="b">
        <v>1</v>
      </c>
      <c r="AB245" s="1"/>
      <c r="AC245" s="57" t="s">
        <v>1298</v>
      </c>
      <c r="AD245" s="1"/>
      <c r="AE245" t="s">
        <v>1882</v>
      </c>
      <c r="AF245" s="1"/>
      <c r="AG245" s="1"/>
      <c r="AH245" s="1"/>
      <c r="AI245" s="1"/>
      <c r="AJ245" s="1"/>
      <c r="AK245" s="1"/>
      <c r="AL245" s="1"/>
      <c r="AM245" s="1"/>
      <c r="AN245" s="1"/>
      <c r="AO245" s="1"/>
      <c r="AP245" s="1"/>
      <c r="AQ245" s="1"/>
      <c r="AR245" s="1"/>
      <c r="AS245" s="1"/>
      <c r="AT245" s="1"/>
      <c r="AU245" s="1"/>
      <c r="AV245" s="1"/>
      <c r="AW245" s="1"/>
      <c r="AX245" s="1"/>
      <c r="AY245" s="1"/>
      <c r="AZ245" s="1"/>
      <c r="BA245" s="1"/>
      <c r="BB245" s="1"/>
      <c r="BC245" s="1"/>
      <c r="BD245" s="1"/>
      <c r="BE245" s="1"/>
      <c r="BF245" s="1"/>
      <c r="BG245" s="1"/>
      <c r="BH245" s="1"/>
      <c r="BI245" s="1"/>
      <c r="BJ245" s="1"/>
      <c r="BK245" s="1"/>
      <c r="BL245" s="1"/>
      <c r="BM245" s="1"/>
      <c r="BN245" s="1"/>
      <c r="BO245" s="1"/>
      <c r="BP245" s="1"/>
      <c r="BQ245" s="1"/>
      <c r="BR245" s="1"/>
      <c r="BS245" s="1"/>
      <c r="BT245" s="1"/>
      <c r="BU245" s="1"/>
      <c r="BV245" s="1"/>
      <c r="BW245" s="1"/>
      <c r="BX245" s="1"/>
      <c r="BY245" s="1"/>
      <c r="BZ245" s="1"/>
      <c r="CA245" s="1"/>
      <c r="CB245" s="1"/>
      <c r="CC245" s="1"/>
      <c r="CD245" s="1"/>
      <c r="CE245" s="1"/>
      <c r="CF245" s="1"/>
      <c r="CG245" s="1"/>
      <c r="CH245" s="1"/>
      <c r="CI245" s="1"/>
      <c r="CJ245" s="1"/>
      <c r="CK245" s="1"/>
      <c r="CL245" s="1"/>
      <c r="CM245" s="1"/>
      <c r="CN245" s="1"/>
      <c r="CO245" s="1"/>
      <c r="CP245" s="1"/>
      <c r="CQ245" s="1"/>
      <c r="CR245" s="1"/>
      <c r="CS245" s="1"/>
      <c r="CT245" s="1"/>
      <c r="CU245" s="1"/>
      <c r="CV245" s="1"/>
      <c r="CW245" s="1"/>
      <c r="CX245" s="1"/>
      <c r="CY245" s="1"/>
      <c r="CZ245" s="1"/>
      <c r="DA245" s="1"/>
      <c r="DB245" s="1"/>
      <c r="DC245" s="1"/>
      <c r="DD245" s="1"/>
      <c r="DE245" s="1"/>
      <c r="DF245" s="1"/>
      <c r="DG245" s="1"/>
      <c r="DH245" s="1"/>
      <c r="DI245" s="1"/>
      <c r="DJ245" s="1"/>
      <c r="DK245" s="1"/>
      <c r="DL245" s="1"/>
      <c r="DM245" s="1"/>
      <c r="DN245" s="1"/>
      <c r="DO245" s="1"/>
      <c r="DP245" s="1"/>
      <c r="DQ245" s="1"/>
      <c r="DR245" s="1"/>
      <c r="DS245" s="1"/>
      <c r="DT245" s="1"/>
      <c r="DU245" s="1"/>
      <c r="DV245" s="1"/>
      <c r="DW245" s="1"/>
      <c r="DX245" s="1"/>
      <c r="DY245" s="1"/>
      <c r="DZ245" s="1"/>
      <c r="EA245" s="1"/>
      <c r="EB245" s="1"/>
      <c r="EC245" s="1"/>
      <c r="ED245" s="1"/>
      <c r="EE245" s="1"/>
      <c r="EF245" s="1"/>
      <c r="EG245" s="1"/>
      <c r="EH245" s="1"/>
      <c r="EI245" s="1"/>
      <c r="EJ245" s="1"/>
      <c r="EK245" s="1"/>
      <c r="EL245" s="1"/>
      <c r="EM245" s="1"/>
      <c r="EN245" s="1"/>
      <c r="EO245" s="1"/>
      <c r="EP245" s="1"/>
      <c r="EQ245" s="1"/>
      <c r="ER245" s="1"/>
      <c r="ES245" s="1"/>
      <c r="ET245" s="1"/>
      <c r="EU245" s="1"/>
      <c r="EV245" s="1"/>
      <c r="EW245" s="1"/>
      <c r="EX245" s="1"/>
      <c r="EY245" s="1"/>
      <c r="EZ245" s="1"/>
      <c r="FA245" s="1"/>
      <c r="FB245" s="1"/>
      <c r="FC245" s="1"/>
      <c r="FD245" s="1"/>
      <c r="FE245" s="1"/>
      <c r="FF245" s="1"/>
      <c r="FG245" s="1"/>
      <c r="FH245" s="1"/>
      <c r="FI245" s="1"/>
      <c r="FJ245" s="1"/>
      <c r="FK245" s="1"/>
      <c r="FL245" s="1"/>
      <c r="FM245" s="1"/>
      <c r="FN245" s="1"/>
      <c r="FO245" s="1"/>
      <c r="FP245" s="1"/>
      <c r="FQ245" s="1"/>
      <c r="FR245" s="1"/>
      <c r="FS245" s="1"/>
      <c r="FT245" s="1"/>
      <c r="FU245" s="1"/>
      <c r="FV245" s="1"/>
      <c r="FW245" s="1"/>
      <c r="FX245" s="1"/>
      <c r="FY245" s="1"/>
      <c r="FZ245" s="1"/>
      <c r="GA245" s="1"/>
      <c r="GB245" s="1"/>
      <c r="GC245" s="1"/>
      <c r="GD245" s="1"/>
      <c r="GE245" s="1"/>
      <c r="GF245" s="1"/>
      <c r="GG245" s="1"/>
      <c r="GH245" s="1"/>
      <c r="GI245" s="1"/>
      <c r="GJ245" s="1"/>
      <c r="GK245" s="1"/>
      <c r="GL245" s="1"/>
      <c r="GM245" s="1"/>
      <c r="GN245" s="1"/>
      <c r="GO245" s="1"/>
      <c r="GP245" s="1"/>
      <c r="GQ245" s="1"/>
      <c r="GR245" s="1"/>
      <c r="GS245" s="1"/>
      <c r="GT245" s="1"/>
      <c r="GU245" s="1"/>
      <c r="GV245" s="1"/>
      <c r="GW245" s="1"/>
      <c r="GX245" s="1"/>
      <c r="GY245" s="1"/>
      <c r="GZ245" s="1"/>
      <c r="HA245" s="1"/>
      <c r="HB245" s="1"/>
      <c r="HC245" s="1"/>
      <c r="HD245" s="1"/>
      <c r="HE245" s="1"/>
      <c r="HF245" s="1"/>
      <c r="HG245" s="1"/>
      <c r="HH245" s="1"/>
      <c r="HI245" s="1"/>
      <c r="HJ245" s="1"/>
      <c r="HK245" s="1"/>
      <c r="HL245" s="1"/>
      <c r="HM245" s="1"/>
      <c r="HN245" s="1"/>
      <c r="HO245" s="1"/>
      <c r="HP245" s="1"/>
      <c r="HQ245" s="1"/>
      <c r="HR245" s="1"/>
      <c r="HS245" s="1"/>
      <c r="HT245" s="1"/>
      <c r="HU245" s="1"/>
      <c r="HV245" s="1"/>
      <c r="HW245" s="1"/>
      <c r="HX245" s="1"/>
      <c r="HY245" s="1"/>
      <c r="HZ245" s="1"/>
      <c r="IA245" s="1"/>
      <c r="IB245" s="1"/>
      <c r="IC245" s="1"/>
      <c r="ID245" s="1"/>
      <c r="IE245" s="1"/>
      <c r="IF245" s="1"/>
      <c r="IG245" s="1"/>
      <c r="IH245" s="1"/>
      <c r="II245" s="1"/>
      <c r="IJ245" s="1"/>
      <c r="IK245" s="1"/>
      <c r="IL245" s="1"/>
      <c r="IM245" s="1"/>
      <c r="IN245" s="1"/>
      <c r="IO245" s="1"/>
      <c r="IP245" s="1"/>
      <c r="IQ245" s="1"/>
      <c r="IR245" s="1"/>
      <c r="IS245" s="1"/>
      <c r="IT245" s="1"/>
      <c r="IU245" s="1"/>
      <c r="IV245" s="1"/>
      <c r="IW245" s="1"/>
      <c r="IX245" s="1"/>
      <c r="IY245" s="1"/>
      <c r="IZ245" s="1"/>
      <c r="JA245" s="1"/>
      <c r="JB245" s="1"/>
      <c r="JC245" s="1"/>
      <c r="JD245" s="1"/>
      <c r="JE245" s="1"/>
      <c r="JF245" s="1"/>
      <c r="JG245" s="1"/>
      <c r="JH245" s="1"/>
      <c r="JI245" s="1"/>
      <c r="JJ245" s="1"/>
      <c r="JK245" s="1"/>
      <c r="JL245" s="1"/>
      <c r="JM245" s="1"/>
      <c r="JN245" s="1"/>
      <c r="JO245" s="1"/>
      <c r="JP245" s="1"/>
      <c r="JQ245" s="1"/>
      <c r="JR245" s="1"/>
      <c r="JS245" s="1"/>
      <c r="JT245" s="1"/>
      <c r="JU245" s="1"/>
      <c r="JV245" s="1"/>
      <c r="JW245" s="1"/>
      <c r="JX245" s="1"/>
      <c r="JY245" s="1"/>
      <c r="JZ245" s="1"/>
      <c r="KA245" s="1"/>
      <c r="KB245" s="1"/>
      <c r="KC245" s="1"/>
      <c r="KD245" s="1"/>
      <c r="KE245" s="1"/>
      <c r="KF245" s="1"/>
      <c r="KG245" s="1"/>
      <c r="KH245" s="1"/>
      <c r="KI245" s="1"/>
      <c r="KJ245" s="1"/>
      <c r="KK245" s="1"/>
      <c r="KL245" s="1"/>
      <c r="KM245" s="1"/>
      <c r="KN245" s="1"/>
      <c r="KO245" s="1"/>
      <c r="KP245" s="1"/>
      <c r="KQ245" s="1"/>
      <c r="KR245" s="1"/>
      <c r="KS245" s="1"/>
      <c r="KT245" s="1"/>
      <c r="KU245" s="1"/>
      <c r="KV245" s="1"/>
      <c r="KW245" s="1"/>
      <c r="KX245" s="1"/>
      <c r="KY245" s="1"/>
      <c r="KZ245" s="1"/>
      <c r="LA245" s="1"/>
      <c r="LB245" s="1"/>
      <c r="LC245" s="1"/>
      <c r="LD245" s="1"/>
      <c r="LE245" s="1"/>
      <c r="LF245" s="1"/>
      <c r="LG245" s="1"/>
      <c r="LH245" s="1"/>
      <c r="LI245" s="1"/>
      <c r="LJ245" s="1"/>
      <c r="LK245" s="1"/>
      <c r="LL245" s="1"/>
      <c r="LM245" s="1"/>
      <c r="LN245" s="1"/>
      <c r="LO245" s="1"/>
      <c r="LP245" s="1"/>
      <c r="LQ245" s="1"/>
      <c r="LR245" s="1"/>
      <c r="LS245" s="1"/>
    </row>
    <row r="246" spans="1:331" s="72" customFormat="1" x14ac:dyDescent="0.25">
      <c r="A246" s="72" t="s">
        <v>909</v>
      </c>
      <c r="B246" s="75" t="s">
        <v>910</v>
      </c>
      <c r="C246" s="94" t="s">
        <v>1650</v>
      </c>
      <c r="D246" s="72">
        <v>0</v>
      </c>
      <c r="H246" s="72" t="s">
        <v>903</v>
      </c>
      <c r="I246" s="72" t="s">
        <v>206</v>
      </c>
      <c r="J246" s="72" t="s">
        <v>903</v>
      </c>
      <c r="K246" s="72" t="s">
        <v>206</v>
      </c>
      <c r="L246" s="72">
        <v>0</v>
      </c>
      <c r="O246" s="72">
        <v>1</v>
      </c>
      <c r="P246" s="72" t="s">
        <v>911</v>
      </c>
      <c r="Q246" s="96"/>
      <c r="R246" s="96" t="s">
        <v>912</v>
      </c>
      <c r="T246" s="72">
        <v>17</v>
      </c>
      <c r="V246" s="72">
        <v>18</v>
      </c>
      <c r="W246" s="96">
        <v>17</v>
      </c>
      <c r="X246" s="96"/>
      <c r="Y246" s="96"/>
      <c r="Z246" s="72">
        <v>14</v>
      </c>
      <c r="AA246" s="94" t="b">
        <v>1</v>
      </c>
      <c r="AB246" s="1"/>
      <c r="AC246" s="57" t="s">
        <v>1858</v>
      </c>
      <c r="AD246" s="1"/>
      <c r="AE246" t="s">
        <v>1883</v>
      </c>
      <c r="AF246" s="1"/>
      <c r="AG246" s="1"/>
      <c r="AH246" s="1"/>
      <c r="AI246" s="1"/>
      <c r="AJ246" s="1"/>
      <c r="AK246" s="1"/>
      <c r="AL246" s="1"/>
      <c r="AM246" s="1"/>
      <c r="AN246" s="1"/>
      <c r="AO246" s="1"/>
      <c r="AP246" s="1"/>
      <c r="AQ246" s="1"/>
      <c r="AR246" s="1"/>
      <c r="AS246" s="1"/>
      <c r="AT246" s="1"/>
      <c r="AU246" s="1"/>
      <c r="AV246" s="1"/>
      <c r="AW246" s="1"/>
      <c r="AX246" s="1"/>
      <c r="AY246" s="1"/>
      <c r="AZ246" s="1"/>
      <c r="BA246" s="1"/>
      <c r="BB246" s="1"/>
      <c r="BC246" s="1"/>
      <c r="BD246" s="1"/>
      <c r="BE246" s="1"/>
      <c r="BF246" s="1"/>
      <c r="BG246" s="1"/>
      <c r="BH246" s="1"/>
      <c r="BI246" s="1"/>
      <c r="BJ246" s="1"/>
      <c r="BK246" s="1"/>
      <c r="BL246" s="1"/>
      <c r="BM246" s="1"/>
      <c r="BN246" s="1"/>
      <c r="BO246" s="1"/>
      <c r="BP246" s="1"/>
      <c r="BQ246" s="1"/>
      <c r="BR246" s="1"/>
      <c r="BS246" s="1"/>
      <c r="BT246" s="1"/>
      <c r="BU246" s="1"/>
      <c r="BV246" s="1"/>
    </row>
    <row r="247" spans="1:331" s="40" customFormat="1" x14ac:dyDescent="0.25">
      <c r="A247" s="40" t="s">
        <v>913</v>
      </c>
      <c r="B247" s="44" t="s">
        <v>914</v>
      </c>
      <c r="C247" s="94" t="s">
        <v>1650</v>
      </c>
      <c r="D247" s="40">
        <v>0</v>
      </c>
      <c r="H247" s="40" t="s">
        <v>915</v>
      </c>
      <c r="I247" s="40" t="s">
        <v>345</v>
      </c>
      <c r="J247" s="40" t="s">
        <v>530</v>
      </c>
      <c r="K247" s="40" t="s">
        <v>903</v>
      </c>
      <c r="L247" s="40">
        <v>0</v>
      </c>
      <c r="O247" s="40">
        <v>1</v>
      </c>
      <c r="P247" s="40" t="s">
        <v>526</v>
      </c>
      <c r="Q247" s="96" t="s">
        <v>119</v>
      </c>
      <c r="R247" s="96"/>
      <c r="S247" s="40">
        <v>22</v>
      </c>
      <c r="V247" s="40">
        <v>20</v>
      </c>
      <c r="W247" s="96">
        <v>22</v>
      </c>
      <c r="X247" s="96"/>
      <c r="Y247" s="96"/>
      <c r="Z247" s="40">
        <v>8</v>
      </c>
      <c r="AA247" s="94" t="b">
        <v>1</v>
      </c>
      <c r="AB247" s="1"/>
      <c r="AC247" s="57" t="s">
        <v>1394</v>
      </c>
      <c r="AD247" s="1"/>
      <c r="AE247" t="s">
        <v>1884</v>
      </c>
      <c r="AF247" s="1"/>
      <c r="AG247" s="1"/>
      <c r="AH247" s="1"/>
      <c r="AI247" s="1"/>
      <c r="AJ247" s="1"/>
      <c r="AK247" s="1"/>
      <c r="AL247" s="1"/>
      <c r="AM247" s="1"/>
      <c r="AN247" s="1"/>
      <c r="AO247" s="1"/>
      <c r="AP247" s="1"/>
      <c r="AQ247" s="1"/>
      <c r="AR247" s="1"/>
      <c r="AS247" s="1"/>
      <c r="AT247" s="1"/>
      <c r="AU247" s="1"/>
      <c r="AV247" s="1"/>
      <c r="AW247" s="1"/>
      <c r="AX247" s="1"/>
      <c r="AY247" s="1"/>
      <c r="AZ247" s="1"/>
      <c r="BA247" s="1"/>
      <c r="BB247" s="1"/>
      <c r="BC247" s="1"/>
      <c r="BD247" s="1"/>
      <c r="BE247" s="1"/>
      <c r="BF247" s="1"/>
      <c r="BG247" s="1"/>
      <c r="BH247" s="1"/>
      <c r="BI247" s="1"/>
      <c r="BJ247" s="1"/>
      <c r="BK247" s="1"/>
      <c r="BL247" s="1"/>
      <c r="BM247" s="1"/>
      <c r="BN247" s="1"/>
      <c r="BO247" s="1"/>
      <c r="BP247" s="1"/>
      <c r="BQ247" s="1"/>
      <c r="BR247" s="1"/>
      <c r="BS247" s="1"/>
      <c r="BT247" s="1"/>
      <c r="BU247" s="1"/>
      <c r="BV247" s="1"/>
      <c r="BW247" s="1"/>
      <c r="BX247" s="1"/>
      <c r="BY247" s="1"/>
      <c r="BZ247" s="1"/>
      <c r="CA247" s="1"/>
      <c r="CB247" s="1"/>
      <c r="CC247" s="1"/>
      <c r="CD247" s="1"/>
      <c r="CE247" s="1"/>
      <c r="CF247" s="1"/>
      <c r="CG247" s="1"/>
      <c r="CH247" s="1"/>
      <c r="CI247" s="1"/>
      <c r="CJ247" s="1"/>
      <c r="CK247" s="1"/>
      <c r="CL247" s="1"/>
      <c r="CM247" s="1"/>
      <c r="CN247" s="1"/>
      <c r="CO247" s="1"/>
      <c r="CP247" s="1"/>
      <c r="CQ247" s="1"/>
      <c r="CR247" s="1"/>
      <c r="CS247" s="1"/>
      <c r="CT247" s="1"/>
      <c r="CU247" s="1"/>
      <c r="CV247" s="1"/>
      <c r="CW247" s="1"/>
      <c r="CX247" s="1"/>
      <c r="CY247" s="1"/>
      <c r="CZ247" s="1"/>
      <c r="DA247" s="1"/>
      <c r="DB247" s="1"/>
      <c r="DC247" s="1"/>
      <c r="DD247" s="1"/>
      <c r="DE247" s="1"/>
      <c r="DF247" s="1"/>
      <c r="DG247" s="1"/>
      <c r="DH247" s="1"/>
      <c r="DI247" s="1"/>
      <c r="DJ247" s="1"/>
      <c r="DK247" s="1"/>
      <c r="DL247" s="1"/>
      <c r="DM247" s="1"/>
      <c r="DN247" s="1"/>
      <c r="DO247" s="1"/>
      <c r="DP247" s="1"/>
      <c r="DQ247" s="1"/>
      <c r="DR247" s="1"/>
      <c r="DS247" s="1"/>
      <c r="DT247" s="1"/>
      <c r="DU247" s="1"/>
      <c r="DV247" s="1"/>
      <c r="DW247" s="1"/>
      <c r="DX247" s="1"/>
      <c r="DY247" s="1"/>
      <c r="DZ247" s="1"/>
      <c r="EA247" s="1"/>
      <c r="EB247" s="1"/>
      <c r="EC247" s="1"/>
      <c r="ED247" s="1"/>
      <c r="EE247" s="1"/>
      <c r="EF247" s="1"/>
      <c r="EG247" s="1"/>
      <c r="EH247" s="1"/>
      <c r="EI247" s="1"/>
      <c r="EJ247" s="1"/>
      <c r="EK247" s="1"/>
      <c r="EL247" s="1"/>
      <c r="EM247" s="1"/>
      <c r="EN247" s="1"/>
      <c r="EO247" s="1"/>
      <c r="EP247" s="1"/>
      <c r="EQ247" s="1"/>
      <c r="ER247" s="1"/>
      <c r="ES247" s="1"/>
      <c r="ET247" s="1"/>
      <c r="EU247" s="1"/>
      <c r="EV247" s="1"/>
      <c r="EW247" s="1"/>
      <c r="EX247" s="1"/>
      <c r="EY247" s="1"/>
      <c r="EZ247" s="1"/>
      <c r="FA247" s="1"/>
      <c r="FB247" s="1"/>
      <c r="FC247" s="1"/>
      <c r="FD247" s="1"/>
      <c r="FE247" s="1"/>
      <c r="FF247" s="1"/>
      <c r="FG247" s="1"/>
      <c r="FH247" s="1"/>
      <c r="FI247" s="1"/>
      <c r="FJ247" s="1"/>
      <c r="FK247" s="1"/>
      <c r="FL247" s="1"/>
      <c r="FM247" s="1"/>
      <c r="FN247" s="1"/>
      <c r="FO247" s="1"/>
      <c r="FP247" s="1"/>
      <c r="FQ247" s="1"/>
      <c r="FR247" s="1"/>
      <c r="FS247" s="1"/>
      <c r="FT247" s="1"/>
      <c r="FU247" s="1"/>
      <c r="FV247" s="1"/>
      <c r="FW247" s="1"/>
      <c r="FX247" s="1"/>
      <c r="FY247" s="1"/>
      <c r="FZ247" s="1"/>
      <c r="GA247" s="1"/>
      <c r="GB247" s="1"/>
      <c r="GC247" s="1"/>
      <c r="GD247" s="1"/>
      <c r="GE247" s="1"/>
      <c r="GF247" s="1"/>
      <c r="GG247" s="1"/>
      <c r="GH247" s="1"/>
      <c r="GI247" s="1"/>
      <c r="GJ247" s="1"/>
      <c r="GK247" s="1"/>
      <c r="GL247" s="1"/>
      <c r="GM247" s="1"/>
      <c r="GN247" s="1"/>
      <c r="GO247" s="1"/>
      <c r="GP247" s="1"/>
      <c r="GQ247" s="1"/>
      <c r="GR247" s="1"/>
      <c r="GS247" s="1"/>
      <c r="GT247" s="1"/>
      <c r="GU247" s="1"/>
      <c r="GV247" s="1"/>
      <c r="GW247" s="1"/>
      <c r="GX247" s="1"/>
      <c r="GY247" s="1"/>
      <c r="GZ247" s="1"/>
      <c r="HA247" s="1"/>
      <c r="HB247" s="1"/>
      <c r="HC247" s="1"/>
      <c r="HD247" s="1"/>
      <c r="HE247" s="1"/>
      <c r="HF247" s="1"/>
      <c r="HG247" s="1"/>
      <c r="HH247" s="1"/>
      <c r="HI247" s="1"/>
      <c r="HJ247" s="1"/>
      <c r="HK247" s="1"/>
      <c r="HL247" s="1"/>
      <c r="HM247" s="1"/>
      <c r="HN247" s="1"/>
      <c r="HO247" s="1"/>
      <c r="HP247" s="1"/>
      <c r="HQ247" s="1"/>
      <c r="HR247" s="1"/>
      <c r="HS247" s="1"/>
      <c r="HT247" s="1"/>
      <c r="HU247" s="1"/>
      <c r="HV247" s="1"/>
      <c r="HW247" s="1"/>
      <c r="HX247" s="1"/>
      <c r="HY247" s="1"/>
      <c r="HZ247" s="1"/>
      <c r="IA247" s="1"/>
      <c r="IB247" s="1"/>
      <c r="IC247" s="1"/>
      <c r="ID247" s="1"/>
      <c r="IE247" s="1"/>
      <c r="IF247" s="1"/>
      <c r="IG247" s="1"/>
      <c r="IH247" s="1"/>
      <c r="II247" s="1"/>
      <c r="IJ247" s="1"/>
      <c r="IK247" s="1"/>
      <c r="IL247" s="1"/>
      <c r="IM247" s="1"/>
      <c r="IN247" s="1"/>
      <c r="IO247" s="1"/>
      <c r="IP247" s="1"/>
      <c r="IQ247" s="1"/>
      <c r="IR247" s="1"/>
      <c r="IS247" s="1"/>
      <c r="IT247" s="1"/>
      <c r="IU247" s="1"/>
      <c r="IV247" s="1"/>
      <c r="IW247" s="1"/>
      <c r="IX247" s="1"/>
      <c r="IY247" s="1"/>
      <c r="IZ247" s="1"/>
      <c r="JA247" s="1"/>
      <c r="JB247" s="1"/>
      <c r="JC247" s="1"/>
      <c r="JD247" s="1"/>
      <c r="JE247" s="1"/>
      <c r="JF247" s="1"/>
      <c r="JG247" s="1"/>
      <c r="JH247" s="1"/>
      <c r="JI247" s="1"/>
      <c r="JJ247" s="1"/>
      <c r="JK247" s="1"/>
      <c r="JL247" s="1"/>
      <c r="JM247" s="1"/>
      <c r="JN247" s="1"/>
      <c r="JO247" s="1"/>
      <c r="JP247" s="1"/>
      <c r="JQ247" s="1"/>
      <c r="JR247" s="1"/>
      <c r="JS247" s="1"/>
      <c r="JT247" s="1"/>
      <c r="JU247" s="1"/>
      <c r="JV247" s="1"/>
      <c r="JW247" s="1"/>
      <c r="JX247" s="1"/>
      <c r="JY247" s="1"/>
      <c r="JZ247" s="1"/>
      <c r="KA247" s="1"/>
      <c r="KB247" s="1"/>
      <c r="KC247" s="1"/>
      <c r="KD247" s="1"/>
      <c r="KE247" s="1"/>
      <c r="KF247" s="1"/>
      <c r="KG247" s="1"/>
      <c r="KH247" s="1"/>
      <c r="KI247" s="1"/>
      <c r="KJ247" s="1"/>
      <c r="KK247" s="1"/>
      <c r="KL247" s="1"/>
      <c r="KM247" s="1"/>
      <c r="KN247" s="1"/>
      <c r="KO247" s="1"/>
      <c r="KP247" s="1"/>
      <c r="KQ247" s="1"/>
      <c r="KR247" s="1"/>
      <c r="KS247" s="1"/>
      <c r="KT247" s="1"/>
      <c r="KU247" s="1"/>
      <c r="KV247" s="1"/>
      <c r="KW247" s="1"/>
      <c r="KX247" s="1"/>
      <c r="KY247" s="1"/>
      <c r="KZ247" s="1"/>
      <c r="LA247" s="1"/>
      <c r="LB247" s="1"/>
      <c r="LC247" s="1"/>
      <c r="LD247" s="1"/>
      <c r="LE247" s="1"/>
      <c r="LF247" s="1"/>
      <c r="LG247" s="1"/>
      <c r="LH247" s="1"/>
      <c r="LI247" s="1"/>
      <c r="LJ247" s="1"/>
      <c r="LK247" s="1"/>
      <c r="LL247" s="1"/>
      <c r="LM247" s="1"/>
      <c r="LN247" s="1"/>
      <c r="LO247" s="1"/>
      <c r="LP247" s="1"/>
      <c r="LQ247" s="1"/>
      <c r="LR247" s="1"/>
      <c r="LS247" s="1"/>
    </row>
    <row r="248" spans="1:331" s="40" customFormat="1" x14ac:dyDescent="0.25">
      <c r="A248" s="40" t="s">
        <v>916</v>
      </c>
      <c r="B248" s="44" t="s">
        <v>917</v>
      </c>
      <c r="C248" s="94" t="s">
        <v>1650</v>
      </c>
      <c r="D248" s="40">
        <v>0</v>
      </c>
      <c r="H248" s="40" t="s">
        <v>247</v>
      </c>
      <c r="I248" s="40" t="s">
        <v>255</v>
      </c>
      <c r="J248" s="40" t="s">
        <v>247</v>
      </c>
      <c r="K248" s="40" t="s">
        <v>255</v>
      </c>
      <c r="L248" s="40">
        <v>0</v>
      </c>
      <c r="O248" s="40">
        <v>1</v>
      </c>
      <c r="P248" s="40" t="s">
        <v>918</v>
      </c>
      <c r="Q248" s="96" t="s">
        <v>1584</v>
      </c>
      <c r="R248" s="96"/>
      <c r="T248" s="40">
        <v>15</v>
      </c>
      <c r="V248" s="40">
        <v>15</v>
      </c>
      <c r="W248" s="96">
        <v>15</v>
      </c>
      <c r="X248" s="96"/>
      <c r="Y248" s="96"/>
      <c r="Z248" s="40">
        <v>8</v>
      </c>
      <c r="AA248" s="94" t="b">
        <v>1</v>
      </c>
      <c r="AB248" s="1"/>
      <c r="AC248" s="57" t="s">
        <v>1425</v>
      </c>
      <c r="AD248" s="1"/>
      <c r="AE248" t="s">
        <v>1885</v>
      </c>
      <c r="AF248" s="1"/>
      <c r="AG248" s="1"/>
      <c r="AH248" s="1"/>
      <c r="AI248" s="1"/>
      <c r="AJ248" s="1"/>
      <c r="AK248" s="1"/>
      <c r="AL248" s="1"/>
      <c r="AM248" s="1"/>
      <c r="AN248" s="1"/>
      <c r="AO248" s="1"/>
      <c r="AP248" s="1"/>
      <c r="AQ248" s="1"/>
      <c r="AR248" s="1"/>
      <c r="AS248" s="1"/>
      <c r="AT248" s="1"/>
      <c r="AU248" s="1"/>
      <c r="AV248" s="1"/>
      <c r="AW248" s="1"/>
      <c r="AX248" s="1"/>
      <c r="AY248" s="1"/>
      <c r="AZ248" s="1"/>
      <c r="BA248" s="1"/>
      <c r="BB248" s="1"/>
      <c r="BC248" s="1"/>
      <c r="BD248" s="1"/>
      <c r="BE248" s="1"/>
      <c r="BF248" s="1"/>
      <c r="BG248" s="1"/>
      <c r="BH248" s="1"/>
      <c r="BI248" s="1"/>
      <c r="BJ248" s="1"/>
      <c r="BK248" s="1"/>
      <c r="BL248" s="1"/>
      <c r="BM248" s="1"/>
      <c r="BN248" s="1"/>
      <c r="BO248" s="1"/>
      <c r="BP248" s="1"/>
      <c r="BQ248" s="1"/>
      <c r="BR248" s="1"/>
      <c r="BS248" s="1"/>
      <c r="BT248" s="1"/>
      <c r="BU248" s="1"/>
      <c r="BV248" s="1"/>
      <c r="BW248" s="1"/>
      <c r="BX248" s="1"/>
      <c r="BY248" s="1"/>
      <c r="BZ248" s="1"/>
      <c r="CA248" s="1"/>
      <c r="CB248" s="1"/>
      <c r="CC248" s="1"/>
      <c r="CD248" s="1"/>
      <c r="CE248" s="1"/>
      <c r="CF248" s="1"/>
      <c r="CG248" s="1"/>
      <c r="CH248" s="1"/>
      <c r="CI248" s="1"/>
      <c r="CJ248" s="1"/>
      <c r="CK248" s="1"/>
      <c r="CL248" s="1"/>
      <c r="CM248" s="1"/>
      <c r="CN248" s="1"/>
      <c r="CO248" s="1"/>
      <c r="CP248" s="1"/>
      <c r="CQ248" s="1"/>
      <c r="CR248" s="1"/>
      <c r="CS248" s="1"/>
      <c r="CT248" s="1"/>
      <c r="CU248" s="1"/>
      <c r="CV248" s="1"/>
      <c r="CW248" s="1"/>
      <c r="CX248" s="1"/>
      <c r="CY248" s="1"/>
      <c r="CZ248" s="1"/>
      <c r="DA248" s="1"/>
      <c r="DB248" s="1"/>
      <c r="DC248" s="1"/>
      <c r="DD248" s="1"/>
      <c r="DE248" s="1"/>
      <c r="DF248" s="1"/>
      <c r="DG248" s="1"/>
      <c r="DH248" s="1"/>
      <c r="DI248" s="1"/>
      <c r="DJ248" s="1"/>
      <c r="DK248" s="1"/>
      <c r="DL248" s="1"/>
      <c r="DM248" s="1"/>
      <c r="DN248" s="1"/>
      <c r="DO248" s="1"/>
      <c r="DP248" s="1"/>
      <c r="DQ248" s="1"/>
      <c r="DR248" s="1"/>
      <c r="DS248" s="1"/>
      <c r="DT248" s="1"/>
      <c r="DU248" s="1"/>
      <c r="DV248" s="1"/>
      <c r="DW248" s="1"/>
      <c r="DX248" s="1"/>
      <c r="DY248" s="1"/>
      <c r="DZ248" s="1"/>
      <c r="EA248" s="1"/>
      <c r="EB248" s="1"/>
      <c r="EC248" s="1"/>
      <c r="ED248" s="1"/>
      <c r="EE248" s="1"/>
      <c r="EF248" s="1"/>
      <c r="EG248" s="1"/>
      <c r="EH248" s="1"/>
      <c r="EI248" s="1"/>
      <c r="EJ248" s="1"/>
      <c r="EK248" s="1"/>
      <c r="EL248" s="1"/>
      <c r="EM248" s="1"/>
      <c r="EN248" s="1"/>
      <c r="EO248" s="1"/>
      <c r="EP248" s="1"/>
      <c r="EQ248" s="1"/>
      <c r="ER248" s="1"/>
      <c r="ES248" s="1"/>
      <c r="ET248" s="1"/>
      <c r="EU248" s="1"/>
      <c r="EV248" s="1"/>
      <c r="EW248" s="1"/>
      <c r="EX248" s="1"/>
      <c r="EY248" s="1"/>
      <c r="EZ248" s="1"/>
      <c r="FA248" s="1"/>
      <c r="FB248" s="1"/>
      <c r="FC248" s="1"/>
      <c r="FD248" s="1"/>
      <c r="FE248" s="1"/>
      <c r="FF248" s="1"/>
      <c r="FG248" s="1"/>
      <c r="FH248" s="1"/>
      <c r="FI248" s="1"/>
      <c r="FJ248" s="1"/>
      <c r="FK248" s="1"/>
      <c r="FL248" s="1"/>
      <c r="FM248" s="1"/>
      <c r="FN248" s="1"/>
      <c r="FO248" s="1"/>
      <c r="FP248" s="1"/>
      <c r="FQ248" s="1"/>
      <c r="FR248" s="1"/>
      <c r="FS248" s="1"/>
      <c r="FT248" s="1"/>
      <c r="FU248" s="1"/>
      <c r="FV248" s="1"/>
      <c r="FW248" s="1"/>
      <c r="FX248" s="1"/>
      <c r="FY248" s="1"/>
      <c r="FZ248" s="1"/>
      <c r="GA248" s="1"/>
      <c r="GB248" s="1"/>
      <c r="GC248" s="1"/>
      <c r="GD248" s="1"/>
      <c r="GE248" s="1"/>
      <c r="GF248" s="1"/>
      <c r="GG248" s="1"/>
      <c r="GH248" s="1"/>
      <c r="GI248" s="1"/>
      <c r="GJ248" s="1"/>
      <c r="GK248" s="1"/>
      <c r="GL248" s="1"/>
      <c r="GM248" s="1"/>
      <c r="GN248" s="1"/>
      <c r="GO248" s="1"/>
      <c r="GP248" s="1"/>
      <c r="GQ248" s="1"/>
      <c r="GR248" s="1"/>
      <c r="GS248" s="1"/>
      <c r="GT248" s="1"/>
      <c r="GU248" s="1"/>
      <c r="GV248" s="1"/>
      <c r="GW248" s="1"/>
      <c r="GX248" s="1"/>
      <c r="GY248" s="1"/>
      <c r="GZ248" s="1"/>
      <c r="HA248" s="1"/>
      <c r="HB248" s="1"/>
      <c r="HC248" s="1"/>
      <c r="HD248" s="1"/>
      <c r="HE248" s="1"/>
      <c r="HF248" s="1"/>
      <c r="HG248" s="1"/>
      <c r="HH248" s="1"/>
      <c r="HI248" s="1"/>
      <c r="HJ248" s="1"/>
      <c r="HK248" s="1"/>
      <c r="HL248" s="1"/>
      <c r="HM248" s="1"/>
      <c r="HN248" s="1"/>
      <c r="HO248" s="1"/>
      <c r="HP248" s="1"/>
      <c r="HQ248" s="1"/>
      <c r="HR248" s="1"/>
      <c r="HS248" s="1"/>
      <c r="HT248" s="1"/>
      <c r="HU248" s="1"/>
      <c r="HV248" s="1"/>
      <c r="HW248" s="1"/>
      <c r="HX248" s="1"/>
      <c r="HY248" s="1"/>
      <c r="HZ248" s="1"/>
      <c r="IA248" s="1"/>
      <c r="IB248" s="1"/>
      <c r="IC248" s="1"/>
      <c r="ID248" s="1"/>
      <c r="IE248" s="1"/>
      <c r="IF248" s="1"/>
      <c r="IG248" s="1"/>
      <c r="IH248" s="1"/>
      <c r="II248" s="1"/>
      <c r="IJ248" s="1"/>
      <c r="IK248" s="1"/>
      <c r="IL248" s="1"/>
      <c r="IM248" s="1"/>
      <c r="IN248" s="1"/>
      <c r="IO248" s="1"/>
      <c r="IP248" s="1"/>
      <c r="IQ248" s="1"/>
      <c r="IR248" s="1"/>
      <c r="IS248" s="1"/>
      <c r="IT248" s="1"/>
      <c r="IU248" s="1"/>
      <c r="IV248" s="1"/>
      <c r="IW248" s="1"/>
      <c r="IX248" s="1"/>
      <c r="IY248" s="1"/>
      <c r="IZ248" s="1"/>
      <c r="JA248" s="1"/>
      <c r="JB248" s="1"/>
      <c r="JC248" s="1"/>
      <c r="JD248" s="1"/>
      <c r="JE248" s="1"/>
      <c r="JF248" s="1"/>
      <c r="JG248" s="1"/>
      <c r="JH248" s="1"/>
      <c r="JI248" s="1"/>
      <c r="JJ248" s="1"/>
      <c r="JK248" s="1"/>
      <c r="JL248" s="1"/>
      <c r="JM248" s="1"/>
      <c r="JN248" s="1"/>
      <c r="JO248" s="1"/>
      <c r="JP248" s="1"/>
      <c r="JQ248" s="1"/>
      <c r="JR248" s="1"/>
      <c r="JS248" s="1"/>
      <c r="JT248" s="1"/>
      <c r="JU248" s="1"/>
      <c r="JV248" s="1"/>
      <c r="JW248" s="1"/>
      <c r="JX248" s="1"/>
      <c r="JY248" s="1"/>
      <c r="JZ248" s="1"/>
      <c r="KA248" s="1"/>
      <c r="KB248" s="1"/>
      <c r="KC248" s="1"/>
      <c r="KD248" s="1"/>
      <c r="KE248" s="1"/>
      <c r="KF248" s="1"/>
      <c r="KG248" s="1"/>
      <c r="KH248" s="1"/>
      <c r="KI248" s="1"/>
      <c r="KJ248" s="1"/>
      <c r="KK248" s="1"/>
      <c r="KL248" s="1"/>
      <c r="KM248" s="1"/>
      <c r="KN248" s="1"/>
      <c r="KO248" s="1"/>
      <c r="KP248" s="1"/>
      <c r="KQ248" s="1"/>
      <c r="KR248" s="1"/>
      <c r="KS248" s="1"/>
      <c r="KT248" s="1"/>
      <c r="KU248" s="1"/>
      <c r="KV248" s="1"/>
      <c r="KW248" s="1"/>
      <c r="KX248" s="1"/>
      <c r="KY248" s="1"/>
      <c r="KZ248" s="1"/>
      <c r="LA248" s="1"/>
      <c r="LB248" s="1"/>
      <c r="LC248" s="1"/>
      <c r="LD248" s="1"/>
      <c r="LE248" s="1"/>
      <c r="LF248" s="1"/>
      <c r="LG248" s="1"/>
      <c r="LH248" s="1"/>
      <c r="LI248" s="1"/>
      <c r="LJ248" s="1"/>
      <c r="LK248" s="1"/>
      <c r="LL248" s="1"/>
      <c r="LM248" s="1"/>
      <c r="LN248" s="1"/>
      <c r="LO248" s="1"/>
      <c r="LP248" s="1"/>
      <c r="LQ248" s="1"/>
      <c r="LR248" s="1"/>
      <c r="LS248" s="1"/>
    </row>
    <row r="249" spans="1:331" s="25" customFormat="1" x14ac:dyDescent="0.25">
      <c r="A249" s="25" t="s">
        <v>919</v>
      </c>
      <c r="B249" s="29" t="s">
        <v>920</v>
      </c>
      <c r="C249" s="94" t="s">
        <v>1650</v>
      </c>
      <c r="D249" s="25">
        <v>0</v>
      </c>
      <c r="H249" s="25" t="s">
        <v>776</v>
      </c>
      <c r="I249" s="25" t="s">
        <v>918</v>
      </c>
      <c r="J249" s="25" t="s">
        <v>776</v>
      </c>
      <c r="K249" s="25" t="s">
        <v>245</v>
      </c>
      <c r="L249" s="25">
        <v>0</v>
      </c>
      <c r="O249" s="25">
        <v>1</v>
      </c>
      <c r="Q249" s="94" t="s">
        <v>1584</v>
      </c>
      <c r="R249" s="96"/>
      <c r="T249" s="25">
        <v>20</v>
      </c>
      <c r="V249" s="25">
        <v>11</v>
      </c>
      <c r="W249" s="96">
        <v>20</v>
      </c>
      <c r="X249" s="96"/>
      <c r="Y249" s="96"/>
      <c r="Z249" s="25">
        <v>5</v>
      </c>
      <c r="AA249" s="94" t="b">
        <v>1</v>
      </c>
      <c r="AB249" s="1" t="s">
        <v>1898</v>
      </c>
      <c r="AC249" s="57" t="s">
        <v>1998</v>
      </c>
      <c r="AD249" s="1"/>
      <c r="AE249" t="s">
        <v>1886</v>
      </c>
      <c r="AF249" s="1"/>
      <c r="AG249" s="1"/>
      <c r="AH249" s="1"/>
      <c r="AI249" s="1"/>
      <c r="AJ249" s="1"/>
      <c r="AK249" s="1"/>
      <c r="AL249" s="1"/>
      <c r="AM249" s="1"/>
      <c r="AN249" s="1"/>
      <c r="AO249" s="1"/>
      <c r="AP249" s="1"/>
      <c r="AQ249" s="1"/>
      <c r="AR249" s="1"/>
      <c r="AS249" s="1"/>
      <c r="AT249" s="1"/>
      <c r="AU249" s="1"/>
      <c r="AV249" s="1"/>
      <c r="AW249" s="1"/>
      <c r="AX249" s="1"/>
      <c r="AY249" s="1"/>
      <c r="AZ249" s="1"/>
      <c r="BA249" s="1"/>
      <c r="BB249" s="1"/>
      <c r="BC249" s="1"/>
      <c r="BD249" s="1"/>
      <c r="BE249" s="1"/>
      <c r="BF249" s="1"/>
      <c r="BG249" s="1"/>
      <c r="BH249" s="1"/>
      <c r="BI249" s="1"/>
      <c r="BJ249" s="1"/>
      <c r="BK249" s="1"/>
      <c r="BL249" s="1"/>
      <c r="BM249" s="1"/>
      <c r="BN249" s="1"/>
      <c r="BO249" s="1"/>
      <c r="BP249" s="1"/>
      <c r="BQ249" s="1"/>
      <c r="BR249" s="1"/>
      <c r="BS249" s="1"/>
      <c r="BT249" s="1"/>
      <c r="BU249" s="1"/>
      <c r="BV249" s="1"/>
      <c r="BW249" s="1"/>
      <c r="BX249" s="1"/>
      <c r="BY249" s="1"/>
      <c r="BZ249" s="1"/>
      <c r="CA249" s="1"/>
      <c r="CB249" s="1"/>
      <c r="CC249" s="1"/>
      <c r="CD249" s="1"/>
      <c r="CE249" s="1"/>
      <c r="CF249" s="1"/>
      <c r="CG249" s="1"/>
      <c r="CH249" s="1"/>
      <c r="CI249" s="1"/>
      <c r="CJ249" s="1"/>
      <c r="CK249" s="1"/>
      <c r="CL249" s="1"/>
      <c r="CM249" s="1"/>
      <c r="CN249" s="1"/>
      <c r="CO249" s="1"/>
      <c r="CP249" s="1"/>
      <c r="CQ249" s="1"/>
      <c r="CR249" s="1"/>
      <c r="CS249" s="1"/>
      <c r="CT249" s="1"/>
      <c r="CU249" s="1"/>
      <c r="CV249" s="1"/>
      <c r="CW249" s="1"/>
      <c r="CX249" s="1"/>
      <c r="CY249" s="1"/>
      <c r="CZ249" s="1"/>
      <c r="DA249" s="1"/>
      <c r="DB249" s="1"/>
      <c r="DC249" s="1"/>
      <c r="DD249" s="1"/>
      <c r="DE249" s="1"/>
      <c r="DF249" s="1"/>
      <c r="DG249" s="1"/>
      <c r="DH249" s="1"/>
      <c r="DI249" s="1"/>
      <c r="DJ249" s="1"/>
      <c r="DK249" s="1"/>
      <c r="DL249" s="1"/>
      <c r="DM249" s="1"/>
      <c r="DN249" s="1"/>
      <c r="DO249" s="1"/>
      <c r="DP249" s="1"/>
      <c r="DQ249" s="1"/>
      <c r="DR249" s="1"/>
      <c r="DS249" s="1"/>
      <c r="DT249" s="1"/>
      <c r="DU249" s="1"/>
      <c r="DV249" s="1"/>
      <c r="DW249" s="1"/>
      <c r="DX249" s="1"/>
      <c r="DY249" s="1"/>
      <c r="DZ249" s="1"/>
      <c r="EA249" s="1"/>
      <c r="EB249" s="1"/>
      <c r="EC249" s="1"/>
      <c r="ED249" s="1"/>
      <c r="EE249" s="1"/>
      <c r="EF249" s="1"/>
      <c r="EG249" s="1"/>
      <c r="EH249" s="1"/>
      <c r="EI249" s="1"/>
      <c r="EJ249" s="1"/>
      <c r="EK249" s="1"/>
      <c r="EL249" s="1"/>
      <c r="EM249" s="1"/>
      <c r="EN249" s="1"/>
      <c r="EO249" s="1"/>
      <c r="EP249" s="1"/>
      <c r="EQ249" s="1"/>
      <c r="ER249" s="1"/>
      <c r="ES249" s="1"/>
      <c r="ET249" s="1"/>
      <c r="EU249" s="1"/>
      <c r="EV249" s="1"/>
      <c r="EW249" s="1"/>
      <c r="EX249" s="1"/>
      <c r="EY249" s="1"/>
      <c r="EZ249" s="1"/>
      <c r="FA249" s="1"/>
      <c r="FB249" s="1"/>
      <c r="FC249" s="1"/>
      <c r="FD249" s="1"/>
      <c r="FE249" s="1"/>
      <c r="FF249" s="1"/>
      <c r="FG249" s="1"/>
      <c r="FH249" s="1"/>
      <c r="FI249" s="1"/>
      <c r="FJ249" s="1"/>
      <c r="FK249" s="1"/>
      <c r="FL249" s="1"/>
      <c r="FM249" s="1"/>
      <c r="FN249" s="1"/>
      <c r="FO249" s="1"/>
      <c r="FP249" s="1"/>
      <c r="FQ249" s="1"/>
      <c r="FR249" s="1"/>
      <c r="FS249" s="1"/>
      <c r="FT249" s="1"/>
      <c r="FU249" s="1"/>
      <c r="FV249" s="1"/>
      <c r="FW249" s="1"/>
      <c r="FX249" s="1"/>
      <c r="FY249" s="1"/>
      <c r="FZ249" s="1"/>
      <c r="GA249" s="1"/>
      <c r="GB249" s="1"/>
      <c r="GC249" s="1"/>
      <c r="GD249" s="1"/>
      <c r="GE249" s="1"/>
      <c r="GF249" s="1"/>
      <c r="GG249" s="1"/>
      <c r="GH249" s="1"/>
      <c r="GI249" s="1"/>
      <c r="GJ249" s="1"/>
      <c r="GK249" s="1"/>
      <c r="GL249" s="1"/>
      <c r="GM249" s="1"/>
      <c r="GN249" s="1"/>
      <c r="GO249" s="1"/>
      <c r="GP249" s="1"/>
      <c r="GQ249" s="1"/>
      <c r="GR249" s="1"/>
      <c r="GS249" s="1"/>
      <c r="GT249" s="1"/>
      <c r="GU249" s="1"/>
      <c r="GV249" s="1"/>
      <c r="GW249" s="1"/>
      <c r="GX249" s="1"/>
      <c r="GY249" s="1"/>
      <c r="GZ249" s="1"/>
      <c r="HA249" s="1"/>
      <c r="HB249" s="1"/>
      <c r="HC249" s="1"/>
      <c r="HD249" s="1"/>
      <c r="HE249" s="1"/>
      <c r="HF249" s="1"/>
      <c r="HG249" s="1"/>
      <c r="HH249" s="1"/>
      <c r="HI249" s="1"/>
      <c r="HJ249" s="1"/>
      <c r="HK249" s="1"/>
      <c r="HL249" s="1"/>
      <c r="HM249" s="1"/>
      <c r="HN249" s="1"/>
      <c r="HO249" s="1"/>
      <c r="HP249" s="1"/>
      <c r="HQ249" s="1"/>
      <c r="HR249" s="1"/>
      <c r="HS249" s="1"/>
      <c r="HT249" s="1"/>
      <c r="HU249" s="1"/>
      <c r="HV249" s="1"/>
      <c r="HW249" s="1"/>
      <c r="HX249" s="1"/>
      <c r="HY249" s="1"/>
      <c r="HZ249" s="1"/>
      <c r="IA249" s="1"/>
      <c r="IB249" s="1"/>
      <c r="IC249" s="1"/>
      <c r="ID249" s="1"/>
      <c r="IE249" s="1"/>
      <c r="IF249" s="1"/>
      <c r="IG249" s="1"/>
      <c r="IH249" s="1"/>
      <c r="II249" s="1"/>
      <c r="IJ249" s="1"/>
      <c r="IK249" s="1"/>
      <c r="IL249" s="1"/>
      <c r="IM249" s="1"/>
      <c r="IN249" s="1"/>
      <c r="IO249" s="1"/>
      <c r="IP249" s="1"/>
      <c r="IQ249" s="1"/>
      <c r="IR249" s="1"/>
      <c r="IS249" s="1"/>
      <c r="IT249" s="1"/>
      <c r="IU249" s="1"/>
      <c r="IV249" s="1"/>
      <c r="IW249" s="1"/>
      <c r="IX249" s="1"/>
      <c r="IY249" s="1"/>
      <c r="IZ249" s="1"/>
      <c r="JA249" s="1"/>
      <c r="JB249" s="1"/>
      <c r="JC249" s="1"/>
      <c r="JD249" s="1"/>
      <c r="JE249" s="1"/>
      <c r="JF249" s="1"/>
      <c r="JG249" s="1"/>
      <c r="JH249" s="1"/>
      <c r="JI249" s="1"/>
      <c r="JJ249" s="1"/>
      <c r="JK249" s="1"/>
      <c r="JL249" s="1"/>
      <c r="JM249" s="1"/>
      <c r="JN249" s="1"/>
      <c r="JO249" s="1"/>
      <c r="JP249" s="1"/>
      <c r="JQ249" s="1"/>
      <c r="JR249" s="1"/>
      <c r="JS249" s="1"/>
      <c r="JT249" s="1"/>
      <c r="JU249" s="1"/>
      <c r="JV249" s="1"/>
      <c r="JW249" s="1"/>
      <c r="JX249" s="1"/>
      <c r="JY249" s="1"/>
      <c r="JZ249" s="1"/>
      <c r="KA249" s="1"/>
      <c r="KB249" s="1"/>
      <c r="KC249" s="1"/>
      <c r="KD249" s="1"/>
      <c r="KE249" s="1"/>
      <c r="KF249" s="1"/>
      <c r="KG249" s="1"/>
      <c r="KH249" s="1"/>
      <c r="KI249" s="1"/>
      <c r="KJ249" s="1"/>
      <c r="KK249" s="1"/>
      <c r="KL249" s="1"/>
      <c r="KM249" s="1"/>
      <c r="KN249" s="1"/>
      <c r="KO249" s="1"/>
      <c r="KP249" s="1"/>
      <c r="KQ249" s="1"/>
      <c r="KR249" s="1"/>
      <c r="KS249" s="1"/>
      <c r="KT249" s="1"/>
      <c r="KU249" s="1"/>
      <c r="KV249" s="1"/>
      <c r="KW249" s="1"/>
      <c r="KX249" s="1"/>
      <c r="KY249" s="1"/>
      <c r="KZ249" s="1"/>
      <c r="LA249" s="1"/>
      <c r="LB249" s="1"/>
      <c r="LC249" s="1"/>
      <c r="LD249" s="1"/>
      <c r="LE249" s="1"/>
      <c r="LF249" s="1"/>
      <c r="LG249" s="1"/>
      <c r="LH249" s="1"/>
      <c r="LI249" s="1"/>
      <c r="LJ249" s="1"/>
      <c r="LK249" s="1"/>
      <c r="LL249" s="1"/>
      <c r="LM249" s="1"/>
      <c r="LN249" s="1"/>
      <c r="LO249" s="1"/>
      <c r="LP249" s="1"/>
      <c r="LQ249" s="1"/>
      <c r="LR249" s="1"/>
      <c r="LS249" s="1"/>
    </row>
    <row r="250" spans="1:331" s="72" customFormat="1" x14ac:dyDescent="0.25">
      <c r="A250" s="72" t="s">
        <v>921</v>
      </c>
      <c r="B250" s="75" t="s">
        <v>922</v>
      </c>
      <c r="C250" s="94" t="s">
        <v>1650</v>
      </c>
      <c r="D250" s="72">
        <v>0</v>
      </c>
      <c r="H250" s="72" t="s">
        <v>923</v>
      </c>
      <c r="I250" s="72" t="s">
        <v>924</v>
      </c>
      <c r="J250" s="72" t="s">
        <v>923</v>
      </c>
      <c r="K250" s="75" t="s">
        <v>924</v>
      </c>
      <c r="L250" s="72">
        <v>0</v>
      </c>
      <c r="O250" s="72">
        <v>1</v>
      </c>
      <c r="P250" s="76">
        <v>44585</v>
      </c>
      <c r="Q250" s="96"/>
      <c r="R250" s="94" t="s">
        <v>235</v>
      </c>
      <c r="T250" s="72">
        <v>27</v>
      </c>
      <c r="V250" s="72">
        <v>23</v>
      </c>
      <c r="W250" s="96">
        <v>27</v>
      </c>
      <c r="X250" s="96"/>
      <c r="Y250" s="96"/>
      <c r="Z250" s="72">
        <v>14</v>
      </c>
      <c r="AA250" s="94" t="b">
        <v>1</v>
      </c>
      <c r="AB250" s="1"/>
      <c r="AC250" s="57" t="s">
        <v>1625</v>
      </c>
      <c r="AD250" s="1"/>
      <c r="AE250" t="s">
        <v>1886</v>
      </c>
      <c r="AF250" s="1"/>
      <c r="AG250" s="1"/>
      <c r="AH250" s="1"/>
      <c r="AI250" s="1"/>
      <c r="AJ250" s="1"/>
      <c r="AK250" s="1"/>
      <c r="AL250" s="1"/>
      <c r="AM250" s="1"/>
      <c r="AN250" s="1"/>
      <c r="AO250" s="1"/>
      <c r="AP250" s="1"/>
      <c r="AQ250" s="1"/>
      <c r="AR250" s="1"/>
      <c r="AS250" s="1"/>
      <c r="AT250" s="1"/>
      <c r="AU250" s="1"/>
      <c r="AV250" s="1"/>
      <c r="AW250" s="1"/>
      <c r="AX250" s="1"/>
      <c r="AY250" s="1"/>
      <c r="AZ250" s="1"/>
      <c r="BA250" s="1"/>
      <c r="BB250" s="1"/>
      <c r="BC250" s="1"/>
      <c r="BD250" s="1"/>
      <c r="BE250" s="1"/>
      <c r="BF250" s="1"/>
      <c r="BG250" s="1"/>
      <c r="BH250" s="1"/>
      <c r="BI250" s="1"/>
      <c r="BJ250" s="1"/>
      <c r="BK250" s="1"/>
      <c r="BL250" s="1"/>
      <c r="BM250" s="1"/>
      <c r="BN250" s="1"/>
      <c r="BO250" s="1"/>
      <c r="BP250" s="1"/>
      <c r="BQ250" s="1"/>
      <c r="BR250" s="1"/>
      <c r="BS250" s="1"/>
      <c r="BT250" s="1"/>
      <c r="BU250" s="1"/>
      <c r="BV250" s="1"/>
    </row>
    <row r="251" spans="1:331" s="25" customFormat="1" x14ac:dyDescent="0.25">
      <c r="A251" s="25" t="s">
        <v>925</v>
      </c>
      <c r="B251" s="29" t="s">
        <v>926</v>
      </c>
      <c r="C251" s="94" t="s">
        <v>1650</v>
      </c>
      <c r="D251" s="25">
        <v>0</v>
      </c>
      <c r="H251" s="25" t="s">
        <v>927</v>
      </c>
      <c r="I251" s="25" t="s">
        <v>928</v>
      </c>
      <c r="J251" s="25" t="s">
        <v>927</v>
      </c>
      <c r="K251" s="25" t="s">
        <v>928</v>
      </c>
      <c r="L251" s="25">
        <v>0</v>
      </c>
      <c r="O251" s="25">
        <v>0</v>
      </c>
      <c r="Q251" s="96" t="s">
        <v>336</v>
      </c>
      <c r="R251" s="96"/>
      <c r="T251" s="25">
        <v>9</v>
      </c>
      <c r="V251" s="25">
        <v>8</v>
      </c>
      <c r="W251" s="96">
        <v>9</v>
      </c>
      <c r="X251" s="96"/>
      <c r="Y251" s="96"/>
      <c r="Z251" s="25">
        <v>5</v>
      </c>
      <c r="AA251" s="94" t="b">
        <v>1</v>
      </c>
      <c r="AB251" s="1"/>
      <c r="AC251" s="57" t="s">
        <v>1352</v>
      </c>
      <c r="AD251" s="1"/>
      <c r="AE251" t="s">
        <v>1886</v>
      </c>
      <c r="AF251" s="1"/>
      <c r="AG251" s="1"/>
      <c r="AH251" s="1"/>
      <c r="AI251" s="1"/>
      <c r="AJ251" s="1"/>
      <c r="AK251" s="1"/>
      <c r="AL251" s="1"/>
      <c r="AM251" s="1"/>
      <c r="AN251" s="1"/>
      <c r="AO251" s="1"/>
      <c r="AP251" s="1"/>
      <c r="AQ251" s="1"/>
      <c r="AR251" s="1"/>
      <c r="AS251" s="1"/>
      <c r="AT251" s="1"/>
      <c r="AU251" s="1"/>
      <c r="AV251" s="1"/>
      <c r="AW251" s="1"/>
      <c r="AX251" s="1"/>
      <c r="AY251" s="1"/>
      <c r="AZ251" s="1"/>
      <c r="BA251" s="1"/>
      <c r="BB251" s="1"/>
      <c r="BC251" s="1"/>
      <c r="BD251" s="1"/>
      <c r="BE251" s="1"/>
      <c r="BF251" s="1"/>
      <c r="BG251" s="1"/>
      <c r="BH251" s="1"/>
      <c r="BI251" s="1"/>
      <c r="BJ251" s="1"/>
      <c r="BK251" s="1"/>
      <c r="BL251" s="1"/>
      <c r="BM251" s="1"/>
      <c r="BN251" s="1"/>
      <c r="BO251" s="1"/>
      <c r="BP251" s="1"/>
      <c r="BQ251" s="1"/>
      <c r="BR251" s="1"/>
      <c r="BS251" s="1"/>
      <c r="BT251" s="1"/>
      <c r="BU251" s="1"/>
      <c r="BV251" s="1"/>
      <c r="BW251" s="1"/>
      <c r="BX251" s="1"/>
      <c r="BY251" s="1"/>
      <c r="BZ251" s="1"/>
      <c r="CA251" s="1"/>
      <c r="CB251" s="1"/>
      <c r="CC251" s="1"/>
      <c r="CD251" s="1"/>
      <c r="CE251" s="1"/>
      <c r="CF251" s="1"/>
      <c r="CG251" s="1"/>
      <c r="CH251" s="1"/>
      <c r="CI251" s="1"/>
      <c r="CJ251" s="1"/>
      <c r="CK251" s="1"/>
      <c r="CL251" s="1"/>
      <c r="CM251" s="1"/>
      <c r="CN251" s="1"/>
      <c r="CO251" s="1"/>
      <c r="CP251" s="1"/>
      <c r="CQ251" s="1"/>
      <c r="CR251" s="1"/>
      <c r="CS251" s="1"/>
      <c r="CT251" s="1"/>
      <c r="CU251" s="1"/>
      <c r="CV251" s="1"/>
      <c r="CW251" s="1"/>
      <c r="CX251" s="1"/>
      <c r="CY251" s="1"/>
      <c r="CZ251" s="1"/>
      <c r="DA251" s="1"/>
      <c r="DB251" s="1"/>
      <c r="DC251" s="1"/>
      <c r="DD251" s="1"/>
      <c r="DE251" s="1"/>
      <c r="DF251" s="1"/>
      <c r="DG251" s="1"/>
      <c r="DH251" s="1"/>
      <c r="DI251" s="1"/>
      <c r="DJ251" s="1"/>
      <c r="DK251" s="1"/>
      <c r="DL251" s="1"/>
      <c r="DM251" s="1"/>
      <c r="DN251" s="1"/>
      <c r="DO251" s="1"/>
      <c r="DP251" s="1"/>
      <c r="DQ251" s="1"/>
      <c r="DR251" s="1"/>
      <c r="DS251" s="1"/>
      <c r="DT251" s="1"/>
      <c r="DU251" s="1"/>
      <c r="DV251" s="1"/>
      <c r="DW251" s="1"/>
      <c r="DX251" s="1"/>
      <c r="DY251" s="1"/>
      <c r="DZ251" s="1"/>
      <c r="EA251" s="1"/>
      <c r="EB251" s="1"/>
      <c r="EC251" s="1"/>
      <c r="ED251" s="1"/>
      <c r="EE251" s="1"/>
      <c r="EF251" s="1"/>
      <c r="EG251" s="1"/>
      <c r="EH251" s="1"/>
      <c r="EI251" s="1"/>
      <c r="EJ251" s="1"/>
      <c r="EK251" s="1"/>
      <c r="EL251" s="1"/>
      <c r="EM251" s="1"/>
      <c r="EN251" s="1"/>
      <c r="EO251" s="1"/>
      <c r="EP251" s="1"/>
      <c r="EQ251" s="1"/>
      <c r="ER251" s="1"/>
      <c r="ES251" s="1"/>
      <c r="ET251" s="1"/>
      <c r="EU251" s="1"/>
      <c r="EV251" s="1"/>
      <c r="EW251" s="1"/>
      <c r="EX251" s="1"/>
      <c r="EY251" s="1"/>
      <c r="EZ251" s="1"/>
      <c r="FA251" s="1"/>
      <c r="FB251" s="1"/>
      <c r="FC251" s="1"/>
      <c r="FD251" s="1"/>
      <c r="FE251" s="1"/>
      <c r="FF251" s="1"/>
      <c r="FG251" s="1"/>
      <c r="FH251" s="1"/>
      <c r="FI251" s="1"/>
      <c r="FJ251" s="1"/>
      <c r="FK251" s="1"/>
      <c r="FL251" s="1"/>
      <c r="FM251" s="1"/>
      <c r="FN251" s="1"/>
      <c r="FO251" s="1"/>
      <c r="FP251" s="1"/>
      <c r="FQ251" s="1"/>
      <c r="FR251" s="1"/>
      <c r="FS251" s="1"/>
      <c r="FT251" s="1"/>
      <c r="FU251" s="1"/>
      <c r="FV251" s="1"/>
      <c r="FW251" s="1"/>
      <c r="FX251" s="1"/>
      <c r="FY251" s="1"/>
      <c r="FZ251" s="1"/>
      <c r="GA251" s="1"/>
      <c r="GB251" s="1"/>
      <c r="GC251" s="1"/>
      <c r="GD251" s="1"/>
      <c r="GE251" s="1"/>
      <c r="GF251" s="1"/>
      <c r="GG251" s="1"/>
      <c r="GH251" s="1"/>
      <c r="GI251" s="1"/>
      <c r="GJ251" s="1"/>
      <c r="GK251" s="1"/>
      <c r="GL251" s="1"/>
      <c r="GM251" s="1"/>
      <c r="GN251" s="1"/>
      <c r="GO251" s="1"/>
      <c r="GP251" s="1"/>
      <c r="GQ251" s="1"/>
      <c r="GR251" s="1"/>
      <c r="GS251" s="1"/>
      <c r="GT251" s="1"/>
      <c r="GU251" s="1"/>
      <c r="GV251" s="1"/>
      <c r="GW251" s="1"/>
      <c r="GX251" s="1"/>
      <c r="GY251" s="1"/>
      <c r="GZ251" s="1"/>
      <c r="HA251" s="1"/>
      <c r="HB251" s="1"/>
      <c r="HC251" s="1"/>
      <c r="HD251" s="1"/>
      <c r="HE251" s="1"/>
      <c r="HF251" s="1"/>
      <c r="HG251" s="1"/>
      <c r="HH251" s="1"/>
      <c r="HI251" s="1"/>
      <c r="HJ251" s="1"/>
      <c r="HK251" s="1"/>
      <c r="HL251" s="1"/>
      <c r="HM251" s="1"/>
      <c r="HN251" s="1"/>
      <c r="HO251" s="1"/>
      <c r="HP251" s="1"/>
      <c r="HQ251" s="1"/>
      <c r="HR251" s="1"/>
      <c r="HS251" s="1"/>
      <c r="HT251" s="1"/>
      <c r="HU251" s="1"/>
      <c r="HV251" s="1"/>
      <c r="HW251" s="1"/>
      <c r="HX251" s="1"/>
      <c r="HY251" s="1"/>
      <c r="HZ251" s="1"/>
      <c r="IA251" s="1"/>
      <c r="IB251" s="1"/>
      <c r="IC251" s="1"/>
      <c r="ID251" s="1"/>
      <c r="IE251" s="1"/>
      <c r="IF251" s="1"/>
      <c r="IG251" s="1"/>
      <c r="IH251" s="1"/>
      <c r="II251" s="1"/>
      <c r="IJ251" s="1"/>
      <c r="IK251" s="1"/>
      <c r="IL251" s="1"/>
      <c r="IM251" s="1"/>
      <c r="IN251" s="1"/>
      <c r="IO251" s="1"/>
      <c r="IP251" s="1"/>
      <c r="IQ251" s="1"/>
      <c r="IR251" s="1"/>
      <c r="IS251" s="1"/>
      <c r="IT251" s="1"/>
      <c r="IU251" s="1"/>
      <c r="IV251" s="1"/>
      <c r="IW251" s="1"/>
      <c r="IX251" s="1"/>
      <c r="IY251" s="1"/>
      <c r="IZ251" s="1"/>
      <c r="JA251" s="1"/>
      <c r="JB251" s="1"/>
      <c r="JC251" s="1"/>
      <c r="JD251" s="1"/>
      <c r="JE251" s="1"/>
      <c r="JF251" s="1"/>
      <c r="JG251" s="1"/>
      <c r="JH251" s="1"/>
      <c r="JI251" s="1"/>
      <c r="JJ251" s="1"/>
      <c r="JK251" s="1"/>
      <c r="JL251" s="1"/>
      <c r="JM251" s="1"/>
      <c r="JN251" s="1"/>
      <c r="JO251" s="1"/>
      <c r="JP251" s="1"/>
      <c r="JQ251" s="1"/>
      <c r="JR251" s="1"/>
      <c r="JS251" s="1"/>
      <c r="JT251" s="1"/>
      <c r="JU251" s="1"/>
      <c r="JV251" s="1"/>
      <c r="JW251" s="1"/>
      <c r="JX251" s="1"/>
      <c r="JY251" s="1"/>
      <c r="JZ251" s="1"/>
      <c r="KA251" s="1"/>
      <c r="KB251" s="1"/>
      <c r="KC251" s="1"/>
      <c r="KD251" s="1"/>
      <c r="KE251" s="1"/>
      <c r="KF251" s="1"/>
      <c r="KG251" s="1"/>
      <c r="KH251" s="1"/>
      <c r="KI251" s="1"/>
      <c r="KJ251" s="1"/>
      <c r="KK251" s="1"/>
      <c r="KL251" s="1"/>
      <c r="KM251" s="1"/>
      <c r="KN251" s="1"/>
      <c r="KO251" s="1"/>
      <c r="KP251" s="1"/>
      <c r="KQ251" s="1"/>
      <c r="KR251" s="1"/>
      <c r="KS251" s="1"/>
      <c r="KT251" s="1"/>
      <c r="KU251" s="1"/>
      <c r="KV251" s="1"/>
      <c r="KW251" s="1"/>
      <c r="KX251" s="1"/>
      <c r="KY251" s="1"/>
      <c r="KZ251" s="1"/>
      <c r="LA251" s="1"/>
      <c r="LB251" s="1"/>
      <c r="LC251" s="1"/>
      <c r="LD251" s="1"/>
      <c r="LE251" s="1"/>
      <c r="LF251" s="1"/>
      <c r="LG251" s="1"/>
      <c r="LH251" s="1"/>
      <c r="LI251" s="1"/>
      <c r="LJ251" s="1"/>
      <c r="LK251" s="1"/>
      <c r="LL251" s="1"/>
      <c r="LM251" s="1"/>
      <c r="LN251" s="1"/>
      <c r="LO251" s="1"/>
      <c r="LP251" s="1"/>
      <c r="LQ251" s="1"/>
      <c r="LR251" s="1"/>
      <c r="LS251" s="1"/>
    </row>
    <row r="252" spans="1:331" s="30" customFormat="1" x14ac:dyDescent="0.25">
      <c r="A252" s="30" t="s">
        <v>929</v>
      </c>
      <c r="B252" s="34" t="s">
        <v>930</v>
      </c>
      <c r="C252" s="94" t="s">
        <v>1650</v>
      </c>
      <c r="D252" s="30">
        <v>1</v>
      </c>
      <c r="E252" s="30" t="s">
        <v>931</v>
      </c>
      <c r="H252" s="30" t="s">
        <v>335</v>
      </c>
      <c r="I252" s="30" t="s">
        <v>932</v>
      </c>
      <c r="J252" s="30" t="s">
        <v>335</v>
      </c>
      <c r="K252" s="30" t="s">
        <v>931</v>
      </c>
      <c r="L252" s="30">
        <v>0</v>
      </c>
      <c r="O252" s="30">
        <v>0</v>
      </c>
      <c r="Q252" s="96" t="s">
        <v>1585</v>
      </c>
      <c r="R252" s="96"/>
      <c r="S252" s="30">
        <v>8</v>
      </c>
      <c r="T252" s="30">
        <v>7</v>
      </c>
      <c r="U252" s="30">
        <v>9</v>
      </c>
      <c r="V252" s="30">
        <v>9</v>
      </c>
      <c r="W252" s="96">
        <v>8</v>
      </c>
      <c r="X252" s="96"/>
      <c r="Y252" s="96"/>
      <c r="Z252" s="30">
        <v>6</v>
      </c>
      <c r="AA252" s="94" t="b">
        <v>1</v>
      </c>
      <c r="AB252" s="1"/>
      <c r="AC252" s="57" t="s">
        <v>1388</v>
      </c>
      <c r="AD252" s="1"/>
      <c r="AE252" t="s">
        <v>1887</v>
      </c>
      <c r="AF252" s="1"/>
      <c r="AG252" s="1"/>
      <c r="AH252" s="1"/>
      <c r="AI252" s="1"/>
      <c r="AJ252" s="1"/>
      <c r="AK252" s="1"/>
      <c r="AL252" s="1"/>
      <c r="AM252" s="1"/>
      <c r="AN252" s="1"/>
      <c r="AO252" s="1"/>
      <c r="AP252" s="1"/>
      <c r="AQ252" s="1"/>
      <c r="AR252" s="1"/>
      <c r="AS252" s="1"/>
      <c r="AT252" s="1"/>
      <c r="AU252" s="1"/>
      <c r="AV252" s="1"/>
      <c r="AW252" s="1"/>
      <c r="AX252" s="1"/>
      <c r="AY252" s="1"/>
      <c r="AZ252" s="1"/>
      <c r="BA252" s="1"/>
      <c r="BB252" s="1"/>
      <c r="BC252" s="1"/>
      <c r="BD252" s="1"/>
      <c r="BE252" s="1"/>
      <c r="BF252" s="1"/>
      <c r="BG252" s="1"/>
      <c r="BH252" s="1"/>
      <c r="BI252" s="1"/>
      <c r="BJ252" s="1"/>
      <c r="BK252" s="1"/>
      <c r="BL252" s="1"/>
      <c r="BM252" s="1"/>
      <c r="BN252" s="1"/>
      <c r="BO252" s="1"/>
      <c r="BP252" s="1"/>
      <c r="BQ252" s="1"/>
      <c r="BR252" s="1"/>
      <c r="BS252" s="1"/>
      <c r="BT252" s="1"/>
      <c r="BU252" s="1"/>
      <c r="BV252" s="1"/>
      <c r="BW252" s="1"/>
      <c r="BX252" s="1"/>
      <c r="BY252" s="1"/>
      <c r="BZ252" s="1"/>
      <c r="CA252" s="1"/>
      <c r="CB252" s="1"/>
      <c r="CC252" s="1"/>
      <c r="CD252" s="1"/>
      <c r="CE252" s="1"/>
      <c r="CF252" s="1"/>
      <c r="CG252" s="1"/>
      <c r="CH252" s="1"/>
      <c r="CI252" s="1"/>
      <c r="CJ252" s="1"/>
      <c r="CK252" s="1"/>
      <c r="CL252" s="1"/>
      <c r="CM252" s="1"/>
      <c r="CN252" s="1"/>
      <c r="CO252" s="1"/>
      <c r="CP252" s="1"/>
      <c r="CQ252" s="1"/>
      <c r="CR252" s="1"/>
      <c r="CS252" s="1"/>
      <c r="CT252" s="1"/>
      <c r="CU252" s="1"/>
      <c r="CV252" s="1"/>
      <c r="CW252" s="1"/>
      <c r="CX252" s="1"/>
      <c r="CY252" s="1"/>
      <c r="CZ252" s="1"/>
      <c r="DA252" s="1"/>
      <c r="DB252" s="1"/>
      <c r="DC252" s="1"/>
      <c r="DD252" s="1"/>
      <c r="DE252" s="1"/>
      <c r="DF252" s="1"/>
      <c r="DG252" s="1"/>
      <c r="DH252" s="1"/>
      <c r="DI252" s="1"/>
      <c r="DJ252" s="1"/>
      <c r="DK252" s="1"/>
      <c r="DL252" s="1"/>
      <c r="DM252" s="1"/>
      <c r="DN252" s="1"/>
      <c r="DO252" s="1"/>
      <c r="DP252" s="1"/>
      <c r="DQ252" s="1"/>
      <c r="DR252" s="1"/>
      <c r="DS252" s="1"/>
      <c r="DT252" s="1"/>
      <c r="DU252" s="1"/>
      <c r="DV252" s="1"/>
      <c r="DW252" s="1"/>
      <c r="DX252" s="1"/>
      <c r="DY252" s="1"/>
      <c r="DZ252" s="1"/>
      <c r="EA252" s="1"/>
      <c r="EB252" s="1"/>
      <c r="EC252" s="1"/>
      <c r="ED252" s="1"/>
      <c r="EE252" s="1"/>
      <c r="EF252" s="1"/>
      <c r="EG252" s="1"/>
      <c r="EH252" s="1"/>
      <c r="EI252" s="1"/>
      <c r="EJ252" s="1"/>
      <c r="EK252" s="1"/>
      <c r="EL252" s="1"/>
      <c r="EM252" s="1"/>
      <c r="EN252" s="1"/>
      <c r="EO252" s="1"/>
      <c r="EP252" s="1"/>
      <c r="EQ252" s="1"/>
      <c r="ER252" s="1"/>
      <c r="ES252" s="1"/>
      <c r="ET252" s="1"/>
      <c r="EU252" s="1"/>
      <c r="EV252" s="1"/>
      <c r="EW252" s="1"/>
      <c r="EX252" s="1"/>
      <c r="EY252" s="1"/>
      <c r="EZ252" s="1"/>
      <c r="FA252" s="1"/>
      <c r="FB252" s="1"/>
      <c r="FC252" s="1"/>
      <c r="FD252" s="1"/>
      <c r="FE252" s="1"/>
      <c r="FF252" s="1"/>
      <c r="FG252" s="1"/>
      <c r="FH252" s="1"/>
      <c r="FI252" s="1"/>
      <c r="FJ252" s="1"/>
      <c r="FK252" s="1"/>
      <c r="FL252" s="1"/>
      <c r="FM252" s="1"/>
      <c r="FN252" s="1"/>
      <c r="FO252" s="1"/>
      <c r="FP252" s="1"/>
      <c r="FQ252" s="1"/>
      <c r="FR252" s="1"/>
      <c r="FS252" s="1"/>
      <c r="FT252" s="1"/>
      <c r="FU252" s="1"/>
      <c r="FV252" s="1"/>
      <c r="FW252" s="1"/>
      <c r="FX252" s="1"/>
      <c r="FY252" s="1"/>
      <c r="FZ252" s="1"/>
      <c r="GA252" s="1"/>
      <c r="GB252" s="1"/>
      <c r="GC252" s="1"/>
      <c r="GD252" s="1"/>
      <c r="GE252" s="1"/>
      <c r="GF252" s="1"/>
      <c r="GG252" s="1"/>
      <c r="GH252" s="1"/>
      <c r="GI252" s="1"/>
      <c r="GJ252" s="1"/>
      <c r="GK252" s="1"/>
      <c r="GL252" s="1"/>
      <c r="GM252" s="1"/>
      <c r="GN252" s="1"/>
      <c r="GO252" s="1"/>
      <c r="GP252" s="1"/>
      <c r="GQ252" s="1"/>
      <c r="GR252" s="1"/>
      <c r="GS252" s="1"/>
      <c r="GT252" s="1"/>
      <c r="GU252" s="1"/>
      <c r="GV252" s="1"/>
      <c r="GW252" s="1"/>
      <c r="GX252" s="1"/>
      <c r="GY252" s="1"/>
      <c r="GZ252" s="1"/>
      <c r="HA252" s="1"/>
      <c r="HB252" s="1"/>
      <c r="HC252" s="1"/>
      <c r="HD252" s="1"/>
      <c r="HE252" s="1"/>
      <c r="HF252" s="1"/>
      <c r="HG252" s="1"/>
      <c r="HH252" s="1"/>
      <c r="HI252" s="1"/>
      <c r="HJ252" s="1"/>
      <c r="HK252" s="1"/>
      <c r="HL252" s="1"/>
      <c r="HM252" s="1"/>
      <c r="HN252" s="1"/>
      <c r="HO252" s="1"/>
      <c r="HP252" s="1"/>
      <c r="HQ252" s="1"/>
      <c r="HR252" s="1"/>
      <c r="HS252" s="1"/>
      <c r="HT252" s="1"/>
      <c r="HU252" s="1"/>
      <c r="HV252" s="1"/>
      <c r="HW252" s="1"/>
      <c r="HX252" s="1"/>
      <c r="HY252" s="1"/>
      <c r="HZ252" s="1"/>
      <c r="IA252" s="1"/>
      <c r="IB252" s="1"/>
      <c r="IC252" s="1"/>
      <c r="ID252" s="1"/>
      <c r="IE252" s="1"/>
      <c r="IF252" s="1"/>
      <c r="IG252" s="1"/>
      <c r="IH252" s="1"/>
      <c r="II252" s="1"/>
      <c r="IJ252" s="1"/>
      <c r="IK252" s="1"/>
      <c r="IL252" s="1"/>
      <c r="IM252" s="1"/>
      <c r="IN252" s="1"/>
      <c r="IO252" s="1"/>
      <c r="IP252" s="1"/>
      <c r="IQ252" s="1"/>
      <c r="IR252" s="1"/>
      <c r="IS252" s="1"/>
      <c r="IT252" s="1"/>
      <c r="IU252" s="1"/>
      <c r="IV252" s="1"/>
      <c r="IW252" s="1"/>
      <c r="IX252" s="1"/>
      <c r="IY252" s="1"/>
      <c r="IZ252" s="1"/>
      <c r="JA252" s="1"/>
      <c r="JB252" s="1"/>
      <c r="JC252" s="1"/>
      <c r="JD252" s="1"/>
      <c r="JE252" s="1"/>
      <c r="JF252" s="1"/>
      <c r="JG252" s="1"/>
      <c r="JH252" s="1"/>
      <c r="JI252" s="1"/>
      <c r="JJ252" s="1"/>
      <c r="JK252" s="1"/>
      <c r="JL252" s="1"/>
      <c r="JM252" s="1"/>
      <c r="JN252" s="1"/>
      <c r="JO252" s="1"/>
      <c r="JP252" s="1"/>
      <c r="JQ252" s="1"/>
      <c r="JR252" s="1"/>
      <c r="JS252" s="1"/>
      <c r="JT252" s="1"/>
      <c r="JU252" s="1"/>
      <c r="JV252" s="1"/>
      <c r="JW252" s="1"/>
      <c r="JX252" s="1"/>
      <c r="JY252" s="1"/>
      <c r="JZ252" s="1"/>
      <c r="KA252" s="1"/>
      <c r="KB252" s="1"/>
      <c r="KC252" s="1"/>
      <c r="KD252" s="1"/>
      <c r="KE252" s="1"/>
      <c r="KF252" s="1"/>
      <c r="KG252" s="1"/>
      <c r="KH252" s="1"/>
      <c r="KI252" s="1"/>
      <c r="KJ252" s="1"/>
      <c r="KK252" s="1"/>
      <c r="KL252" s="1"/>
      <c r="KM252" s="1"/>
      <c r="KN252" s="1"/>
      <c r="KO252" s="1"/>
      <c r="KP252" s="1"/>
      <c r="KQ252" s="1"/>
      <c r="KR252" s="1"/>
      <c r="KS252" s="1"/>
      <c r="KT252" s="1"/>
      <c r="KU252" s="1"/>
      <c r="KV252" s="1"/>
      <c r="KW252" s="1"/>
      <c r="KX252" s="1"/>
      <c r="KY252" s="1"/>
      <c r="KZ252" s="1"/>
      <c r="LA252" s="1"/>
      <c r="LB252" s="1"/>
      <c r="LC252" s="1"/>
      <c r="LD252" s="1"/>
      <c r="LE252" s="1"/>
      <c r="LF252" s="1"/>
      <c r="LG252" s="1"/>
      <c r="LH252" s="1"/>
      <c r="LI252" s="1"/>
      <c r="LJ252" s="1"/>
      <c r="LK252" s="1"/>
      <c r="LL252" s="1"/>
      <c r="LM252" s="1"/>
      <c r="LN252" s="1"/>
      <c r="LO252" s="1"/>
      <c r="LP252" s="1"/>
      <c r="LQ252" s="1"/>
      <c r="LR252" s="1"/>
      <c r="LS252" s="1"/>
    </row>
    <row r="253" spans="1:331" s="25" customFormat="1" x14ac:dyDescent="0.25">
      <c r="A253" s="25" t="s">
        <v>933</v>
      </c>
      <c r="B253" s="29" t="s">
        <v>934</v>
      </c>
      <c r="C253" s="94" t="s">
        <v>1650</v>
      </c>
      <c r="D253" s="25">
        <v>0</v>
      </c>
      <c r="H253" s="25" t="s">
        <v>935</v>
      </c>
      <c r="I253" s="25" t="s">
        <v>936</v>
      </c>
      <c r="J253" s="25" t="s">
        <v>935</v>
      </c>
      <c r="K253" s="25" t="s">
        <v>109</v>
      </c>
      <c r="L253" s="25">
        <v>0</v>
      </c>
      <c r="O253" s="25">
        <v>0</v>
      </c>
      <c r="Q253" s="96" t="s">
        <v>1586</v>
      </c>
      <c r="R253" s="96"/>
      <c r="T253" s="25">
        <v>10</v>
      </c>
      <c r="V253" s="25">
        <v>10</v>
      </c>
      <c r="W253" s="96">
        <v>10</v>
      </c>
      <c r="X253" s="96"/>
      <c r="Y253" s="96"/>
      <c r="Z253" s="25">
        <v>5</v>
      </c>
      <c r="AA253" s="94" t="b">
        <v>1</v>
      </c>
      <c r="AB253" s="1"/>
      <c r="AC253" s="57" t="s">
        <v>1353</v>
      </c>
      <c r="AD253" s="1"/>
      <c r="AE253" s="57"/>
      <c r="AF253" s="1"/>
      <c r="AG253" s="1"/>
      <c r="AH253" s="1"/>
      <c r="AI253" s="1"/>
      <c r="AJ253" s="1"/>
      <c r="AK253" s="1"/>
      <c r="AL253" s="1"/>
      <c r="AM253" s="1"/>
      <c r="AN253" s="1"/>
      <c r="AO253" s="1"/>
      <c r="AP253" s="1"/>
      <c r="AQ253" s="1"/>
      <c r="AR253" s="1"/>
      <c r="AS253" s="1"/>
      <c r="AT253" s="1"/>
      <c r="AU253" s="1"/>
      <c r="AV253" s="1"/>
      <c r="AW253" s="1"/>
      <c r="AX253" s="1"/>
      <c r="AY253" s="1"/>
      <c r="AZ253" s="1"/>
      <c r="BA253" s="1"/>
      <c r="BB253" s="1"/>
      <c r="BC253" s="1"/>
      <c r="BD253" s="1"/>
      <c r="BE253" s="1"/>
      <c r="BF253" s="1"/>
      <c r="BG253" s="1"/>
      <c r="BH253" s="1"/>
      <c r="BI253" s="1"/>
      <c r="BJ253" s="1"/>
      <c r="BK253" s="1"/>
      <c r="BL253" s="1"/>
      <c r="BM253" s="1"/>
      <c r="BN253" s="1"/>
      <c r="BO253" s="1"/>
      <c r="BP253" s="1"/>
      <c r="BQ253" s="1"/>
      <c r="BR253" s="1"/>
      <c r="BS253" s="1"/>
      <c r="BT253" s="1"/>
      <c r="BU253" s="1"/>
      <c r="BV253" s="1"/>
      <c r="BW253" s="1"/>
      <c r="BX253" s="1"/>
      <c r="BY253" s="1"/>
      <c r="BZ253" s="1"/>
      <c r="CA253" s="1"/>
      <c r="CB253" s="1"/>
      <c r="CC253" s="1"/>
      <c r="CD253" s="1"/>
      <c r="CE253" s="1"/>
      <c r="CF253" s="1"/>
      <c r="CG253" s="1"/>
      <c r="CH253" s="1"/>
      <c r="CI253" s="1"/>
      <c r="CJ253" s="1"/>
      <c r="CK253" s="1"/>
      <c r="CL253" s="1"/>
      <c r="CM253" s="1"/>
      <c r="CN253" s="1"/>
      <c r="CO253" s="1"/>
      <c r="CP253" s="1"/>
      <c r="CQ253" s="1"/>
      <c r="CR253" s="1"/>
      <c r="CS253" s="1"/>
      <c r="CT253" s="1"/>
      <c r="CU253" s="1"/>
      <c r="CV253" s="1"/>
      <c r="CW253" s="1"/>
      <c r="CX253" s="1"/>
      <c r="CY253" s="1"/>
      <c r="CZ253" s="1"/>
      <c r="DA253" s="1"/>
      <c r="DB253" s="1"/>
      <c r="DC253" s="1"/>
      <c r="DD253" s="1"/>
      <c r="DE253" s="1"/>
      <c r="DF253" s="1"/>
      <c r="DG253" s="1"/>
      <c r="DH253" s="1"/>
      <c r="DI253" s="1"/>
      <c r="DJ253" s="1"/>
      <c r="DK253" s="1"/>
      <c r="DL253" s="1"/>
      <c r="DM253" s="1"/>
      <c r="DN253" s="1"/>
      <c r="DO253" s="1"/>
      <c r="DP253" s="1"/>
      <c r="DQ253" s="1"/>
      <c r="DR253" s="1"/>
      <c r="DS253" s="1"/>
      <c r="DT253" s="1"/>
      <c r="DU253" s="1"/>
      <c r="DV253" s="1"/>
      <c r="DW253" s="1"/>
      <c r="DX253" s="1"/>
      <c r="DY253" s="1"/>
      <c r="DZ253" s="1"/>
      <c r="EA253" s="1"/>
      <c r="EB253" s="1"/>
      <c r="EC253" s="1"/>
      <c r="ED253" s="1"/>
      <c r="EE253" s="1"/>
      <c r="EF253" s="1"/>
      <c r="EG253" s="1"/>
      <c r="EH253" s="1"/>
      <c r="EI253" s="1"/>
      <c r="EJ253" s="1"/>
      <c r="EK253" s="1"/>
      <c r="EL253" s="1"/>
      <c r="EM253" s="1"/>
      <c r="EN253" s="1"/>
      <c r="EO253" s="1"/>
      <c r="EP253" s="1"/>
      <c r="EQ253" s="1"/>
      <c r="ER253" s="1"/>
      <c r="ES253" s="1"/>
      <c r="ET253" s="1"/>
      <c r="EU253" s="1"/>
      <c r="EV253" s="1"/>
      <c r="EW253" s="1"/>
      <c r="EX253" s="1"/>
      <c r="EY253" s="1"/>
      <c r="EZ253" s="1"/>
      <c r="FA253" s="1"/>
      <c r="FB253" s="1"/>
      <c r="FC253" s="1"/>
      <c r="FD253" s="1"/>
      <c r="FE253" s="1"/>
      <c r="FF253" s="1"/>
      <c r="FG253" s="1"/>
      <c r="FH253" s="1"/>
      <c r="FI253" s="1"/>
      <c r="FJ253" s="1"/>
      <c r="FK253" s="1"/>
      <c r="FL253" s="1"/>
      <c r="FM253" s="1"/>
      <c r="FN253" s="1"/>
      <c r="FO253" s="1"/>
      <c r="FP253" s="1"/>
      <c r="FQ253" s="1"/>
      <c r="FR253" s="1"/>
      <c r="FS253" s="1"/>
      <c r="FT253" s="1"/>
      <c r="FU253" s="1"/>
      <c r="FV253" s="1"/>
      <c r="FW253" s="1"/>
      <c r="FX253" s="1"/>
      <c r="FY253" s="1"/>
      <c r="FZ253" s="1"/>
      <c r="GA253" s="1"/>
      <c r="GB253" s="1"/>
      <c r="GC253" s="1"/>
      <c r="GD253" s="1"/>
      <c r="GE253" s="1"/>
      <c r="GF253" s="1"/>
      <c r="GG253" s="1"/>
      <c r="GH253" s="1"/>
      <c r="GI253" s="1"/>
      <c r="GJ253" s="1"/>
      <c r="GK253" s="1"/>
      <c r="GL253" s="1"/>
      <c r="GM253" s="1"/>
      <c r="GN253" s="1"/>
      <c r="GO253" s="1"/>
      <c r="GP253" s="1"/>
      <c r="GQ253" s="1"/>
      <c r="GR253" s="1"/>
      <c r="GS253" s="1"/>
      <c r="GT253" s="1"/>
      <c r="GU253" s="1"/>
      <c r="GV253" s="1"/>
      <c r="GW253" s="1"/>
      <c r="GX253" s="1"/>
      <c r="GY253" s="1"/>
      <c r="GZ253" s="1"/>
      <c r="HA253" s="1"/>
      <c r="HB253" s="1"/>
      <c r="HC253" s="1"/>
      <c r="HD253" s="1"/>
      <c r="HE253" s="1"/>
      <c r="HF253" s="1"/>
      <c r="HG253" s="1"/>
      <c r="HH253" s="1"/>
      <c r="HI253" s="1"/>
      <c r="HJ253" s="1"/>
      <c r="HK253" s="1"/>
      <c r="HL253" s="1"/>
      <c r="HM253" s="1"/>
      <c r="HN253" s="1"/>
      <c r="HO253" s="1"/>
      <c r="HP253" s="1"/>
      <c r="HQ253" s="1"/>
      <c r="HR253" s="1"/>
      <c r="HS253" s="1"/>
      <c r="HT253" s="1"/>
      <c r="HU253" s="1"/>
      <c r="HV253" s="1"/>
      <c r="HW253" s="1"/>
      <c r="HX253" s="1"/>
      <c r="HY253" s="1"/>
      <c r="HZ253" s="1"/>
      <c r="IA253" s="1"/>
      <c r="IB253" s="1"/>
      <c r="IC253" s="1"/>
      <c r="ID253" s="1"/>
      <c r="IE253" s="1"/>
      <c r="IF253" s="1"/>
      <c r="IG253" s="1"/>
      <c r="IH253" s="1"/>
      <c r="II253" s="1"/>
      <c r="IJ253" s="1"/>
      <c r="IK253" s="1"/>
      <c r="IL253" s="1"/>
      <c r="IM253" s="1"/>
      <c r="IN253" s="1"/>
      <c r="IO253" s="1"/>
      <c r="IP253" s="1"/>
      <c r="IQ253" s="1"/>
      <c r="IR253" s="1"/>
      <c r="IS253" s="1"/>
      <c r="IT253" s="1"/>
      <c r="IU253" s="1"/>
      <c r="IV253" s="1"/>
      <c r="IW253" s="1"/>
      <c r="IX253" s="1"/>
      <c r="IY253" s="1"/>
      <c r="IZ253" s="1"/>
      <c r="JA253" s="1"/>
      <c r="JB253" s="1"/>
      <c r="JC253" s="1"/>
      <c r="JD253" s="1"/>
      <c r="JE253" s="1"/>
      <c r="JF253" s="1"/>
      <c r="JG253" s="1"/>
      <c r="JH253" s="1"/>
      <c r="JI253" s="1"/>
      <c r="JJ253" s="1"/>
      <c r="JK253" s="1"/>
      <c r="JL253" s="1"/>
      <c r="JM253" s="1"/>
      <c r="JN253" s="1"/>
      <c r="JO253" s="1"/>
      <c r="JP253" s="1"/>
      <c r="JQ253" s="1"/>
      <c r="JR253" s="1"/>
      <c r="JS253" s="1"/>
      <c r="JT253" s="1"/>
      <c r="JU253" s="1"/>
      <c r="JV253" s="1"/>
      <c r="JW253" s="1"/>
      <c r="JX253" s="1"/>
      <c r="JY253" s="1"/>
      <c r="JZ253" s="1"/>
      <c r="KA253" s="1"/>
      <c r="KB253" s="1"/>
      <c r="KC253" s="1"/>
      <c r="KD253" s="1"/>
      <c r="KE253" s="1"/>
      <c r="KF253" s="1"/>
      <c r="KG253" s="1"/>
      <c r="KH253" s="1"/>
      <c r="KI253" s="1"/>
      <c r="KJ253" s="1"/>
      <c r="KK253" s="1"/>
      <c r="KL253" s="1"/>
      <c r="KM253" s="1"/>
      <c r="KN253" s="1"/>
      <c r="KO253" s="1"/>
      <c r="KP253" s="1"/>
      <c r="KQ253" s="1"/>
      <c r="KR253" s="1"/>
      <c r="KS253" s="1"/>
      <c r="KT253" s="1"/>
      <c r="KU253" s="1"/>
      <c r="KV253" s="1"/>
      <c r="KW253" s="1"/>
      <c r="KX253" s="1"/>
      <c r="KY253" s="1"/>
      <c r="KZ253" s="1"/>
      <c r="LA253" s="1"/>
      <c r="LB253" s="1"/>
      <c r="LC253" s="1"/>
      <c r="LD253" s="1"/>
      <c r="LE253" s="1"/>
      <c r="LF253" s="1"/>
      <c r="LG253" s="1"/>
      <c r="LH253" s="1"/>
      <c r="LI253" s="1"/>
      <c r="LJ253" s="1"/>
      <c r="LK253" s="1"/>
      <c r="LL253" s="1"/>
      <c r="LM253" s="1"/>
      <c r="LN253" s="1"/>
      <c r="LO253" s="1"/>
      <c r="LP253" s="1"/>
      <c r="LQ253" s="1"/>
      <c r="LR253" s="1"/>
      <c r="LS253" s="1"/>
    </row>
    <row r="254" spans="1:331" s="45" customFormat="1" x14ac:dyDescent="0.25">
      <c r="A254" s="45" t="s">
        <v>937</v>
      </c>
      <c r="C254" s="96" t="s">
        <v>1650</v>
      </c>
      <c r="D254" s="45">
        <v>1</v>
      </c>
      <c r="E254" s="45" t="s">
        <v>110</v>
      </c>
      <c r="H254" s="45" t="s">
        <v>938</v>
      </c>
      <c r="I254" s="45" t="s">
        <v>110</v>
      </c>
      <c r="J254" s="45" t="s">
        <v>938</v>
      </c>
      <c r="K254" s="45" t="s">
        <v>938</v>
      </c>
      <c r="L254" s="45">
        <v>1</v>
      </c>
      <c r="M254" s="45" t="s">
        <v>609</v>
      </c>
      <c r="O254" s="45">
        <v>1</v>
      </c>
      <c r="P254" s="45" t="s">
        <v>939</v>
      </c>
      <c r="Q254" s="96"/>
      <c r="R254" s="96" t="s">
        <v>940</v>
      </c>
      <c r="S254" s="45">
        <v>11</v>
      </c>
      <c r="W254" s="96"/>
      <c r="X254" s="96"/>
      <c r="Y254" s="96"/>
      <c r="Z254" s="45">
        <v>-1</v>
      </c>
      <c r="AA254" s="94" t="b">
        <v>0</v>
      </c>
      <c r="AB254" s="1"/>
      <c r="AC254" s="57" t="s">
        <v>1251</v>
      </c>
      <c r="AD254" s="1"/>
      <c r="AE254" s="57"/>
      <c r="AF254" s="1"/>
      <c r="AG254" s="1"/>
      <c r="AH254" s="1"/>
      <c r="AI254" s="1"/>
      <c r="AJ254" s="1"/>
      <c r="AK254" s="1"/>
      <c r="AL254" s="1"/>
      <c r="AM254" s="1"/>
      <c r="AN254" s="1"/>
      <c r="AO254" s="1"/>
      <c r="AP254" s="1"/>
      <c r="AQ254" s="1"/>
      <c r="AR254" s="1"/>
      <c r="AS254" s="1"/>
      <c r="AT254" s="1"/>
      <c r="AU254" s="1"/>
      <c r="AV254" s="1"/>
      <c r="AW254" s="1"/>
      <c r="AX254" s="1"/>
      <c r="AY254" s="1"/>
      <c r="AZ254" s="1"/>
      <c r="BA254" s="1"/>
      <c r="BB254" s="1"/>
      <c r="BC254" s="1"/>
      <c r="BD254" s="1"/>
      <c r="BE254" s="1"/>
      <c r="BF254" s="1"/>
      <c r="BG254" s="1"/>
      <c r="BH254" s="1"/>
      <c r="BI254" s="1"/>
      <c r="BJ254" s="1"/>
      <c r="BK254" s="1"/>
      <c r="BL254" s="1"/>
      <c r="BM254" s="1"/>
      <c r="BN254" s="1"/>
      <c r="BO254" s="1"/>
      <c r="BP254" s="1"/>
      <c r="BQ254" s="1"/>
      <c r="BR254" s="1"/>
      <c r="BS254" s="1"/>
      <c r="BT254" s="1"/>
      <c r="BU254" s="1"/>
      <c r="BV254" s="1"/>
      <c r="BW254" s="1"/>
      <c r="BX254" s="1"/>
      <c r="BY254" s="1"/>
      <c r="BZ254" s="1"/>
      <c r="CA254" s="1"/>
      <c r="CB254" s="1"/>
      <c r="CC254" s="1"/>
      <c r="CD254" s="1"/>
      <c r="CE254" s="1"/>
      <c r="CF254" s="1"/>
      <c r="CG254" s="1"/>
      <c r="CH254" s="1"/>
      <c r="CI254" s="1"/>
      <c r="CJ254" s="1"/>
      <c r="CK254" s="1"/>
      <c r="CL254" s="1"/>
      <c r="CM254" s="1"/>
      <c r="CN254" s="1"/>
      <c r="CO254" s="1"/>
      <c r="CP254" s="1"/>
      <c r="CQ254" s="1"/>
      <c r="CR254" s="1"/>
      <c r="CS254" s="1"/>
      <c r="CT254" s="1"/>
      <c r="CU254" s="1"/>
      <c r="CV254" s="1"/>
      <c r="CW254" s="1"/>
      <c r="CX254" s="1"/>
      <c r="CY254" s="1"/>
      <c r="CZ254" s="1"/>
      <c r="DA254" s="1"/>
      <c r="DB254" s="1"/>
      <c r="DC254" s="1"/>
      <c r="DD254" s="1"/>
      <c r="DE254" s="1"/>
      <c r="DF254" s="1"/>
      <c r="DG254" s="1"/>
      <c r="DH254" s="1"/>
      <c r="DI254" s="1"/>
      <c r="DJ254" s="1"/>
      <c r="DK254" s="1"/>
      <c r="DL254" s="1"/>
      <c r="DM254" s="1"/>
      <c r="DN254" s="1"/>
      <c r="DO254" s="1"/>
      <c r="DP254" s="1"/>
      <c r="DQ254" s="1"/>
      <c r="DR254" s="1"/>
      <c r="DS254" s="1"/>
      <c r="DT254" s="1"/>
      <c r="DU254" s="1"/>
      <c r="DV254" s="1"/>
      <c r="DW254" s="1"/>
      <c r="DX254" s="1"/>
      <c r="DY254" s="1"/>
      <c r="DZ254" s="1"/>
      <c r="EA254" s="1"/>
      <c r="EB254" s="1"/>
      <c r="EC254" s="1"/>
      <c r="ED254" s="1"/>
      <c r="EE254" s="1"/>
      <c r="EF254" s="1"/>
      <c r="EG254" s="1"/>
      <c r="EH254" s="1"/>
      <c r="EI254" s="1"/>
      <c r="EJ254" s="1"/>
      <c r="EK254" s="1"/>
      <c r="EL254" s="1"/>
      <c r="EM254" s="1"/>
      <c r="EN254" s="1"/>
      <c r="EO254" s="1"/>
      <c r="EP254" s="1"/>
      <c r="EQ254" s="1"/>
      <c r="ER254" s="1"/>
      <c r="ES254" s="1"/>
      <c r="ET254" s="1"/>
      <c r="EU254" s="1"/>
      <c r="EV254" s="1"/>
      <c r="EW254" s="1"/>
      <c r="EX254" s="1"/>
      <c r="EY254" s="1"/>
      <c r="EZ254" s="1"/>
      <c r="FA254" s="1"/>
      <c r="FB254" s="1"/>
      <c r="FC254" s="1"/>
      <c r="FD254" s="1"/>
      <c r="FE254" s="1"/>
      <c r="FF254" s="1"/>
      <c r="FG254" s="1"/>
      <c r="FH254" s="1"/>
      <c r="FI254" s="1"/>
      <c r="FJ254" s="1"/>
      <c r="FK254" s="1"/>
      <c r="FL254" s="1"/>
      <c r="FM254" s="1"/>
      <c r="FN254" s="1"/>
      <c r="FO254" s="1"/>
      <c r="FP254" s="1"/>
      <c r="FQ254" s="1"/>
      <c r="FR254" s="1"/>
      <c r="FS254" s="1"/>
      <c r="FT254" s="1"/>
      <c r="FU254" s="1"/>
      <c r="FV254" s="1"/>
      <c r="FW254" s="1"/>
      <c r="FX254" s="1"/>
      <c r="FY254" s="1"/>
      <c r="FZ254" s="1"/>
      <c r="GA254" s="1"/>
      <c r="GB254" s="1"/>
      <c r="GC254" s="1"/>
      <c r="GD254" s="1"/>
      <c r="GE254" s="1"/>
      <c r="GF254" s="1"/>
      <c r="GG254" s="1"/>
      <c r="GH254" s="1"/>
      <c r="GI254" s="1"/>
      <c r="GJ254" s="1"/>
      <c r="GK254" s="1"/>
      <c r="GL254" s="1"/>
      <c r="GM254" s="1"/>
      <c r="GN254" s="1"/>
      <c r="GO254" s="1"/>
      <c r="GP254" s="1"/>
      <c r="GQ254" s="1"/>
      <c r="GR254" s="1"/>
      <c r="GS254" s="1"/>
      <c r="GT254" s="1"/>
      <c r="GU254" s="1"/>
      <c r="GV254" s="1"/>
      <c r="GW254" s="1"/>
      <c r="GX254" s="1"/>
      <c r="GY254" s="1"/>
      <c r="GZ254" s="1"/>
      <c r="HA254" s="1"/>
      <c r="HB254" s="1"/>
      <c r="HC254" s="1"/>
      <c r="HD254" s="1"/>
      <c r="HE254" s="1"/>
      <c r="HF254" s="1"/>
      <c r="HG254" s="1"/>
      <c r="HH254" s="1"/>
      <c r="HI254" s="1"/>
      <c r="HJ254" s="1"/>
      <c r="HK254" s="1"/>
      <c r="HL254" s="1"/>
      <c r="HM254" s="1"/>
      <c r="HN254" s="1"/>
      <c r="HO254" s="1"/>
      <c r="HP254" s="1"/>
      <c r="HQ254" s="1"/>
      <c r="HR254" s="1"/>
      <c r="HS254" s="1"/>
      <c r="HT254" s="1"/>
      <c r="HU254" s="1"/>
      <c r="HV254" s="1"/>
      <c r="HW254" s="1"/>
      <c r="HX254" s="1"/>
      <c r="HY254" s="1"/>
      <c r="HZ254" s="1"/>
      <c r="IA254" s="1"/>
      <c r="IB254" s="1"/>
      <c r="IC254" s="1"/>
      <c r="ID254" s="1"/>
      <c r="IE254" s="1"/>
      <c r="IF254" s="1"/>
      <c r="IG254" s="1"/>
      <c r="IH254" s="1"/>
      <c r="II254" s="1"/>
      <c r="IJ254" s="1"/>
      <c r="IK254" s="1"/>
      <c r="IL254" s="1"/>
      <c r="IM254" s="1"/>
      <c r="IN254" s="1"/>
      <c r="IO254" s="1"/>
      <c r="IP254" s="1"/>
      <c r="IQ254" s="1"/>
      <c r="IR254" s="1"/>
      <c r="IS254" s="1"/>
      <c r="IT254" s="1"/>
      <c r="IU254" s="1"/>
      <c r="IV254" s="1"/>
      <c r="IW254" s="1"/>
      <c r="IX254" s="1"/>
      <c r="IY254" s="1"/>
      <c r="IZ254" s="1"/>
      <c r="JA254" s="1"/>
      <c r="JB254" s="1"/>
      <c r="JC254" s="1"/>
      <c r="JD254" s="1"/>
      <c r="JE254" s="1"/>
      <c r="JF254" s="1"/>
      <c r="JG254" s="1"/>
      <c r="JH254" s="1"/>
      <c r="JI254" s="1"/>
      <c r="JJ254" s="1"/>
      <c r="JK254" s="1"/>
      <c r="JL254" s="1"/>
      <c r="JM254" s="1"/>
      <c r="JN254" s="1"/>
      <c r="JO254" s="1"/>
      <c r="JP254" s="1"/>
      <c r="JQ254" s="1"/>
      <c r="JR254" s="1"/>
      <c r="JS254" s="1"/>
      <c r="JT254" s="1"/>
      <c r="JU254" s="1"/>
      <c r="JV254" s="1"/>
      <c r="JW254" s="1"/>
      <c r="JX254" s="1"/>
      <c r="JY254" s="1"/>
      <c r="JZ254" s="1"/>
      <c r="KA254" s="1"/>
      <c r="KB254" s="1"/>
      <c r="KC254" s="1"/>
      <c r="KD254" s="1"/>
      <c r="KE254" s="1"/>
      <c r="KF254" s="1"/>
      <c r="KG254" s="1"/>
      <c r="KH254" s="1"/>
      <c r="KI254" s="1"/>
      <c r="KJ254" s="1"/>
      <c r="KK254" s="1"/>
      <c r="KL254" s="1"/>
      <c r="KM254" s="1"/>
      <c r="KN254" s="1"/>
      <c r="KO254" s="1"/>
      <c r="KP254" s="1"/>
      <c r="KQ254" s="1"/>
      <c r="KR254" s="1"/>
      <c r="KS254" s="1"/>
      <c r="KT254" s="1"/>
      <c r="KU254" s="1"/>
      <c r="KV254" s="1"/>
      <c r="KW254" s="1"/>
      <c r="KX254" s="1"/>
      <c r="KY254" s="1"/>
      <c r="KZ254" s="1"/>
      <c r="LA254" s="1"/>
      <c r="LB254" s="1"/>
      <c r="LC254" s="1"/>
      <c r="LD254" s="1"/>
      <c r="LE254" s="1"/>
      <c r="LF254" s="1"/>
      <c r="LG254" s="1"/>
      <c r="LH254" s="1"/>
      <c r="LI254" s="1"/>
      <c r="LJ254" s="1"/>
      <c r="LK254" s="1"/>
      <c r="LL254" s="1"/>
      <c r="LM254" s="1"/>
      <c r="LN254" s="1"/>
      <c r="LO254" s="1"/>
      <c r="LP254" s="1"/>
      <c r="LQ254" s="1"/>
      <c r="LR254" s="1"/>
      <c r="LS254" s="1"/>
    </row>
    <row r="255" spans="1:331" s="25" customFormat="1" x14ac:dyDescent="0.25">
      <c r="A255" s="25" t="s">
        <v>941</v>
      </c>
      <c r="B255" s="29" t="s">
        <v>942</v>
      </c>
      <c r="C255" s="94" t="s">
        <v>1650</v>
      </c>
      <c r="D255" s="25">
        <v>0</v>
      </c>
      <c r="H255" s="25" t="s">
        <v>943</v>
      </c>
      <c r="I255" s="25" t="s">
        <v>940</v>
      </c>
      <c r="J255" s="25" t="s">
        <v>943</v>
      </c>
      <c r="K255" s="25" t="s">
        <v>1704</v>
      </c>
      <c r="L255" s="25">
        <v>0</v>
      </c>
      <c r="O255" s="25">
        <v>0</v>
      </c>
      <c r="Q255" s="96" t="s">
        <v>1587</v>
      </c>
      <c r="R255" s="96"/>
      <c r="S255" s="25">
        <v>8</v>
      </c>
      <c r="U255" s="25">
        <v>8</v>
      </c>
      <c r="W255" s="96">
        <v>8</v>
      </c>
      <c r="X255" s="96"/>
      <c r="Y255" s="96"/>
      <c r="Z255" s="25">
        <v>5</v>
      </c>
      <c r="AA255" s="94" t="b">
        <v>1</v>
      </c>
      <c r="AB255" s="1"/>
      <c r="AC255" s="57" t="s">
        <v>1305</v>
      </c>
      <c r="AD255" s="1"/>
      <c r="AE255" s="57"/>
      <c r="AF255" s="1"/>
      <c r="AG255" s="1"/>
      <c r="AH255" s="1"/>
      <c r="AI255" s="1"/>
      <c r="AJ255" s="1"/>
      <c r="AK255" s="1"/>
      <c r="AL255" s="1"/>
      <c r="AM255" s="1"/>
      <c r="AN255" s="1"/>
      <c r="AO255" s="1"/>
      <c r="AP255" s="1"/>
      <c r="AQ255" s="1"/>
      <c r="AR255" s="1"/>
      <c r="AS255" s="1"/>
      <c r="AT255" s="1"/>
      <c r="AU255" s="1"/>
      <c r="AV255" s="1"/>
      <c r="AW255" s="1"/>
      <c r="AX255" s="1"/>
      <c r="AY255" s="1"/>
      <c r="AZ255" s="1"/>
      <c r="BA255" s="1"/>
      <c r="BB255" s="1"/>
      <c r="BC255" s="1"/>
      <c r="BD255" s="1"/>
      <c r="BE255" s="1"/>
      <c r="BF255" s="1"/>
      <c r="BG255" s="1"/>
      <c r="BH255" s="1"/>
      <c r="BI255" s="1"/>
      <c r="BJ255" s="1"/>
      <c r="BK255" s="1"/>
      <c r="BL255" s="1"/>
      <c r="BM255" s="1"/>
      <c r="BN255" s="1"/>
      <c r="BO255" s="1"/>
      <c r="BP255" s="1"/>
      <c r="BQ255" s="1"/>
      <c r="BR255" s="1"/>
      <c r="BS255" s="1"/>
      <c r="BT255" s="1"/>
      <c r="BU255" s="1"/>
      <c r="BV255" s="1"/>
      <c r="BW255" s="1"/>
      <c r="BX255" s="1"/>
      <c r="BY255" s="1"/>
      <c r="BZ255" s="1"/>
      <c r="CA255" s="1"/>
      <c r="CB255" s="1"/>
      <c r="CC255" s="1"/>
      <c r="CD255" s="1"/>
      <c r="CE255" s="1"/>
      <c r="CF255" s="1"/>
      <c r="CG255" s="1"/>
      <c r="CH255" s="1"/>
      <c r="CI255" s="1"/>
      <c r="CJ255" s="1"/>
      <c r="CK255" s="1"/>
      <c r="CL255" s="1"/>
      <c r="CM255" s="1"/>
      <c r="CN255" s="1"/>
      <c r="CO255" s="1"/>
      <c r="CP255" s="1"/>
      <c r="CQ255" s="1"/>
      <c r="CR255" s="1"/>
      <c r="CS255" s="1"/>
      <c r="CT255" s="1"/>
      <c r="CU255" s="1"/>
      <c r="CV255" s="1"/>
      <c r="CW255" s="1"/>
      <c r="CX255" s="1"/>
      <c r="CY255" s="1"/>
      <c r="CZ255" s="1"/>
      <c r="DA255" s="1"/>
      <c r="DB255" s="1"/>
      <c r="DC255" s="1"/>
      <c r="DD255" s="1"/>
      <c r="DE255" s="1"/>
      <c r="DF255" s="1"/>
      <c r="DG255" s="1"/>
      <c r="DH255" s="1"/>
      <c r="DI255" s="1"/>
      <c r="DJ255" s="1"/>
      <c r="DK255" s="1"/>
      <c r="DL255" s="1"/>
      <c r="DM255" s="1"/>
      <c r="DN255" s="1"/>
      <c r="DO255" s="1"/>
      <c r="DP255" s="1"/>
      <c r="DQ255" s="1"/>
      <c r="DR255" s="1"/>
      <c r="DS255" s="1"/>
      <c r="DT255" s="1"/>
      <c r="DU255" s="1"/>
      <c r="DV255" s="1"/>
      <c r="DW255" s="1"/>
      <c r="DX255" s="1"/>
      <c r="DY255" s="1"/>
      <c r="DZ255" s="1"/>
      <c r="EA255" s="1"/>
      <c r="EB255" s="1"/>
      <c r="EC255" s="1"/>
      <c r="ED255" s="1"/>
      <c r="EE255" s="1"/>
      <c r="EF255" s="1"/>
      <c r="EG255" s="1"/>
      <c r="EH255" s="1"/>
      <c r="EI255" s="1"/>
      <c r="EJ255" s="1"/>
      <c r="EK255" s="1"/>
      <c r="EL255" s="1"/>
      <c r="EM255" s="1"/>
      <c r="EN255" s="1"/>
      <c r="EO255" s="1"/>
      <c r="EP255" s="1"/>
      <c r="EQ255" s="1"/>
      <c r="ER255" s="1"/>
      <c r="ES255" s="1"/>
      <c r="ET255" s="1"/>
      <c r="EU255" s="1"/>
      <c r="EV255" s="1"/>
      <c r="EW255" s="1"/>
      <c r="EX255" s="1"/>
      <c r="EY255" s="1"/>
      <c r="EZ255" s="1"/>
      <c r="FA255" s="1"/>
      <c r="FB255" s="1"/>
      <c r="FC255" s="1"/>
      <c r="FD255" s="1"/>
      <c r="FE255" s="1"/>
      <c r="FF255" s="1"/>
      <c r="FG255" s="1"/>
      <c r="FH255" s="1"/>
      <c r="FI255" s="1"/>
      <c r="FJ255" s="1"/>
      <c r="FK255" s="1"/>
      <c r="FL255" s="1"/>
      <c r="FM255" s="1"/>
      <c r="FN255" s="1"/>
      <c r="FO255" s="1"/>
      <c r="FP255" s="1"/>
      <c r="FQ255" s="1"/>
      <c r="FR255" s="1"/>
      <c r="FS255" s="1"/>
      <c r="FT255" s="1"/>
      <c r="FU255" s="1"/>
      <c r="FV255" s="1"/>
      <c r="FW255" s="1"/>
      <c r="FX255" s="1"/>
      <c r="FY255" s="1"/>
      <c r="FZ255" s="1"/>
      <c r="GA255" s="1"/>
      <c r="GB255" s="1"/>
      <c r="GC255" s="1"/>
      <c r="GD255" s="1"/>
      <c r="GE255" s="1"/>
      <c r="GF255" s="1"/>
      <c r="GG255" s="1"/>
      <c r="GH255" s="1"/>
      <c r="GI255" s="1"/>
      <c r="GJ255" s="1"/>
      <c r="GK255" s="1"/>
      <c r="GL255" s="1"/>
      <c r="GM255" s="1"/>
      <c r="GN255" s="1"/>
      <c r="GO255" s="1"/>
      <c r="GP255" s="1"/>
      <c r="GQ255" s="1"/>
      <c r="GR255" s="1"/>
      <c r="GS255" s="1"/>
      <c r="GT255" s="1"/>
      <c r="GU255" s="1"/>
      <c r="GV255" s="1"/>
      <c r="GW255" s="1"/>
      <c r="GX255" s="1"/>
      <c r="GY255" s="1"/>
      <c r="GZ255" s="1"/>
      <c r="HA255" s="1"/>
      <c r="HB255" s="1"/>
      <c r="HC255" s="1"/>
      <c r="HD255" s="1"/>
      <c r="HE255" s="1"/>
      <c r="HF255" s="1"/>
      <c r="HG255" s="1"/>
      <c r="HH255" s="1"/>
      <c r="HI255" s="1"/>
      <c r="HJ255" s="1"/>
      <c r="HK255" s="1"/>
      <c r="HL255" s="1"/>
      <c r="HM255" s="1"/>
      <c r="HN255" s="1"/>
      <c r="HO255" s="1"/>
      <c r="HP255" s="1"/>
      <c r="HQ255" s="1"/>
      <c r="HR255" s="1"/>
      <c r="HS255" s="1"/>
      <c r="HT255" s="1"/>
      <c r="HU255" s="1"/>
      <c r="HV255" s="1"/>
      <c r="HW255" s="1"/>
      <c r="HX255" s="1"/>
      <c r="HY255" s="1"/>
      <c r="HZ255" s="1"/>
      <c r="IA255" s="1"/>
      <c r="IB255" s="1"/>
      <c r="IC255" s="1"/>
      <c r="ID255" s="1"/>
      <c r="IE255" s="1"/>
      <c r="IF255" s="1"/>
      <c r="IG255" s="1"/>
      <c r="IH255" s="1"/>
      <c r="II255" s="1"/>
      <c r="IJ255" s="1"/>
      <c r="IK255" s="1"/>
      <c r="IL255" s="1"/>
      <c r="IM255" s="1"/>
      <c r="IN255" s="1"/>
      <c r="IO255" s="1"/>
      <c r="IP255" s="1"/>
      <c r="IQ255" s="1"/>
      <c r="IR255" s="1"/>
      <c r="IS255" s="1"/>
      <c r="IT255" s="1"/>
      <c r="IU255" s="1"/>
      <c r="IV255" s="1"/>
      <c r="IW255" s="1"/>
      <c r="IX255" s="1"/>
      <c r="IY255" s="1"/>
      <c r="IZ255" s="1"/>
      <c r="JA255" s="1"/>
      <c r="JB255" s="1"/>
      <c r="JC255" s="1"/>
      <c r="JD255" s="1"/>
      <c r="JE255" s="1"/>
      <c r="JF255" s="1"/>
      <c r="JG255" s="1"/>
      <c r="JH255" s="1"/>
      <c r="JI255" s="1"/>
      <c r="JJ255" s="1"/>
      <c r="JK255" s="1"/>
      <c r="JL255" s="1"/>
      <c r="JM255" s="1"/>
      <c r="JN255" s="1"/>
      <c r="JO255" s="1"/>
      <c r="JP255" s="1"/>
      <c r="JQ255" s="1"/>
      <c r="JR255" s="1"/>
      <c r="JS255" s="1"/>
      <c r="JT255" s="1"/>
      <c r="JU255" s="1"/>
      <c r="JV255" s="1"/>
      <c r="JW255" s="1"/>
      <c r="JX255" s="1"/>
      <c r="JY255" s="1"/>
      <c r="JZ255" s="1"/>
      <c r="KA255" s="1"/>
      <c r="KB255" s="1"/>
      <c r="KC255" s="1"/>
      <c r="KD255" s="1"/>
      <c r="KE255" s="1"/>
      <c r="KF255" s="1"/>
      <c r="KG255" s="1"/>
      <c r="KH255" s="1"/>
      <c r="KI255" s="1"/>
      <c r="KJ255" s="1"/>
      <c r="KK255" s="1"/>
      <c r="KL255" s="1"/>
      <c r="KM255" s="1"/>
      <c r="KN255" s="1"/>
      <c r="KO255" s="1"/>
      <c r="KP255" s="1"/>
      <c r="KQ255" s="1"/>
      <c r="KR255" s="1"/>
      <c r="KS255" s="1"/>
      <c r="KT255" s="1"/>
      <c r="KU255" s="1"/>
      <c r="KV255" s="1"/>
      <c r="KW255" s="1"/>
      <c r="KX255" s="1"/>
      <c r="KY255" s="1"/>
      <c r="KZ255" s="1"/>
      <c r="LA255" s="1"/>
      <c r="LB255" s="1"/>
      <c r="LC255" s="1"/>
      <c r="LD255" s="1"/>
      <c r="LE255" s="1"/>
      <c r="LF255" s="1"/>
      <c r="LG255" s="1"/>
      <c r="LH255" s="1"/>
      <c r="LI255" s="1"/>
      <c r="LJ255" s="1"/>
      <c r="LK255" s="1"/>
      <c r="LL255" s="1"/>
      <c r="LM255" s="1"/>
      <c r="LN255" s="1"/>
      <c r="LO255" s="1"/>
      <c r="LP255" s="1"/>
      <c r="LQ255" s="1"/>
      <c r="LR255" s="1"/>
      <c r="LS255" s="1"/>
    </row>
    <row r="256" spans="1:331" s="25" customFormat="1" x14ac:dyDescent="0.25">
      <c r="A256" s="25" t="s">
        <v>944</v>
      </c>
      <c r="B256" s="29" t="s">
        <v>945</v>
      </c>
      <c r="C256" s="94" t="s">
        <v>1650</v>
      </c>
      <c r="D256" s="25">
        <v>0</v>
      </c>
      <c r="H256" s="25" t="s">
        <v>946</v>
      </c>
      <c r="I256" s="25" t="s">
        <v>759</v>
      </c>
      <c r="J256" s="25" t="s">
        <v>946</v>
      </c>
      <c r="K256" s="25" t="s">
        <v>1705</v>
      </c>
      <c r="L256" s="25">
        <v>0</v>
      </c>
      <c r="O256" s="25">
        <v>0</v>
      </c>
      <c r="Q256" s="96" t="s">
        <v>1588</v>
      </c>
      <c r="R256" s="96"/>
      <c r="S256" s="25">
        <v>15</v>
      </c>
      <c r="U256" s="25">
        <v>14</v>
      </c>
      <c r="W256" s="96">
        <v>15</v>
      </c>
      <c r="X256" s="96"/>
      <c r="Y256" s="96"/>
      <c r="Z256" s="25">
        <v>5</v>
      </c>
      <c r="AA256" s="94" t="b">
        <v>1</v>
      </c>
      <c r="AB256" s="1"/>
      <c r="AC256" s="57" t="s">
        <v>1904</v>
      </c>
      <c r="AD256" s="1"/>
      <c r="AE256" s="57"/>
      <c r="AF256" s="1"/>
      <c r="AG256" s="1"/>
      <c r="AH256" s="1"/>
      <c r="AI256" s="1"/>
      <c r="AJ256" s="1"/>
      <c r="AK256" s="1"/>
      <c r="AL256" s="1"/>
      <c r="AM256" s="1"/>
      <c r="AN256" s="1"/>
      <c r="AO256" s="1"/>
      <c r="AP256" s="1"/>
      <c r="AQ256" s="1"/>
      <c r="AR256" s="1"/>
      <c r="AS256" s="1"/>
      <c r="AT256" s="1"/>
      <c r="AU256" s="1"/>
      <c r="AV256" s="1"/>
      <c r="AW256" s="1"/>
      <c r="AX256" s="1"/>
      <c r="AY256" s="1"/>
      <c r="AZ256" s="1"/>
      <c r="BA256" s="1"/>
      <c r="BB256" s="1"/>
      <c r="BC256" s="1"/>
      <c r="BD256" s="1"/>
      <c r="BE256" s="1"/>
      <c r="BF256" s="1"/>
      <c r="BG256" s="1"/>
      <c r="BH256" s="1"/>
      <c r="BI256" s="1"/>
      <c r="BJ256" s="1"/>
      <c r="BK256" s="1"/>
      <c r="BL256" s="1"/>
      <c r="BM256" s="1"/>
      <c r="BN256" s="1"/>
      <c r="BO256" s="1"/>
      <c r="BP256" s="1"/>
      <c r="BQ256" s="1"/>
      <c r="BR256" s="1"/>
      <c r="BS256" s="1"/>
      <c r="BT256" s="1"/>
      <c r="BU256" s="1"/>
      <c r="BV256" s="1"/>
      <c r="BW256" s="1"/>
      <c r="BX256" s="1"/>
      <c r="BY256" s="1"/>
      <c r="BZ256" s="1"/>
      <c r="CA256" s="1"/>
      <c r="CB256" s="1"/>
      <c r="CC256" s="1"/>
      <c r="CD256" s="1"/>
      <c r="CE256" s="1"/>
      <c r="CF256" s="1"/>
      <c r="CG256" s="1"/>
      <c r="CH256" s="1"/>
      <c r="CI256" s="1"/>
      <c r="CJ256" s="1"/>
      <c r="CK256" s="1"/>
      <c r="CL256" s="1"/>
      <c r="CM256" s="1"/>
      <c r="CN256" s="1"/>
      <c r="CO256" s="1"/>
      <c r="CP256" s="1"/>
      <c r="CQ256" s="1"/>
      <c r="CR256" s="1"/>
      <c r="CS256" s="1"/>
      <c r="CT256" s="1"/>
      <c r="CU256" s="1"/>
      <c r="CV256" s="1"/>
      <c r="CW256" s="1"/>
      <c r="CX256" s="1"/>
      <c r="CY256" s="1"/>
      <c r="CZ256" s="1"/>
      <c r="DA256" s="1"/>
      <c r="DB256" s="1"/>
      <c r="DC256" s="1"/>
      <c r="DD256" s="1"/>
      <c r="DE256" s="1"/>
      <c r="DF256" s="1"/>
      <c r="DG256" s="1"/>
      <c r="DH256" s="1"/>
      <c r="DI256" s="1"/>
      <c r="DJ256" s="1"/>
      <c r="DK256" s="1"/>
      <c r="DL256" s="1"/>
      <c r="DM256" s="1"/>
      <c r="DN256" s="1"/>
      <c r="DO256" s="1"/>
      <c r="DP256" s="1"/>
      <c r="DQ256" s="1"/>
      <c r="DR256" s="1"/>
      <c r="DS256" s="1"/>
      <c r="DT256" s="1"/>
      <c r="DU256" s="1"/>
      <c r="DV256" s="1"/>
      <c r="DW256" s="1"/>
      <c r="DX256" s="1"/>
      <c r="DY256" s="1"/>
      <c r="DZ256" s="1"/>
      <c r="EA256" s="1"/>
      <c r="EB256" s="1"/>
      <c r="EC256" s="1"/>
      <c r="ED256" s="1"/>
      <c r="EE256" s="1"/>
      <c r="EF256" s="1"/>
      <c r="EG256" s="1"/>
      <c r="EH256" s="1"/>
      <c r="EI256" s="1"/>
      <c r="EJ256" s="1"/>
      <c r="EK256" s="1"/>
      <c r="EL256" s="1"/>
      <c r="EM256" s="1"/>
      <c r="EN256" s="1"/>
      <c r="EO256" s="1"/>
      <c r="EP256" s="1"/>
      <c r="EQ256" s="1"/>
      <c r="ER256" s="1"/>
      <c r="ES256" s="1"/>
      <c r="ET256" s="1"/>
      <c r="EU256" s="1"/>
      <c r="EV256" s="1"/>
      <c r="EW256" s="1"/>
      <c r="EX256" s="1"/>
      <c r="EY256" s="1"/>
      <c r="EZ256" s="1"/>
      <c r="FA256" s="1"/>
      <c r="FB256" s="1"/>
      <c r="FC256" s="1"/>
      <c r="FD256" s="1"/>
      <c r="FE256" s="1"/>
      <c r="FF256" s="1"/>
      <c r="FG256" s="1"/>
      <c r="FH256" s="1"/>
      <c r="FI256" s="1"/>
      <c r="FJ256" s="1"/>
      <c r="FK256" s="1"/>
      <c r="FL256" s="1"/>
      <c r="FM256" s="1"/>
      <c r="FN256" s="1"/>
      <c r="FO256" s="1"/>
      <c r="FP256" s="1"/>
      <c r="FQ256" s="1"/>
      <c r="FR256" s="1"/>
      <c r="FS256" s="1"/>
      <c r="FT256" s="1"/>
      <c r="FU256" s="1"/>
      <c r="FV256" s="1"/>
      <c r="FW256" s="1"/>
      <c r="FX256" s="1"/>
      <c r="FY256" s="1"/>
      <c r="FZ256" s="1"/>
      <c r="GA256" s="1"/>
      <c r="GB256" s="1"/>
      <c r="GC256" s="1"/>
      <c r="GD256" s="1"/>
      <c r="GE256" s="1"/>
      <c r="GF256" s="1"/>
      <c r="GG256" s="1"/>
      <c r="GH256" s="1"/>
      <c r="GI256" s="1"/>
      <c r="GJ256" s="1"/>
      <c r="GK256" s="1"/>
      <c r="GL256" s="1"/>
      <c r="GM256" s="1"/>
      <c r="GN256" s="1"/>
      <c r="GO256" s="1"/>
      <c r="GP256" s="1"/>
      <c r="GQ256" s="1"/>
      <c r="GR256" s="1"/>
      <c r="GS256" s="1"/>
      <c r="GT256" s="1"/>
      <c r="GU256" s="1"/>
      <c r="GV256" s="1"/>
      <c r="GW256" s="1"/>
      <c r="GX256" s="1"/>
      <c r="GY256" s="1"/>
      <c r="GZ256" s="1"/>
      <c r="HA256" s="1"/>
      <c r="HB256" s="1"/>
      <c r="HC256" s="1"/>
      <c r="HD256" s="1"/>
      <c r="HE256" s="1"/>
      <c r="HF256" s="1"/>
      <c r="HG256" s="1"/>
      <c r="HH256" s="1"/>
      <c r="HI256" s="1"/>
      <c r="HJ256" s="1"/>
      <c r="HK256" s="1"/>
      <c r="HL256" s="1"/>
      <c r="HM256" s="1"/>
      <c r="HN256" s="1"/>
      <c r="HO256" s="1"/>
      <c r="HP256" s="1"/>
      <c r="HQ256" s="1"/>
      <c r="HR256" s="1"/>
      <c r="HS256" s="1"/>
      <c r="HT256" s="1"/>
      <c r="HU256" s="1"/>
      <c r="HV256" s="1"/>
      <c r="HW256" s="1"/>
      <c r="HX256" s="1"/>
      <c r="HY256" s="1"/>
      <c r="HZ256" s="1"/>
      <c r="IA256" s="1"/>
      <c r="IB256" s="1"/>
      <c r="IC256" s="1"/>
      <c r="ID256" s="1"/>
      <c r="IE256" s="1"/>
      <c r="IF256" s="1"/>
      <c r="IG256" s="1"/>
      <c r="IH256" s="1"/>
      <c r="II256" s="1"/>
      <c r="IJ256" s="1"/>
      <c r="IK256" s="1"/>
      <c r="IL256" s="1"/>
      <c r="IM256" s="1"/>
      <c r="IN256" s="1"/>
      <c r="IO256" s="1"/>
      <c r="IP256" s="1"/>
      <c r="IQ256" s="1"/>
      <c r="IR256" s="1"/>
      <c r="IS256" s="1"/>
      <c r="IT256" s="1"/>
      <c r="IU256" s="1"/>
      <c r="IV256" s="1"/>
      <c r="IW256" s="1"/>
      <c r="IX256" s="1"/>
      <c r="IY256" s="1"/>
      <c r="IZ256" s="1"/>
      <c r="JA256" s="1"/>
      <c r="JB256" s="1"/>
      <c r="JC256" s="1"/>
      <c r="JD256" s="1"/>
      <c r="JE256" s="1"/>
      <c r="JF256" s="1"/>
      <c r="JG256" s="1"/>
      <c r="JH256" s="1"/>
      <c r="JI256" s="1"/>
      <c r="JJ256" s="1"/>
      <c r="JK256" s="1"/>
      <c r="JL256" s="1"/>
      <c r="JM256" s="1"/>
      <c r="JN256" s="1"/>
      <c r="JO256" s="1"/>
      <c r="JP256" s="1"/>
      <c r="JQ256" s="1"/>
      <c r="JR256" s="1"/>
      <c r="JS256" s="1"/>
      <c r="JT256" s="1"/>
      <c r="JU256" s="1"/>
      <c r="JV256" s="1"/>
      <c r="JW256" s="1"/>
      <c r="JX256" s="1"/>
      <c r="JY256" s="1"/>
      <c r="JZ256" s="1"/>
      <c r="KA256" s="1"/>
      <c r="KB256" s="1"/>
      <c r="KC256" s="1"/>
      <c r="KD256" s="1"/>
      <c r="KE256" s="1"/>
      <c r="KF256" s="1"/>
      <c r="KG256" s="1"/>
      <c r="KH256" s="1"/>
      <c r="KI256" s="1"/>
      <c r="KJ256" s="1"/>
      <c r="KK256" s="1"/>
      <c r="KL256" s="1"/>
      <c r="KM256" s="1"/>
      <c r="KN256" s="1"/>
      <c r="KO256" s="1"/>
      <c r="KP256" s="1"/>
      <c r="KQ256" s="1"/>
      <c r="KR256" s="1"/>
      <c r="KS256" s="1"/>
      <c r="KT256" s="1"/>
      <c r="KU256" s="1"/>
      <c r="KV256" s="1"/>
      <c r="KW256" s="1"/>
      <c r="KX256" s="1"/>
      <c r="KY256" s="1"/>
      <c r="KZ256" s="1"/>
      <c r="LA256" s="1"/>
      <c r="LB256" s="1"/>
      <c r="LC256" s="1"/>
      <c r="LD256" s="1"/>
      <c r="LE256" s="1"/>
      <c r="LF256" s="1"/>
      <c r="LG256" s="1"/>
      <c r="LH256" s="1"/>
      <c r="LI256" s="1"/>
      <c r="LJ256" s="1"/>
      <c r="LK256" s="1"/>
      <c r="LL256" s="1"/>
      <c r="LM256" s="1"/>
      <c r="LN256" s="1"/>
      <c r="LO256" s="1"/>
      <c r="LP256" s="1"/>
      <c r="LQ256" s="1"/>
      <c r="LR256" s="1"/>
      <c r="LS256" s="1"/>
    </row>
    <row r="257" spans="1:331" s="30" customFormat="1" x14ac:dyDescent="0.25">
      <c r="A257" s="30" t="s">
        <v>947</v>
      </c>
      <c r="B257" s="34" t="s">
        <v>948</v>
      </c>
      <c r="C257" s="94" t="s">
        <v>1650</v>
      </c>
      <c r="D257" s="30">
        <v>1</v>
      </c>
      <c r="E257" s="30" t="s">
        <v>949</v>
      </c>
      <c r="H257" s="30" t="s">
        <v>950</v>
      </c>
      <c r="I257" s="30" t="s">
        <v>949</v>
      </c>
      <c r="J257" s="30" t="s">
        <v>950</v>
      </c>
      <c r="K257" s="30" t="s">
        <v>949</v>
      </c>
      <c r="L257" s="30">
        <v>0</v>
      </c>
      <c r="O257" s="30">
        <v>0</v>
      </c>
      <c r="Q257" s="96" t="s">
        <v>1589</v>
      </c>
      <c r="R257" s="96"/>
      <c r="T257" s="30">
        <v>13</v>
      </c>
      <c r="W257" s="96">
        <v>13</v>
      </c>
      <c r="X257" s="96"/>
      <c r="Y257" s="96"/>
      <c r="Z257" s="30">
        <v>6</v>
      </c>
      <c r="AA257" s="94" t="b">
        <v>1</v>
      </c>
      <c r="AB257" s="1"/>
      <c r="AC257" s="57" t="s">
        <v>1285</v>
      </c>
      <c r="AD257" s="1"/>
      <c r="AE257" s="57"/>
      <c r="AF257" s="1"/>
      <c r="AG257" s="1"/>
      <c r="AH257" s="1"/>
      <c r="AI257" s="1"/>
      <c r="AJ257" s="1"/>
      <c r="AK257" s="1"/>
      <c r="AL257" s="1"/>
      <c r="AM257" s="1"/>
      <c r="AN257" s="1"/>
      <c r="AO257" s="1"/>
      <c r="AP257" s="1"/>
      <c r="AQ257" s="1"/>
      <c r="AR257" s="1"/>
      <c r="AS257" s="1"/>
      <c r="AT257" s="1"/>
      <c r="AU257" s="1"/>
      <c r="AV257" s="1"/>
      <c r="AW257" s="1"/>
      <c r="AX257" s="1"/>
      <c r="AY257" s="1"/>
      <c r="AZ257" s="1"/>
      <c r="BA257" s="1"/>
      <c r="BB257" s="1"/>
      <c r="BC257" s="1"/>
      <c r="BD257" s="1"/>
      <c r="BE257" s="1"/>
      <c r="BF257" s="1"/>
      <c r="BG257" s="1"/>
      <c r="BH257" s="1"/>
      <c r="BI257" s="1"/>
      <c r="BJ257" s="1"/>
      <c r="BK257" s="1"/>
      <c r="BL257" s="1"/>
      <c r="BM257" s="1"/>
      <c r="BN257" s="1"/>
      <c r="BO257" s="1"/>
      <c r="BP257" s="1"/>
      <c r="BQ257" s="1"/>
      <c r="BR257" s="1"/>
      <c r="BS257" s="1"/>
      <c r="BT257" s="1"/>
      <c r="BU257" s="1"/>
      <c r="BV257" s="1"/>
      <c r="BW257" s="1"/>
      <c r="BX257" s="1"/>
      <c r="BY257" s="1"/>
      <c r="BZ257" s="1"/>
      <c r="CA257" s="1"/>
      <c r="CB257" s="1"/>
      <c r="CC257" s="1"/>
      <c r="CD257" s="1"/>
      <c r="CE257" s="1"/>
      <c r="CF257" s="1"/>
      <c r="CG257" s="1"/>
      <c r="CH257" s="1"/>
      <c r="CI257" s="1"/>
      <c r="CJ257" s="1"/>
      <c r="CK257" s="1"/>
      <c r="CL257" s="1"/>
      <c r="CM257" s="1"/>
      <c r="CN257" s="1"/>
      <c r="CO257" s="1"/>
      <c r="CP257" s="1"/>
      <c r="CQ257" s="1"/>
      <c r="CR257" s="1"/>
      <c r="CS257" s="1"/>
      <c r="CT257" s="1"/>
      <c r="CU257" s="1"/>
      <c r="CV257" s="1"/>
      <c r="CW257" s="1"/>
      <c r="CX257" s="1"/>
      <c r="CY257" s="1"/>
      <c r="CZ257" s="1"/>
      <c r="DA257" s="1"/>
      <c r="DB257" s="1"/>
      <c r="DC257" s="1"/>
      <c r="DD257" s="1"/>
      <c r="DE257" s="1"/>
      <c r="DF257" s="1"/>
      <c r="DG257" s="1"/>
      <c r="DH257" s="1"/>
      <c r="DI257" s="1"/>
      <c r="DJ257" s="1"/>
      <c r="DK257" s="1"/>
      <c r="DL257" s="1"/>
      <c r="DM257" s="1"/>
      <c r="DN257" s="1"/>
      <c r="DO257" s="1"/>
      <c r="DP257" s="1"/>
      <c r="DQ257" s="1"/>
      <c r="DR257" s="1"/>
      <c r="DS257" s="1"/>
      <c r="DT257" s="1"/>
      <c r="DU257" s="1"/>
      <c r="DV257" s="1"/>
      <c r="DW257" s="1"/>
      <c r="DX257" s="1"/>
      <c r="DY257" s="1"/>
      <c r="DZ257" s="1"/>
      <c r="EA257" s="1"/>
      <c r="EB257" s="1"/>
      <c r="EC257" s="1"/>
      <c r="ED257" s="1"/>
      <c r="EE257" s="1"/>
      <c r="EF257" s="1"/>
      <c r="EG257" s="1"/>
      <c r="EH257" s="1"/>
      <c r="EI257" s="1"/>
      <c r="EJ257" s="1"/>
      <c r="EK257" s="1"/>
      <c r="EL257" s="1"/>
      <c r="EM257" s="1"/>
      <c r="EN257" s="1"/>
      <c r="EO257" s="1"/>
      <c r="EP257" s="1"/>
      <c r="EQ257" s="1"/>
      <c r="ER257" s="1"/>
      <c r="ES257" s="1"/>
      <c r="ET257" s="1"/>
      <c r="EU257" s="1"/>
      <c r="EV257" s="1"/>
      <c r="EW257" s="1"/>
      <c r="EX257" s="1"/>
      <c r="EY257" s="1"/>
      <c r="EZ257" s="1"/>
      <c r="FA257" s="1"/>
      <c r="FB257" s="1"/>
      <c r="FC257" s="1"/>
      <c r="FD257" s="1"/>
      <c r="FE257" s="1"/>
      <c r="FF257" s="1"/>
      <c r="FG257" s="1"/>
      <c r="FH257" s="1"/>
      <c r="FI257" s="1"/>
      <c r="FJ257" s="1"/>
      <c r="FK257" s="1"/>
      <c r="FL257" s="1"/>
      <c r="FM257" s="1"/>
      <c r="FN257" s="1"/>
      <c r="FO257" s="1"/>
      <c r="FP257" s="1"/>
      <c r="FQ257" s="1"/>
      <c r="FR257" s="1"/>
      <c r="FS257" s="1"/>
      <c r="FT257" s="1"/>
      <c r="FU257" s="1"/>
      <c r="FV257" s="1"/>
      <c r="FW257" s="1"/>
      <c r="FX257" s="1"/>
      <c r="FY257" s="1"/>
      <c r="FZ257" s="1"/>
      <c r="GA257" s="1"/>
      <c r="GB257" s="1"/>
      <c r="GC257" s="1"/>
      <c r="GD257" s="1"/>
      <c r="GE257" s="1"/>
      <c r="GF257" s="1"/>
      <c r="GG257" s="1"/>
      <c r="GH257" s="1"/>
      <c r="GI257" s="1"/>
      <c r="GJ257" s="1"/>
      <c r="GK257" s="1"/>
      <c r="GL257" s="1"/>
      <c r="GM257" s="1"/>
      <c r="GN257" s="1"/>
      <c r="GO257" s="1"/>
      <c r="GP257" s="1"/>
      <c r="GQ257" s="1"/>
      <c r="GR257" s="1"/>
      <c r="GS257" s="1"/>
      <c r="GT257" s="1"/>
      <c r="GU257" s="1"/>
      <c r="GV257" s="1"/>
      <c r="GW257" s="1"/>
      <c r="GX257" s="1"/>
      <c r="GY257" s="1"/>
      <c r="GZ257" s="1"/>
      <c r="HA257" s="1"/>
      <c r="HB257" s="1"/>
      <c r="HC257" s="1"/>
      <c r="HD257" s="1"/>
      <c r="HE257" s="1"/>
      <c r="HF257" s="1"/>
      <c r="HG257" s="1"/>
      <c r="HH257" s="1"/>
      <c r="HI257" s="1"/>
      <c r="HJ257" s="1"/>
      <c r="HK257" s="1"/>
      <c r="HL257" s="1"/>
      <c r="HM257" s="1"/>
      <c r="HN257" s="1"/>
      <c r="HO257" s="1"/>
      <c r="HP257" s="1"/>
      <c r="HQ257" s="1"/>
      <c r="HR257" s="1"/>
      <c r="HS257" s="1"/>
      <c r="HT257" s="1"/>
      <c r="HU257" s="1"/>
      <c r="HV257" s="1"/>
      <c r="HW257" s="1"/>
      <c r="HX257" s="1"/>
      <c r="HY257" s="1"/>
      <c r="HZ257" s="1"/>
      <c r="IA257" s="1"/>
      <c r="IB257" s="1"/>
      <c r="IC257" s="1"/>
      <c r="ID257" s="1"/>
      <c r="IE257" s="1"/>
      <c r="IF257" s="1"/>
      <c r="IG257" s="1"/>
      <c r="IH257" s="1"/>
      <c r="II257" s="1"/>
      <c r="IJ257" s="1"/>
      <c r="IK257" s="1"/>
      <c r="IL257" s="1"/>
      <c r="IM257" s="1"/>
      <c r="IN257" s="1"/>
      <c r="IO257" s="1"/>
      <c r="IP257" s="1"/>
      <c r="IQ257" s="1"/>
      <c r="IR257" s="1"/>
      <c r="IS257" s="1"/>
      <c r="IT257" s="1"/>
      <c r="IU257" s="1"/>
      <c r="IV257" s="1"/>
      <c r="IW257" s="1"/>
      <c r="IX257" s="1"/>
      <c r="IY257" s="1"/>
      <c r="IZ257" s="1"/>
      <c r="JA257" s="1"/>
      <c r="JB257" s="1"/>
      <c r="JC257" s="1"/>
      <c r="JD257" s="1"/>
      <c r="JE257" s="1"/>
      <c r="JF257" s="1"/>
      <c r="JG257" s="1"/>
      <c r="JH257" s="1"/>
      <c r="JI257" s="1"/>
      <c r="JJ257" s="1"/>
      <c r="JK257" s="1"/>
      <c r="JL257" s="1"/>
      <c r="JM257" s="1"/>
      <c r="JN257" s="1"/>
      <c r="JO257" s="1"/>
      <c r="JP257" s="1"/>
      <c r="JQ257" s="1"/>
      <c r="JR257" s="1"/>
      <c r="JS257" s="1"/>
      <c r="JT257" s="1"/>
      <c r="JU257" s="1"/>
      <c r="JV257" s="1"/>
      <c r="JW257" s="1"/>
      <c r="JX257" s="1"/>
      <c r="JY257" s="1"/>
      <c r="JZ257" s="1"/>
      <c r="KA257" s="1"/>
      <c r="KB257" s="1"/>
      <c r="KC257" s="1"/>
      <c r="KD257" s="1"/>
      <c r="KE257" s="1"/>
      <c r="KF257" s="1"/>
      <c r="KG257" s="1"/>
      <c r="KH257" s="1"/>
      <c r="KI257" s="1"/>
      <c r="KJ257" s="1"/>
      <c r="KK257" s="1"/>
      <c r="KL257" s="1"/>
      <c r="KM257" s="1"/>
      <c r="KN257" s="1"/>
      <c r="KO257" s="1"/>
      <c r="KP257" s="1"/>
      <c r="KQ257" s="1"/>
      <c r="KR257" s="1"/>
      <c r="KS257" s="1"/>
      <c r="KT257" s="1"/>
      <c r="KU257" s="1"/>
      <c r="KV257" s="1"/>
      <c r="KW257" s="1"/>
      <c r="KX257" s="1"/>
      <c r="KY257" s="1"/>
      <c r="KZ257" s="1"/>
      <c r="LA257" s="1"/>
      <c r="LB257" s="1"/>
      <c r="LC257" s="1"/>
      <c r="LD257" s="1"/>
      <c r="LE257" s="1"/>
      <c r="LF257" s="1"/>
      <c r="LG257" s="1"/>
      <c r="LH257" s="1"/>
      <c r="LI257" s="1"/>
      <c r="LJ257" s="1"/>
      <c r="LK257" s="1"/>
      <c r="LL257" s="1"/>
      <c r="LM257" s="1"/>
      <c r="LN257" s="1"/>
      <c r="LO257" s="1"/>
      <c r="LP257" s="1"/>
      <c r="LQ257" s="1"/>
      <c r="LR257" s="1"/>
      <c r="LS257" s="1"/>
    </row>
    <row r="258" spans="1:331" s="40" customFormat="1" x14ac:dyDescent="0.25">
      <c r="A258" s="40" t="s">
        <v>951</v>
      </c>
      <c r="B258" s="44" t="s">
        <v>952</v>
      </c>
      <c r="C258" s="94" t="s">
        <v>1650</v>
      </c>
      <c r="D258" s="40">
        <v>0</v>
      </c>
      <c r="H258" s="40" t="s">
        <v>330</v>
      </c>
      <c r="I258" s="40" t="s">
        <v>330</v>
      </c>
      <c r="J258" s="40" t="s">
        <v>953</v>
      </c>
      <c r="K258" s="40" t="s">
        <v>331</v>
      </c>
      <c r="L258" s="40">
        <v>0</v>
      </c>
      <c r="O258" s="40">
        <v>1</v>
      </c>
      <c r="P258" s="40" t="s">
        <v>372</v>
      </c>
      <c r="Q258" s="96" t="s">
        <v>1590</v>
      </c>
      <c r="R258" s="96"/>
      <c r="S258" s="40">
        <v>8</v>
      </c>
      <c r="U258" s="40">
        <v>7</v>
      </c>
      <c r="W258" s="96">
        <v>8</v>
      </c>
      <c r="X258" s="96"/>
      <c r="Y258" s="96"/>
      <c r="Z258" s="40">
        <v>8</v>
      </c>
      <c r="AA258" s="94" t="b">
        <v>1</v>
      </c>
      <c r="AB258" s="1"/>
      <c r="AC258" s="57" t="s">
        <v>1432</v>
      </c>
      <c r="AD258" s="1"/>
      <c r="AE258" s="57"/>
      <c r="AF258" s="1"/>
      <c r="AG258" s="1"/>
      <c r="AH258" s="1"/>
      <c r="AI258" s="1"/>
      <c r="AJ258" s="1"/>
      <c r="AK258" s="1"/>
      <c r="AL258" s="1"/>
      <c r="AM258" s="1"/>
      <c r="AN258" s="1"/>
      <c r="AO258" s="1"/>
      <c r="AP258" s="1"/>
      <c r="AQ258" s="1"/>
      <c r="AR258" s="1"/>
      <c r="AS258" s="1"/>
      <c r="AT258" s="1"/>
      <c r="AU258" s="1"/>
      <c r="AV258" s="1"/>
      <c r="AW258" s="1"/>
      <c r="AX258" s="1"/>
      <c r="AY258" s="1"/>
      <c r="AZ258" s="1"/>
      <c r="BA258" s="1"/>
      <c r="BB258" s="1"/>
      <c r="BC258" s="1"/>
      <c r="BD258" s="1"/>
      <c r="BE258" s="1"/>
      <c r="BF258" s="1"/>
      <c r="BG258" s="1"/>
      <c r="BH258" s="1"/>
      <c r="BI258" s="1"/>
      <c r="BJ258" s="1"/>
      <c r="BK258" s="1"/>
      <c r="BL258" s="1"/>
      <c r="BM258" s="1"/>
      <c r="BN258" s="1"/>
      <c r="BO258" s="1"/>
      <c r="BP258" s="1"/>
      <c r="BQ258" s="1"/>
      <c r="BR258" s="1"/>
      <c r="BS258" s="1"/>
      <c r="BT258" s="1"/>
      <c r="BU258" s="1"/>
      <c r="BV258" s="1"/>
      <c r="BW258" s="1"/>
      <c r="BX258" s="1"/>
      <c r="BY258" s="1"/>
      <c r="BZ258" s="1"/>
      <c r="CA258" s="1"/>
      <c r="CB258" s="1"/>
      <c r="CC258" s="1"/>
      <c r="CD258" s="1"/>
      <c r="CE258" s="1"/>
      <c r="CF258" s="1"/>
      <c r="CG258" s="1"/>
      <c r="CH258" s="1"/>
      <c r="CI258" s="1"/>
      <c r="CJ258" s="1"/>
      <c r="CK258" s="1"/>
      <c r="CL258" s="1"/>
      <c r="CM258" s="1"/>
      <c r="CN258" s="1"/>
      <c r="CO258" s="1"/>
      <c r="CP258" s="1"/>
      <c r="CQ258" s="1"/>
      <c r="CR258" s="1"/>
      <c r="CS258" s="1"/>
      <c r="CT258" s="1"/>
      <c r="CU258" s="1"/>
      <c r="CV258" s="1"/>
      <c r="CW258" s="1"/>
      <c r="CX258" s="1"/>
      <c r="CY258" s="1"/>
      <c r="CZ258" s="1"/>
      <c r="DA258" s="1"/>
      <c r="DB258" s="1"/>
      <c r="DC258" s="1"/>
      <c r="DD258" s="1"/>
      <c r="DE258" s="1"/>
      <c r="DF258" s="1"/>
      <c r="DG258" s="1"/>
      <c r="DH258" s="1"/>
      <c r="DI258" s="1"/>
      <c r="DJ258" s="1"/>
      <c r="DK258" s="1"/>
      <c r="DL258" s="1"/>
      <c r="DM258" s="1"/>
      <c r="DN258" s="1"/>
      <c r="DO258" s="1"/>
      <c r="DP258" s="1"/>
      <c r="DQ258" s="1"/>
      <c r="DR258" s="1"/>
      <c r="DS258" s="1"/>
      <c r="DT258" s="1"/>
      <c r="DU258" s="1"/>
      <c r="DV258" s="1"/>
      <c r="DW258" s="1"/>
      <c r="DX258" s="1"/>
      <c r="DY258" s="1"/>
      <c r="DZ258" s="1"/>
      <c r="EA258" s="1"/>
      <c r="EB258" s="1"/>
      <c r="EC258" s="1"/>
      <c r="ED258" s="1"/>
      <c r="EE258" s="1"/>
      <c r="EF258" s="1"/>
      <c r="EG258" s="1"/>
      <c r="EH258" s="1"/>
      <c r="EI258" s="1"/>
      <c r="EJ258" s="1"/>
      <c r="EK258" s="1"/>
      <c r="EL258" s="1"/>
      <c r="EM258" s="1"/>
      <c r="EN258" s="1"/>
      <c r="EO258" s="1"/>
      <c r="EP258" s="1"/>
      <c r="EQ258" s="1"/>
      <c r="ER258" s="1"/>
      <c r="ES258" s="1"/>
      <c r="ET258" s="1"/>
      <c r="EU258" s="1"/>
      <c r="EV258" s="1"/>
      <c r="EW258" s="1"/>
      <c r="EX258" s="1"/>
      <c r="EY258" s="1"/>
      <c r="EZ258" s="1"/>
      <c r="FA258" s="1"/>
      <c r="FB258" s="1"/>
      <c r="FC258" s="1"/>
      <c r="FD258" s="1"/>
      <c r="FE258" s="1"/>
      <c r="FF258" s="1"/>
      <c r="FG258" s="1"/>
      <c r="FH258" s="1"/>
      <c r="FI258" s="1"/>
      <c r="FJ258" s="1"/>
      <c r="FK258" s="1"/>
      <c r="FL258" s="1"/>
      <c r="FM258" s="1"/>
      <c r="FN258" s="1"/>
      <c r="FO258" s="1"/>
      <c r="FP258" s="1"/>
      <c r="FQ258" s="1"/>
      <c r="FR258" s="1"/>
      <c r="FS258" s="1"/>
      <c r="FT258" s="1"/>
      <c r="FU258" s="1"/>
      <c r="FV258" s="1"/>
      <c r="FW258" s="1"/>
      <c r="FX258" s="1"/>
      <c r="FY258" s="1"/>
      <c r="FZ258" s="1"/>
      <c r="GA258" s="1"/>
      <c r="GB258" s="1"/>
      <c r="GC258" s="1"/>
      <c r="GD258" s="1"/>
      <c r="GE258" s="1"/>
      <c r="GF258" s="1"/>
      <c r="GG258" s="1"/>
      <c r="GH258" s="1"/>
      <c r="GI258" s="1"/>
      <c r="GJ258" s="1"/>
      <c r="GK258" s="1"/>
      <c r="GL258" s="1"/>
      <c r="GM258" s="1"/>
      <c r="GN258" s="1"/>
      <c r="GO258" s="1"/>
      <c r="GP258" s="1"/>
      <c r="GQ258" s="1"/>
      <c r="GR258" s="1"/>
      <c r="GS258" s="1"/>
      <c r="GT258" s="1"/>
      <c r="GU258" s="1"/>
      <c r="GV258" s="1"/>
      <c r="GW258" s="1"/>
      <c r="GX258" s="1"/>
      <c r="GY258" s="1"/>
      <c r="GZ258" s="1"/>
      <c r="HA258" s="1"/>
      <c r="HB258" s="1"/>
      <c r="HC258" s="1"/>
      <c r="HD258" s="1"/>
      <c r="HE258" s="1"/>
      <c r="HF258" s="1"/>
      <c r="HG258" s="1"/>
      <c r="HH258" s="1"/>
      <c r="HI258" s="1"/>
      <c r="HJ258" s="1"/>
      <c r="HK258" s="1"/>
      <c r="HL258" s="1"/>
      <c r="HM258" s="1"/>
      <c r="HN258" s="1"/>
      <c r="HO258" s="1"/>
      <c r="HP258" s="1"/>
      <c r="HQ258" s="1"/>
      <c r="HR258" s="1"/>
      <c r="HS258" s="1"/>
      <c r="HT258" s="1"/>
      <c r="HU258" s="1"/>
      <c r="HV258" s="1"/>
      <c r="HW258" s="1"/>
      <c r="HX258" s="1"/>
      <c r="HY258" s="1"/>
      <c r="HZ258" s="1"/>
      <c r="IA258" s="1"/>
      <c r="IB258" s="1"/>
      <c r="IC258" s="1"/>
      <c r="ID258" s="1"/>
      <c r="IE258" s="1"/>
      <c r="IF258" s="1"/>
      <c r="IG258" s="1"/>
      <c r="IH258" s="1"/>
      <c r="II258" s="1"/>
      <c r="IJ258" s="1"/>
      <c r="IK258" s="1"/>
      <c r="IL258" s="1"/>
      <c r="IM258" s="1"/>
      <c r="IN258" s="1"/>
      <c r="IO258" s="1"/>
      <c r="IP258" s="1"/>
      <c r="IQ258" s="1"/>
      <c r="IR258" s="1"/>
      <c r="IS258" s="1"/>
      <c r="IT258" s="1"/>
      <c r="IU258" s="1"/>
      <c r="IV258" s="1"/>
      <c r="IW258" s="1"/>
      <c r="IX258" s="1"/>
      <c r="IY258" s="1"/>
      <c r="IZ258" s="1"/>
      <c r="JA258" s="1"/>
      <c r="JB258" s="1"/>
      <c r="JC258" s="1"/>
      <c r="JD258" s="1"/>
      <c r="JE258" s="1"/>
      <c r="JF258" s="1"/>
      <c r="JG258" s="1"/>
      <c r="JH258" s="1"/>
      <c r="JI258" s="1"/>
      <c r="JJ258" s="1"/>
      <c r="JK258" s="1"/>
      <c r="JL258" s="1"/>
      <c r="JM258" s="1"/>
      <c r="JN258" s="1"/>
      <c r="JO258" s="1"/>
      <c r="JP258" s="1"/>
      <c r="JQ258" s="1"/>
      <c r="JR258" s="1"/>
      <c r="JS258" s="1"/>
      <c r="JT258" s="1"/>
      <c r="JU258" s="1"/>
      <c r="JV258" s="1"/>
      <c r="JW258" s="1"/>
      <c r="JX258" s="1"/>
      <c r="JY258" s="1"/>
      <c r="JZ258" s="1"/>
      <c r="KA258" s="1"/>
      <c r="KB258" s="1"/>
      <c r="KC258" s="1"/>
      <c r="KD258" s="1"/>
      <c r="KE258" s="1"/>
      <c r="KF258" s="1"/>
      <c r="KG258" s="1"/>
      <c r="KH258" s="1"/>
      <c r="KI258" s="1"/>
      <c r="KJ258" s="1"/>
      <c r="KK258" s="1"/>
      <c r="KL258" s="1"/>
      <c r="KM258" s="1"/>
      <c r="KN258" s="1"/>
      <c r="KO258" s="1"/>
      <c r="KP258" s="1"/>
      <c r="KQ258" s="1"/>
      <c r="KR258" s="1"/>
      <c r="KS258" s="1"/>
      <c r="KT258" s="1"/>
      <c r="KU258" s="1"/>
      <c r="KV258" s="1"/>
      <c r="KW258" s="1"/>
      <c r="KX258" s="1"/>
      <c r="KY258" s="1"/>
      <c r="KZ258" s="1"/>
      <c r="LA258" s="1"/>
      <c r="LB258" s="1"/>
      <c r="LC258" s="1"/>
      <c r="LD258" s="1"/>
      <c r="LE258" s="1"/>
      <c r="LF258" s="1"/>
      <c r="LG258" s="1"/>
      <c r="LH258" s="1"/>
      <c r="LI258" s="1"/>
      <c r="LJ258" s="1"/>
      <c r="LK258" s="1"/>
      <c r="LL258" s="1"/>
      <c r="LM258" s="1"/>
      <c r="LN258" s="1"/>
      <c r="LO258" s="1"/>
      <c r="LP258" s="1"/>
      <c r="LQ258" s="1"/>
      <c r="LR258" s="1"/>
      <c r="LS258" s="1"/>
    </row>
    <row r="259" spans="1:331" s="72" customFormat="1" x14ac:dyDescent="0.25">
      <c r="A259" s="72" t="s">
        <v>954</v>
      </c>
      <c r="B259" s="75" t="s">
        <v>955</v>
      </c>
      <c r="C259" s="94" t="s">
        <v>1650</v>
      </c>
      <c r="D259" s="72">
        <v>0</v>
      </c>
      <c r="H259" s="72" t="s">
        <v>332</v>
      </c>
      <c r="I259" s="72" t="s">
        <v>330</v>
      </c>
      <c r="J259" s="72" t="s">
        <v>332</v>
      </c>
      <c r="K259" s="72" t="s">
        <v>332</v>
      </c>
      <c r="L259" s="72">
        <v>0</v>
      </c>
      <c r="O259" s="72">
        <v>1</v>
      </c>
      <c r="P259" s="72" t="s">
        <v>956</v>
      </c>
      <c r="Q259" s="96"/>
      <c r="R259" s="96" t="s">
        <v>316</v>
      </c>
      <c r="S259" s="72">
        <v>10</v>
      </c>
      <c r="U259" s="72">
        <v>10</v>
      </c>
      <c r="W259" s="96">
        <v>10</v>
      </c>
      <c r="X259" s="96"/>
      <c r="Y259" s="96"/>
      <c r="Z259" s="72">
        <v>14</v>
      </c>
      <c r="AA259" s="94" t="b">
        <v>1</v>
      </c>
      <c r="AB259" s="1"/>
      <c r="AC259" s="57" t="s">
        <v>1297</v>
      </c>
      <c r="AD259" s="1"/>
      <c r="AE259" s="57"/>
      <c r="AF259" s="1"/>
      <c r="AG259" s="1"/>
      <c r="AH259" s="1"/>
      <c r="AI259" s="1"/>
      <c r="AJ259" s="1"/>
      <c r="AK259" s="1"/>
      <c r="AL259" s="1"/>
      <c r="AM259" s="1"/>
      <c r="AN259" s="1"/>
      <c r="AO259" s="1"/>
      <c r="AP259" s="1"/>
      <c r="AQ259" s="1"/>
      <c r="AR259" s="1"/>
      <c r="AS259" s="1"/>
      <c r="AT259" s="1"/>
      <c r="AU259" s="1"/>
      <c r="AV259" s="1"/>
      <c r="AW259" s="1"/>
      <c r="AX259" s="1"/>
      <c r="AY259" s="1"/>
      <c r="AZ259" s="1"/>
      <c r="BA259" s="1"/>
      <c r="BB259" s="1"/>
      <c r="BC259" s="1"/>
      <c r="BD259" s="1"/>
      <c r="BE259" s="1"/>
      <c r="BF259" s="1"/>
      <c r="BG259" s="1"/>
      <c r="BH259" s="1"/>
      <c r="BI259" s="1"/>
      <c r="BJ259" s="1"/>
      <c r="BK259" s="1"/>
      <c r="BL259" s="1"/>
      <c r="BM259" s="1"/>
      <c r="BN259" s="1"/>
      <c r="BO259" s="1"/>
      <c r="BP259" s="1"/>
      <c r="BQ259" s="1"/>
      <c r="BR259" s="1"/>
      <c r="BS259" s="1"/>
      <c r="BT259" s="1"/>
      <c r="BU259" s="1"/>
      <c r="BV259" s="1"/>
    </row>
    <row r="260" spans="1:331" s="40" customFormat="1" x14ac:dyDescent="0.25">
      <c r="A260" s="40" t="s">
        <v>957</v>
      </c>
      <c r="B260" s="44" t="s">
        <v>958</v>
      </c>
      <c r="C260" s="94" t="s">
        <v>1650</v>
      </c>
      <c r="D260" s="40">
        <v>0</v>
      </c>
      <c r="H260" s="40" t="s">
        <v>959</v>
      </c>
      <c r="I260" s="40" t="s">
        <v>960</v>
      </c>
      <c r="J260" s="40" t="s">
        <v>961</v>
      </c>
      <c r="K260" s="40" t="s">
        <v>960</v>
      </c>
      <c r="L260" s="40">
        <v>0</v>
      </c>
      <c r="O260" s="40">
        <v>1</v>
      </c>
      <c r="P260" s="40" t="s">
        <v>368</v>
      </c>
      <c r="Q260" s="96" t="s">
        <v>1591</v>
      </c>
      <c r="R260" s="96"/>
      <c r="T260" s="40">
        <v>15</v>
      </c>
      <c r="V260" s="40">
        <v>11</v>
      </c>
      <c r="W260" s="96">
        <v>15</v>
      </c>
      <c r="X260" s="96"/>
      <c r="Y260" s="96"/>
      <c r="Z260" s="40">
        <v>8</v>
      </c>
      <c r="AA260" s="94" t="b">
        <v>1</v>
      </c>
      <c r="AB260" s="1" t="b">
        <v>1</v>
      </c>
      <c r="AC260" s="57" t="s">
        <v>1433</v>
      </c>
      <c r="AD260" s="1"/>
      <c r="AE260" s="57"/>
      <c r="AF260" s="1"/>
      <c r="AG260" s="1"/>
      <c r="AH260" s="1"/>
      <c r="AI260" s="1"/>
      <c r="AJ260" s="1"/>
      <c r="AK260" s="1"/>
      <c r="AL260" s="1"/>
      <c r="AM260" s="1"/>
      <c r="AN260" s="1"/>
      <c r="AO260" s="1"/>
      <c r="AP260" s="1"/>
      <c r="AQ260" s="1"/>
      <c r="AR260" s="1"/>
      <c r="AS260" s="1"/>
      <c r="AT260" s="1"/>
      <c r="AU260" s="1"/>
      <c r="AV260" s="1"/>
      <c r="AW260" s="1"/>
      <c r="AX260" s="1"/>
      <c r="AY260" s="1"/>
      <c r="AZ260" s="1"/>
      <c r="BA260" s="1"/>
      <c r="BB260" s="1"/>
      <c r="BC260" s="1"/>
      <c r="BD260" s="1"/>
      <c r="BE260" s="1"/>
      <c r="BF260" s="1"/>
      <c r="BG260" s="1"/>
      <c r="BH260" s="1"/>
      <c r="BI260" s="1"/>
      <c r="BJ260" s="1"/>
      <c r="BK260" s="1"/>
      <c r="BL260" s="1"/>
      <c r="BM260" s="1"/>
      <c r="BN260" s="1"/>
      <c r="BO260" s="1"/>
      <c r="BP260" s="1"/>
      <c r="BQ260" s="1"/>
      <c r="BR260" s="1"/>
      <c r="BS260" s="1"/>
      <c r="BT260" s="1"/>
      <c r="BU260" s="1"/>
      <c r="BV260" s="1"/>
      <c r="BW260" s="1"/>
      <c r="BX260" s="1"/>
      <c r="BY260" s="1"/>
      <c r="BZ260" s="1"/>
      <c r="CA260" s="1"/>
      <c r="CB260" s="1"/>
      <c r="CC260" s="1"/>
      <c r="CD260" s="1"/>
      <c r="CE260" s="1"/>
      <c r="CF260" s="1"/>
      <c r="CG260" s="1"/>
      <c r="CH260" s="1"/>
      <c r="CI260" s="1"/>
      <c r="CJ260" s="1"/>
      <c r="CK260" s="1"/>
      <c r="CL260" s="1"/>
      <c r="CM260" s="1"/>
      <c r="CN260" s="1"/>
      <c r="CO260" s="1"/>
      <c r="CP260" s="1"/>
      <c r="CQ260" s="1"/>
      <c r="CR260" s="1"/>
      <c r="CS260" s="1"/>
      <c r="CT260" s="1"/>
      <c r="CU260" s="1"/>
      <c r="CV260" s="1"/>
      <c r="CW260" s="1"/>
      <c r="CX260" s="1"/>
      <c r="CY260" s="1"/>
      <c r="CZ260" s="1"/>
      <c r="DA260" s="1"/>
      <c r="DB260" s="1"/>
      <c r="DC260" s="1"/>
      <c r="DD260" s="1"/>
      <c r="DE260" s="1"/>
      <c r="DF260" s="1"/>
      <c r="DG260" s="1"/>
      <c r="DH260" s="1"/>
      <c r="DI260" s="1"/>
      <c r="DJ260" s="1"/>
      <c r="DK260" s="1"/>
      <c r="DL260" s="1"/>
      <c r="DM260" s="1"/>
      <c r="DN260" s="1"/>
      <c r="DO260" s="1"/>
      <c r="DP260" s="1"/>
      <c r="DQ260" s="1"/>
      <c r="DR260" s="1"/>
      <c r="DS260" s="1"/>
      <c r="DT260" s="1"/>
      <c r="DU260" s="1"/>
      <c r="DV260" s="1"/>
      <c r="DW260" s="1"/>
      <c r="DX260" s="1"/>
      <c r="DY260" s="1"/>
      <c r="DZ260" s="1"/>
      <c r="EA260" s="1"/>
      <c r="EB260" s="1"/>
      <c r="EC260" s="1"/>
      <c r="ED260" s="1"/>
      <c r="EE260" s="1"/>
      <c r="EF260" s="1"/>
      <c r="EG260" s="1"/>
      <c r="EH260" s="1"/>
      <c r="EI260" s="1"/>
      <c r="EJ260" s="1"/>
      <c r="EK260" s="1"/>
      <c r="EL260" s="1"/>
      <c r="EM260" s="1"/>
      <c r="EN260" s="1"/>
      <c r="EO260" s="1"/>
      <c r="EP260" s="1"/>
      <c r="EQ260" s="1"/>
      <c r="ER260" s="1"/>
      <c r="ES260" s="1"/>
      <c r="ET260" s="1"/>
      <c r="EU260" s="1"/>
      <c r="EV260" s="1"/>
      <c r="EW260" s="1"/>
      <c r="EX260" s="1"/>
      <c r="EY260" s="1"/>
      <c r="EZ260" s="1"/>
      <c r="FA260" s="1"/>
      <c r="FB260" s="1"/>
      <c r="FC260" s="1"/>
      <c r="FD260" s="1"/>
      <c r="FE260" s="1"/>
      <c r="FF260" s="1"/>
      <c r="FG260" s="1"/>
      <c r="FH260" s="1"/>
      <c r="FI260" s="1"/>
      <c r="FJ260" s="1"/>
      <c r="FK260" s="1"/>
      <c r="FL260" s="1"/>
      <c r="FM260" s="1"/>
      <c r="FN260" s="1"/>
      <c r="FO260" s="1"/>
      <c r="FP260" s="1"/>
      <c r="FQ260" s="1"/>
      <c r="FR260" s="1"/>
      <c r="FS260" s="1"/>
      <c r="FT260" s="1"/>
      <c r="FU260" s="1"/>
      <c r="FV260" s="1"/>
      <c r="FW260" s="1"/>
      <c r="FX260" s="1"/>
      <c r="FY260" s="1"/>
      <c r="FZ260" s="1"/>
      <c r="GA260" s="1"/>
      <c r="GB260" s="1"/>
      <c r="GC260" s="1"/>
      <c r="GD260" s="1"/>
      <c r="GE260" s="1"/>
      <c r="GF260" s="1"/>
      <c r="GG260" s="1"/>
      <c r="GH260" s="1"/>
      <c r="GI260" s="1"/>
      <c r="GJ260" s="1"/>
      <c r="GK260" s="1"/>
      <c r="GL260" s="1"/>
      <c r="GM260" s="1"/>
      <c r="GN260" s="1"/>
      <c r="GO260" s="1"/>
      <c r="GP260" s="1"/>
      <c r="GQ260" s="1"/>
      <c r="GR260" s="1"/>
      <c r="GS260" s="1"/>
      <c r="GT260" s="1"/>
      <c r="GU260" s="1"/>
      <c r="GV260" s="1"/>
      <c r="GW260" s="1"/>
      <c r="GX260" s="1"/>
      <c r="GY260" s="1"/>
      <c r="GZ260" s="1"/>
      <c r="HA260" s="1"/>
      <c r="HB260" s="1"/>
      <c r="HC260" s="1"/>
      <c r="HD260" s="1"/>
      <c r="HE260" s="1"/>
      <c r="HF260" s="1"/>
      <c r="HG260" s="1"/>
      <c r="HH260" s="1"/>
      <c r="HI260" s="1"/>
      <c r="HJ260" s="1"/>
      <c r="HK260" s="1"/>
      <c r="HL260" s="1"/>
      <c r="HM260" s="1"/>
      <c r="HN260" s="1"/>
      <c r="HO260" s="1"/>
      <c r="HP260" s="1"/>
      <c r="HQ260" s="1"/>
      <c r="HR260" s="1"/>
      <c r="HS260" s="1"/>
      <c r="HT260" s="1"/>
      <c r="HU260" s="1"/>
      <c r="HV260" s="1"/>
      <c r="HW260" s="1"/>
      <c r="HX260" s="1"/>
      <c r="HY260" s="1"/>
      <c r="HZ260" s="1"/>
      <c r="IA260" s="1"/>
      <c r="IB260" s="1"/>
      <c r="IC260" s="1"/>
      <c r="ID260" s="1"/>
      <c r="IE260" s="1"/>
      <c r="IF260" s="1"/>
      <c r="IG260" s="1"/>
      <c r="IH260" s="1"/>
      <c r="II260" s="1"/>
      <c r="IJ260" s="1"/>
      <c r="IK260" s="1"/>
      <c r="IL260" s="1"/>
      <c r="IM260" s="1"/>
      <c r="IN260" s="1"/>
      <c r="IO260" s="1"/>
      <c r="IP260" s="1"/>
      <c r="IQ260" s="1"/>
      <c r="IR260" s="1"/>
      <c r="IS260" s="1"/>
      <c r="IT260" s="1"/>
      <c r="IU260" s="1"/>
      <c r="IV260" s="1"/>
      <c r="IW260" s="1"/>
      <c r="IX260" s="1"/>
      <c r="IY260" s="1"/>
      <c r="IZ260" s="1"/>
      <c r="JA260" s="1"/>
      <c r="JB260" s="1"/>
      <c r="JC260" s="1"/>
      <c r="JD260" s="1"/>
      <c r="JE260" s="1"/>
      <c r="JF260" s="1"/>
      <c r="JG260" s="1"/>
      <c r="JH260" s="1"/>
      <c r="JI260" s="1"/>
      <c r="JJ260" s="1"/>
      <c r="JK260" s="1"/>
      <c r="JL260" s="1"/>
      <c r="JM260" s="1"/>
      <c r="JN260" s="1"/>
      <c r="JO260" s="1"/>
      <c r="JP260" s="1"/>
      <c r="JQ260" s="1"/>
      <c r="JR260" s="1"/>
      <c r="JS260" s="1"/>
      <c r="JT260" s="1"/>
      <c r="JU260" s="1"/>
      <c r="JV260" s="1"/>
      <c r="JW260" s="1"/>
      <c r="JX260" s="1"/>
      <c r="JY260" s="1"/>
      <c r="JZ260" s="1"/>
      <c r="KA260" s="1"/>
      <c r="KB260" s="1"/>
      <c r="KC260" s="1"/>
      <c r="KD260" s="1"/>
      <c r="KE260" s="1"/>
      <c r="KF260" s="1"/>
      <c r="KG260" s="1"/>
      <c r="KH260" s="1"/>
      <c r="KI260" s="1"/>
      <c r="KJ260" s="1"/>
      <c r="KK260" s="1"/>
      <c r="KL260" s="1"/>
      <c r="KM260" s="1"/>
      <c r="KN260" s="1"/>
      <c r="KO260" s="1"/>
      <c r="KP260" s="1"/>
      <c r="KQ260" s="1"/>
      <c r="KR260" s="1"/>
      <c r="KS260" s="1"/>
      <c r="KT260" s="1"/>
      <c r="KU260" s="1"/>
      <c r="KV260" s="1"/>
      <c r="KW260" s="1"/>
      <c r="KX260" s="1"/>
      <c r="KY260" s="1"/>
      <c r="KZ260" s="1"/>
      <c r="LA260" s="1"/>
      <c r="LB260" s="1"/>
      <c r="LC260" s="1"/>
      <c r="LD260" s="1"/>
      <c r="LE260" s="1"/>
      <c r="LF260" s="1"/>
      <c r="LG260" s="1"/>
      <c r="LH260" s="1"/>
      <c r="LI260" s="1"/>
      <c r="LJ260" s="1"/>
      <c r="LK260" s="1"/>
      <c r="LL260" s="1"/>
      <c r="LM260" s="1"/>
      <c r="LN260" s="1"/>
      <c r="LO260" s="1"/>
      <c r="LP260" s="1"/>
      <c r="LQ260" s="1"/>
      <c r="LR260" s="1"/>
      <c r="LS260" s="1"/>
    </row>
    <row r="261" spans="1:331" s="40" customFormat="1" x14ac:dyDescent="0.25">
      <c r="A261" s="40" t="s">
        <v>962</v>
      </c>
      <c r="B261" s="44" t="s">
        <v>963</v>
      </c>
      <c r="C261" s="94" t="s">
        <v>1650</v>
      </c>
      <c r="D261" s="40">
        <v>0</v>
      </c>
      <c r="H261" s="40" t="s">
        <v>964</v>
      </c>
      <c r="I261" s="40" t="s">
        <v>965</v>
      </c>
      <c r="J261" s="40" t="s">
        <v>966</v>
      </c>
      <c r="K261" s="40" t="s">
        <v>964</v>
      </c>
      <c r="L261" s="40">
        <v>0</v>
      </c>
      <c r="O261" s="40">
        <v>1</v>
      </c>
      <c r="P261" s="40" t="s">
        <v>967</v>
      </c>
      <c r="Q261" s="96" t="s">
        <v>1592</v>
      </c>
      <c r="R261" s="96"/>
      <c r="S261" s="40">
        <v>4</v>
      </c>
      <c r="T261" s="40">
        <v>10</v>
      </c>
      <c r="U261" s="40">
        <v>6</v>
      </c>
      <c r="V261" s="40">
        <v>10</v>
      </c>
      <c r="W261" s="96">
        <v>10</v>
      </c>
      <c r="X261" s="96"/>
      <c r="Y261" s="96"/>
      <c r="Z261" s="40">
        <v>8</v>
      </c>
      <c r="AA261" s="94" t="b">
        <v>1</v>
      </c>
      <c r="AB261" s="1"/>
      <c r="AC261" s="57" t="s">
        <v>1434</v>
      </c>
      <c r="AD261" s="1"/>
      <c r="AE261" s="57"/>
      <c r="AF261" s="1"/>
      <c r="AG261" s="1"/>
      <c r="AH261" s="1"/>
      <c r="AI261" s="1"/>
      <c r="AJ261" s="1"/>
      <c r="AK261" s="1"/>
      <c r="AL261" s="1"/>
      <c r="AM261" s="1"/>
      <c r="AN261" s="1"/>
      <c r="AO261" s="1"/>
      <c r="AP261" s="1"/>
      <c r="AQ261" s="1"/>
      <c r="AR261" s="1"/>
      <c r="AS261" s="1"/>
      <c r="AT261" s="1"/>
      <c r="AU261" s="1"/>
      <c r="AV261" s="1"/>
      <c r="AW261" s="1"/>
      <c r="AX261" s="1"/>
      <c r="AY261" s="1"/>
      <c r="AZ261" s="1"/>
      <c r="BA261" s="1"/>
      <c r="BB261" s="1"/>
      <c r="BC261" s="1"/>
      <c r="BD261" s="1"/>
      <c r="BE261" s="1"/>
      <c r="BF261" s="1"/>
      <c r="BG261" s="1"/>
      <c r="BH261" s="1"/>
      <c r="BI261" s="1"/>
      <c r="BJ261" s="1"/>
      <c r="BK261" s="1"/>
      <c r="BL261" s="1"/>
      <c r="BM261" s="1"/>
      <c r="BN261" s="1"/>
      <c r="BO261" s="1"/>
      <c r="BP261" s="1"/>
      <c r="BQ261" s="1"/>
      <c r="BR261" s="1"/>
      <c r="BS261" s="1"/>
      <c r="BT261" s="1"/>
      <c r="BU261" s="1"/>
      <c r="BV261" s="1"/>
      <c r="BW261" s="1"/>
      <c r="BX261" s="1"/>
      <c r="BY261" s="1"/>
      <c r="BZ261" s="1"/>
      <c r="CA261" s="1"/>
      <c r="CB261" s="1"/>
      <c r="CC261" s="1"/>
      <c r="CD261" s="1"/>
      <c r="CE261" s="1"/>
      <c r="CF261" s="1"/>
      <c r="CG261" s="1"/>
      <c r="CH261" s="1"/>
      <c r="CI261" s="1"/>
      <c r="CJ261" s="1"/>
      <c r="CK261" s="1"/>
      <c r="CL261" s="1"/>
      <c r="CM261" s="1"/>
      <c r="CN261" s="1"/>
      <c r="CO261" s="1"/>
      <c r="CP261" s="1"/>
      <c r="CQ261" s="1"/>
      <c r="CR261" s="1"/>
      <c r="CS261" s="1"/>
      <c r="CT261" s="1"/>
      <c r="CU261" s="1"/>
      <c r="CV261" s="1"/>
      <c r="CW261" s="1"/>
      <c r="CX261" s="1"/>
      <c r="CY261" s="1"/>
      <c r="CZ261" s="1"/>
      <c r="DA261" s="1"/>
      <c r="DB261" s="1"/>
      <c r="DC261" s="1"/>
      <c r="DD261" s="1"/>
      <c r="DE261" s="1"/>
      <c r="DF261" s="1"/>
      <c r="DG261" s="1"/>
      <c r="DH261" s="1"/>
      <c r="DI261" s="1"/>
      <c r="DJ261" s="1"/>
      <c r="DK261" s="1"/>
      <c r="DL261" s="1"/>
      <c r="DM261" s="1"/>
      <c r="DN261" s="1"/>
      <c r="DO261" s="1"/>
      <c r="DP261" s="1"/>
      <c r="DQ261" s="1"/>
      <c r="DR261" s="1"/>
      <c r="DS261" s="1"/>
      <c r="DT261" s="1"/>
      <c r="DU261" s="1"/>
      <c r="DV261" s="1"/>
      <c r="DW261" s="1"/>
      <c r="DX261" s="1"/>
      <c r="DY261" s="1"/>
      <c r="DZ261" s="1"/>
      <c r="EA261" s="1"/>
      <c r="EB261" s="1"/>
      <c r="EC261" s="1"/>
      <c r="ED261" s="1"/>
      <c r="EE261" s="1"/>
      <c r="EF261" s="1"/>
      <c r="EG261" s="1"/>
      <c r="EH261" s="1"/>
      <c r="EI261" s="1"/>
      <c r="EJ261" s="1"/>
      <c r="EK261" s="1"/>
      <c r="EL261" s="1"/>
      <c r="EM261" s="1"/>
      <c r="EN261" s="1"/>
      <c r="EO261" s="1"/>
      <c r="EP261" s="1"/>
      <c r="EQ261" s="1"/>
      <c r="ER261" s="1"/>
      <c r="ES261" s="1"/>
      <c r="ET261" s="1"/>
      <c r="EU261" s="1"/>
      <c r="EV261" s="1"/>
      <c r="EW261" s="1"/>
      <c r="EX261" s="1"/>
      <c r="EY261" s="1"/>
      <c r="EZ261" s="1"/>
      <c r="FA261" s="1"/>
      <c r="FB261" s="1"/>
      <c r="FC261" s="1"/>
      <c r="FD261" s="1"/>
      <c r="FE261" s="1"/>
      <c r="FF261" s="1"/>
      <c r="FG261" s="1"/>
      <c r="FH261" s="1"/>
      <c r="FI261" s="1"/>
      <c r="FJ261" s="1"/>
      <c r="FK261" s="1"/>
      <c r="FL261" s="1"/>
      <c r="FM261" s="1"/>
      <c r="FN261" s="1"/>
      <c r="FO261" s="1"/>
      <c r="FP261" s="1"/>
      <c r="FQ261" s="1"/>
      <c r="FR261" s="1"/>
      <c r="FS261" s="1"/>
      <c r="FT261" s="1"/>
      <c r="FU261" s="1"/>
      <c r="FV261" s="1"/>
      <c r="FW261" s="1"/>
      <c r="FX261" s="1"/>
      <c r="FY261" s="1"/>
      <c r="FZ261" s="1"/>
      <c r="GA261" s="1"/>
      <c r="GB261" s="1"/>
      <c r="GC261" s="1"/>
      <c r="GD261" s="1"/>
      <c r="GE261" s="1"/>
      <c r="GF261" s="1"/>
      <c r="GG261" s="1"/>
      <c r="GH261" s="1"/>
      <c r="GI261" s="1"/>
      <c r="GJ261" s="1"/>
      <c r="GK261" s="1"/>
      <c r="GL261" s="1"/>
      <c r="GM261" s="1"/>
      <c r="GN261" s="1"/>
      <c r="GO261" s="1"/>
      <c r="GP261" s="1"/>
      <c r="GQ261" s="1"/>
      <c r="GR261" s="1"/>
      <c r="GS261" s="1"/>
      <c r="GT261" s="1"/>
      <c r="GU261" s="1"/>
      <c r="GV261" s="1"/>
      <c r="GW261" s="1"/>
      <c r="GX261" s="1"/>
      <c r="GY261" s="1"/>
      <c r="GZ261" s="1"/>
      <c r="HA261" s="1"/>
      <c r="HB261" s="1"/>
      <c r="HC261" s="1"/>
      <c r="HD261" s="1"/>
      <c r="HE261" s="1"/>
      <c r="HF261" s="1"/>
      <c r="HG261" s="1"/>
      <c r="HH261" s="1"/>
      <c r="HI261" s="1"/>
      <c r="HJ261" s="1"/>
      <c r="HK261" s="1"/>
      <c r="HL261" s="1"/>
      <c r="HM261" s="1"/>
      <c r="HN261" s="1"/>
      <c r="HO261" s="1"/>
      <c r="HP261" s="1"/>
      <c r="HQ261" s="1"/>
      <c r="HR261" s="1"/>
      <c r="HS261" s="1"/>
      <c r="HT261" s="1"/>
      <c r="HU261" s="1"/>
      <c r="HV261" s="1"/>
      <c r="HW261" s="1"/>
      <c r="HX261" s="1"/>
      <c r="HY261" s="1"/>
      <c r="HZ261" s="1"/>
      <c r="IA261" s="1"/>
      <c r="IB261" s="1"/>
      <c r="IC261" s="1"/>
      <c r="ID261" s="1"/>
      <c r="IE261" s="1"/>
      <c r="IF261" s="1"/>
      <c r="IG261" s="1"/>
      <c r="IH261" s="1"/>
      <c r="II261" s="1"/>
      <c r="IJ261" s="1"/>
      <c r="IK261" s="1"/>
      <c r="IL261" s="1"/>
      <c r="IM261" s="1"/>
      <c r="IN261" s="1"/>
      <c r="IO261" s="1"/>
      <c r="IP261" s="1"/>
      <c r="IQ261" s="1"/>
      <c r="IR261" s="1"/>
      <c r="IS261" s="1"/>
      <c r="IT261" s="1"/>
      <c r="IU261" s="1"/>
      <c r="IV261" s="1"/>
      <c r="IW261" s="1"/>
      <c r="IX261" s="1"/>
      <c r="IY261" s="1"/>
      <c r="IZ261" s="1"/>
      <c r="JA261" s="1"/>
      <c r="JB261" s="1"/>
      <c r="JC261" s="1"/>
      <c r="JD261" s="1"/>
      <c r="JE261" s="1"/>
      <c r="JF261" s="1"/>
      <c r="JG261" s="1"/>
      <c r="JH261" s="1"/>
      <c r="JI261" s="1"/>
      <c r="JJ261" s="1"/>
      <c r="JK261" s="1"/>
      <c r="JL261" s="1"/>
      <c r="JM261" s="1"/>
      <c r="JN261" s="1"/>
      <c r="JO261" s="1"/>
      <c r="JP261" s="1"/>
      <c r="JQ261" s="1"/>
      <c r="JR261" s="1"/>
      <c r="JS261" s="1"/>
      <c r="JT261" s="1"/>
      <c r="JU261" s="1"/>
      <c r="JV261" s="1"/>
      <c r="JW261" s="1"/>
      <c r="JX261" s="1"/>
      <c r="JY261" s="1"/>
      <c r="JZ261" s="1"/>
      <c r="KA261" s="1"/>
      <c r="KB261" s="1"/>
      <c r="KC261" s="1"/>
      <c r="KD261" s="1"/>
      <c r="KE261" s="1"/>
      <c r="KF261" s="1"/>
      <c r="KG261" s="1"/>
      <c r="KH261" s="1"/>
      <c r="KI261" s="1"/>
      <c r="KJ261" s="1"/>
      <c r="KK261" s="1"/>
      <c r="KL261" s="1"/>
      <c r="KM261" s="1"/>
      <c r="KN261" s="1"/>
      <c r="KO261" s="1"/>
      <c r="KP261" s="1"/>
      <c r="KQ261" s="1"/>
      <c r="KR261" s="1"/>
      <c r="KS261" s="1"/>
      <c r="KT261" s="1"/>
      <c r="KU261" s="1"/>
      <c r="KV261" s="1"/>
      <c r="KW261" s="1"/>
      <c r="KX261" s="1"/>
      <c r="KY261" s="1"/>
      <c r="KZ261" s="1"/>
      <c r="LA261" s="1"/>
      <c r="LB261" s="1"/>
      <c r="LC261" s="1"/>
      <c r="LD261" s="1"/>
      <c r="LE261" s="1"/>
      <c r="LF261" s="1"/>
      <c r="LG261" s="1"/>
      <c r="LH261" s="1"/>
      <c r="LI261" s="1"/>
      <c r="LJ261" s="1"/>
      <c r="LK261" s="1"/>
      <c r="LL261" s="1"/>
      <c r="LM261" s="1"/>
      <c r="LN261" s="1"/>
      <c r="LO261" s="1"/>
      <c r="LP261" s="1"/>
      <c r="LQ261" s="1"/>
      <c r="LR261" s="1"/>
      <c r="LS261" s="1"/>
    </row>
    <row r="262" spans="1:331" s="52" customFormat="1" x14ac:dyDescent="0.25">
      <c r="A262" s="52" t="s">
        <v>968</v>
      </c>
      <c r="B262" s="56" t="s">
        <v>969</v>
      </c>
      <c r="C262" s="94" t="s">
        <v>1650</v>
      </c>
      <c r="D262" s="52">
        <v>0</v>
      </c>
      <c r="H262" s="52" t="s">
        <v>970</v>
      </c>
      <c r="I262" s="52" t="s">
        <v>970</v>
      </c>
      <c r="J262" s="52" t="s">
        <v>297</v>
      </c>
      <c r="K262" s="52" t="s">
        <v>1667</v>
      </c>
      <c r="L262" s="52">
        <v>3</v>
      </c>
      <c r="M262" s="52" t="s">
        <v>296</v>
      </c>
      <c r="N262" s="52" t="s">
        <v>296</v>
      </c>
      <c r="O262" s="52">
        <v>1</v>
      </c>
      <c r="P262" s="52" t="s">
        <v>971</v>
      </c>
      <c r="Q262" s="96" t="s">
        <v>1593</v>
      </c>
      <c r="R262" s="96"/>
      <c r="S262" s="52">
        <v>11</v>
      </c>
      <c r="W262" s="96">
        <v>11</v>
      </c>
      <c r="X262" s="96"/>
      <c r="Y262" s="96"/>
      <c r="Z262" s="52">
        <v>10</v>
      </c>
      <c r="AA262" s="94" t="b">
        <v>1</v>
      </c>
      <c r="AB262" s="1"/>
      <c r="AC262" s="57" t="s">
        <v>1236</v>
      </c>
      <c r="AD262" s="1"/>
      <c r="AE262" s="57"/>
      <c r="AF262" s="1"/>
      <c r="AG262" s="1"/>
      <c r="AH262" s="1"/>
      <c r="AI262" s="1"/>
      <c r="AJ262" s="1"/>
      <c r="AK262" s="1"/>
      <c r="AL262" s="1"/>
      <c r="AM262" s="1"/>
      <c r="AN262" s="1"/>
      <c r="AO262" s="1"/>
      <c r="AP262" s="1"/>
      <c r="AQ262" s="1"/>
      <c r="AR262" s="1"/>
      <c r="AS262" s="1"/>
      <c r="AT262" s="1"/>
      <c r="AU262" s="1"/>
      <c r="AV262" s="1"/>
      <c r="AW262" s="1"/>
      <c r="AX262" s="1"/>
      <c r="AY262" s="1"/>
      <c r="AZ262" s="1"/>
      <c r="BA262" s="1"/>
      <c r="BB262" s="1"/>
      <c r="BC262" s="1"/>
      <c r="BD262" s="1"/>
      <c r="BE262" s="1"/>
      <c r="BF262" s="1"/>
      <c r="BG262" s="1"/>
      <c r="BH262" s="1"/>
      <c r="BI262" s="1"/>
      <c r="BJ262" s="1"/>
      <c r="BK262" s="1"/>
      <c r="BL262" s="1"/>
      <c r="BM262" s="1"/>
      <c r="BN262" s="1"/>
      <c r="BO262" s="1"/>
      <c r="BP262" s="1"/>
      <c r="BQ262" s="1"/>
      <c r="BR262" s="1"/>
      <c r="BS262" s="1"/>
      <c r="BT262" s="1"/>
      <c r="BU262" s="1"/>
      <c r="BV262" s="1"/>
      <c r="BW262" s="1"/>
      <c r="BX262" s="1"/>
      <c r="BY262" s="1"/>
      <c r="BZ262" s="1"/>
      <c r="CA262" s="1"/>
      <c r="CB262" s="1"/>
      <c r="CC262" s="1"/>
      <c r="CD262" s="1"/>
      <c r="CE262" s="1"/>
      <c r="CF262" s="1"/>
      <c r="CG262" s="1"/>
      <c r="CH262" s="1"/>
      <c r="CI262" s="1"/>
      <c r="CJ262" s="1"/>
      <c r="CK262" s="1"/>
      <c r="CL262" s="1"/>
      <c r="CM262" s="1"/>
      <c r="CN262" s="1"/>
      <c r="CO262" s="1"/>
      <c r="CP262" s="1"/>
      <c r="CQ262" s="1"/>
      <c r="CR262" s="1"/>
      <c r="CS262" s="1"/>
      <c r="CT262" s="1"/>
      <c r="CU262" s="1"/>
      <c r="CV262" s="1"/>
      <c r="CW262" s="1"/>
      <c r="CX262" s="1"/>
      <c r="CY262" s="1"/>
      <c r="CZ262" s="1"/>
      <c r="DA262" s="1"/>
      <c r="DB262" s="1"/>
      <c r="DC262" s="1"/>
      <c r="DD262" s="1"/>
      <c r="DE262" s="1"/>
      <c r="DF262" s="1"/>
      <c r="DG262" s="1"/>
      <c r="DH262" s="1"/>
      <c r="DI262" s="1"/>
      <c r="DJ262" s="1"/>
      <c r="DK262" s="1"/>
      <c r="DL262" s="1"/>
      <c r="DM262" s="1"/>
      <c r="DN262" s="1"/>
      <c r="DO262" s="1"/>
      <c r="DP262" s="1"/>
      <c r="DQ262" s="1"/>
      <c r="DR262" s="1"/>
      <c r="DS262" s="1"/>
      <c r="DT262" s="1"/>
      <c r="DU262" s="1"/>
      <c r="DV262" s="1"/>
      <c r="DW262" s="1"/>
      <c r="DX262" s="1"/>
      <c r="DY262" s="1"/>
      <c r="DZ262" s="1"/>
      <c r="EA262" s="1"/>
      <c r="EB262" s="1"/>
      <c r="EC262" s="1"/>
      <c r="ED262" s="1"/>
      <c r="EE262" s="1"/>
      <c r="EF262" s="1"/>
      <c r="EG262" s="1"/>
      <c r="EH262" s="1"/>
      <c r="EI262" s="1"/>
      <c r="EJ262" s="1"/>
      <c r="EK262" s="1"/>
      <c r="EL262" s="1"/>
      <c r="EM262" s="1"/>
      <c r="EN262" s="1"/>
      <c r="EO262" s="1"/>
      <c r="EP262" s="1"/>
      <c r="EQ262" s="1"/>
      <c r="ER262" s="1"/>
      <c r="ES262" s="1"/>
      <c r="ET262" s="1"/>
      <c r="EU262" s="1"/>
      <c r="EV262" s="1"/>
      <c r="EW262" s="1"/>
      <c r="EX262" s="1"/>
      <c r="EY262" s="1"/>
      <c r="EZ262" s="1"/>
      <c r="FA262" s="1"/>
      <c r="FB262" s="1"/>
      <c r="FC262" s="1"/>
      <c r="FD262" s="1"/>
      <c r="FE262" s="1"/>
      <c r="FF262" s="1"/>
      <c r="FG262" s="1"/>
      <c r="FH262" s="1"/>
      <c r="FI262" s="1"/>
      <c r="FJ262" s="1"/>
      <c r="FK262" s="1"/>
      <c r="FL262" s="1"/>
      <c r="FM262" s="1"/>
      <c r="FN262" s="1"/>
      <c r="FO262" s="1"/>
      <c r="FP262" s="1"/>
      <c r="FQ262" s="1"/>
      <c r="FR262" s="1"/>
      <c r="FS262" s="1"/>
      <c r="FT262" s="1"/>
      <c r="FU262" s="1"/>
      <c r="FV262" s="1"/>
      <c r="FW262" s="1"/>
      <c r="FX262" s="1"/>
      <c r="FY262" s="1"/>
      <c r="FZ262" s="1"/>
      <c r="GA262" s="1"/>
      <c r="GB262" s="1"/>
      <c r="GC262" s="1"/>
      <c r="GD262" s="1"/>
      <c r="GE262" s="1"/>
      <c r="GF262" s="1"/>
      <c r="GG262" s="1"/>
      <c r="GH262" s="1"/>
      <c r="GI262" s="1"/>
      <c r="GJ262" s="1"/>
      <c r="GK262" s="1"/>
      <c r="GL262" s="1"/>
      <c r="GM262" s="1"/>
      <c r="GN262" s="1"/>
      <c r="GO262" s="1"/>
      <c r="GP262" s="1"/>
      <c r="GQ262" s="1"/>
      <c r="GR262" s="1"/>
      <c r="GS262" s="1"/>
      <c r="GT262" s="1"/>
      <c r="GU262" s="1"/>
      <c r="GV262" s="1"/>
      <c r="GW262" s="1"/>
      <c r="GX262" s="1"/>
      <c r="GY262" s="1"/>
      <c r="GZ262" s="1"/>
      <c r="HA262" s="1"/>
      <c r="HB262" s="1"/>
      <c r="HC262" s="1"/>
      <c r="HD262" s="1"/>
      <c r="HE262" s="1"/>
      <c r="HF262" s="1"/>
      <c r="HG262" s="1"/>
      <c r="HH262" s="1"/>
      <c r="HI262" s="1"/>
      <c r="HJ262" s="1"/>
      <c r="HK262" s="1"/>
      <c r="HL262" s="1"/>
      <c r="HM262" s="1"/>
      <c r="HN262" s="1"/>
      <c r="HO262" s="1"/>
      <c r="HP262" s="1"/>
      <c r="HQ262" s="1"/>
      <c r="HR262" s="1"/>
      <c r="HS262" s="1"/>
      <c r="HT262" s="1"/>
      <c r="HU262" s="1"/>
      <c r="HV262" s="1"/>
      <c r="HW262" s="1"/>
      <c r="HX262" s="1"/>
      <c r="HY262" s="1"/>
      <c r="HZ262" s="1"/>
      <c r="IA262" s="1"/>
      <c r="IB262" s="1"/>
      <c r="IC262" s="1"/>
      <c r="ID262" s="1"/>
      <c r="IE262" s="1"/>
      <c r="IF262" s="1"/>
      <c r="IG262" s="1"/>
      <c r="IH262" s="1"/>
      <c r="II262" s="1"/>
      <c r="IJ262" s="1"/>
      <c r="IK262" s="1"/>
      <c r="IL262" s="1"/>
      <c r="IM262" s="1"/>
      <c r="IN262" s="1"/>
      <c r="IO262" s="1"/>
      <c r="IP262" s="1"/>
      <c r="IQ262" s="1"/>
      <c r="IR262" s="1"/>
      <c r="IS262" s="1"/>
      <c r="IT262" s="1"/>
      <c r="IU262" s="1"/>
      <c r="IV262" s="1"/>
      <c r="IW262" s="1"/>
      <c r="IX262" s="1"/>
      <c r="IY262" s="1"/>
      <c r="IZ262" s="1"/>
      <c r="JA262" s="1"/>
      <c r="JB262" s="1"/>
      <c r="JC262" s="1"/>
      <c r="JD262" s="1"/>
      <c r="JE262" s="1"/>
      <c r="JF262" s="1"/>
      <c r="JG262" s="1"/>
      <c r="JH262" s="1"/>
      <c r="JI262" s="1"/>
      <c r="JJ262" s="1"/>
      <c r="JK262" s="1"/>
      <c r="JL262" s="1"/>
      <c r="JM262" s="1"/>
      <c r="JN262" s="1"/>
      <c r="JO262" s="1"/>
      <c r="JP262" s="1"/>
      <c r="JQ262" s="1"/>
      <c r="JR262" s="1"/>
      <c r="JS262" s="1"/>
      <c r="JT262" s="1"/>
      <c r="JU262" s="1"/>
      <c r="JV262" s="1"/>
      <c r="JW262" s="1"/>
      <c r="JX262" s="1"/>
      <c r="JY262" s="1"/>
      <c r="JZ262" s="1"/>
      <c r="KA262" s="1"/>
      <c r="KB262" s="1"/>
      <c r="KC262" s="1"/>
      <c r="KD262" s="1"/>
      <c r="KE262" s="1"/>
      <c r="KF262" s="1"/>
      <c r="KG262" s="1"/>
      <c r="KH262" s="1"/>
      <c r="KI262" s="1"/>
      <c r="KJ262" s="1"/>
      <c r="KK262" s="1"/>
      <c r="KL262" s="1"/>
      <c r="KM262" s="1"/>
      <c r="KN262" s="1"/>
      <c r="KO262" s="1"/>
      <c r="KP262" s="1"/>
      <c r="KQ262" s="1"/>
      <c r="KR262" s="1"/>
      <c r="KS262" s="1"/>
      <c r="KT262" s="1"/>
      <c r="KU262" s="1"/>
      <c r="KV262" s="1"/>
      <c r="KW262" s="1"/>
      <c r="KX262" s="1"/>
      <c r="KY262" s="1"/>
      <c r="KZ262" s="1"/>
      <c r="LA262" s="1"/>
      <c r="LB262" s="1"/>
      <c r="LC262" s="1"/>
      <c r="LD262" s="1"/>
      <c r="LE262" s="1"/>
      <c r="LF262" s="1"/>
      <c r="LG262" s="1"/>
      <c r="LH262" s="1"/>
      <c r="LI262" s="1"/>
      <c r="LJ262" s="1"/>
      <c r="LK262" s="1"/>
      <c r="LL262" s="1"/>
      <c r="LM262" s="1"/>
      <c r="LN262" s="1"/>
      <c r="LO262" s="1"/>
      <c r="LP262" s="1"/>
      <c r="LQ262" s="1"/>
      <c r="LR262" s="1"/>
      <c r="LS262" s="1"/>
    </row>
    <row r="263" spans="1:331" s="40" customFormat="1" x14ac:dyDescent="0.25">
      <c r="A263" s="40" t="s">
        <v>972</v>
      </c>
      <c r="B263" s="44" t="s">
        <v>973</v>
      </c>
      <c r="C263" s="94" t="s">
        <v>1650</v>
      </c>
      <c r="D263" s="40">
        <v>0</v>
      </c>
      <c r="H263" s="40" t="s">
        <v>302</v>
      </c>
      <c r="I263" s="40" t="s">
        <v>302</v>
      </c>
      <c r="J263" s="40" t="s">
        <v>302</v>
      </c>
      <c r="K263" s="40" t="s">
        <v>302</v>
      </c>
      <c r="L263" s="40">
        <v>0</v>
      </c>
      <c r="O263" s="40">
        <v>1</v>
      </c>
      <c r="P263" s="40" t="s">
        <v>974</v>
      </c>
      <c r="Q263" s="96"/>
      <c r="R263" s="96" t="s">
        <v>975</v>
      </c>
      <c r="S263" s="40">
        <v>0</v>
      </c>
      <c r="T263" s="40">
        <v>7</v>
      </c>
      <c r="V263" s="40">
        <v>6</v>
      </c>
      <c r="W263" s="96">
        <v>7</v>
      </c>
      <c r="X263" s="96"/>
      <c r="Y263" s="96"/>
      <c r="Z263" s="40">
        <v>8</v>
      </c>
      <c r="AA263" s="94" t="b">
        <v>1</v>
      </c>
      <c r="AB263" s="1"/>
      <c r="AC263" s="57" t="s">
        <v>1435</v>
      </c>
      <c r="AD263" s="1"/>
      <c r="AE263" s="57"/>
      <c r="AF263" s="1"/>
      <c r="AG263" s="1"/>
      <c r="AH263" s="1"/>
      <c r="AI263" s="1"/>
      <c r="AJ263" s="1"/>
      <c r="AK263" s="1"/>
      <c r="AL263" s="1"/>
      <c r="AM263" s="1"/>
      <c r="AN263" s="1"/>
      <c r="AO263" s="1"/>
      <c r="AP263" s="1"/>
      <c r="AQ263" s="1"/>
      <c r="AR263" s="1"/>
      <c r="AS263" s="1"/>
      <c r="AT263" s="1"/>
      <c r="AU263" s="1"/>
      <c r="AV263" s="1"/>
      <c r="AW263" s="1"/>
      <c r="AX263" s="1"/>
      <c r="AY263" s="1"/>
      <c r="AZ263" s="1"/>
      <c r="BA263" s="1"/>
      <c r="BB263" s="1"/>
      <c r="BC263" s="1"/>
      <c r="BD263" s="1"/>
      <c r="BE263" s="1"/>
      <c r="BF263" s="1"/>
      <c r="BG263" s="1"/>
      <c r="BH263" s="1"/>
      <c r="BI263" s="1"/>
      <c r="BJ263" s="1"/>
      <c r="BK263" s="1"/>
      <c r="BL263" s="1"/>
      <c r="BM263" s="1"/>
      <c r="BN263" s="1"/>
      <c r="BO263" s="1"/>
      <c r="BP263" s="1"/>
      <c r="BQ263" s="1"/>
      <c r="BR263" s="1"/>
      <c r="BS263" s="1"/>
      <c r="BT263" s="1"/>
      <c r="BU263" s="1"/>
      <c r="BV263" s="1"/>
      <c r="BW263" s="1"/>
      <c r="BX263" s="1"/>
      <c r="BY263" s="1"/>
      <c r="BZ263" s="1"/>
      <c r="CA263" s="1"/>
      <c r="CB263" s="1"/>
      <c r="CC263" s="1"/>
      <c r="CD263" s="1"/>
      <c r="CE263" s="1"/>
      <c r="CF263" s="1"/>
      <c r="CG263" s="1"/>
      <c r="CH263" s="1"/>
      <c r="CI263" s="1"/>
      <c r="CJ263" s="1"/>
      <c r="CK263" s="1"/>
      <c r="CL263" s="1"/>
      <c r="CM263" s="1"/>
      <c r="CN263" s="1"/>
      <c r="CO263" s="1"/>
      <c r="CP263" s="1"/>
      <c r="CQ263" s="1"/>
      <c r="CR263" s="1"/>
      <c r="CS263" s="1"/>
      <c r="CT263" s="1"/>
      <c r="CU263" s="1"/>
      <c r="CV263" s="1"/>
      <c r="CW263" s="1"/>
      <c r="CX263" s="1"/>
      <c r="CY263" s="1"/>
      <c r="CZ263" s="1"/>
      <c r="DA263" s="1"/>
      <c r="DB263" s="1"/>
      <c r="DC263" s="1"/>
      <c r="DD263" s="1"/>
      <c r="DE263" s="1"/>
      <c r="DF263" s="1"/>
      <c r="DG263" s="1"/>
      <c r="DH263" s="1"/>
      <c r="DI263" s="1"/>
      <c r="DJ263" s="1"/>
      <c r="DK263" s="1"/>
      <c r="DL263" s="1"/>
      <c r="DM263" s="1"/>
      <c r="DN263" s="1"/>
      <c r="DO263" s="1"/>
      <c r="DP263" s="1"/>
      <c r="DQ263" s="1"/>
      <c r="DR263" s="1"/>
      <c r="DS263" s="1"/>
      <c r="DT263" s="1"/>
      <c r="DU263" s="1"/>
      <c r="DV263" s="1"/>
      <c r="DW263" s="1"/>
      <c r="DX263" s="1"/>
      <c r="DY263" s="1"/>
      <c r="DZ263" s="1"/>
      <c r="EA263" s="1"/>
      <c r="EB263" s="1"/>
      <c r="EC263" s="1"/>
      <c r="ED263" s="1"/>
      <c r="EE263" s="1"/>
      <c r="EF263" s="1"/>
      <c r="EG263" s="1"/>
      <c r="EH263" s="1"/>
      <c r="EI263" s="1"/>
      <c r="EJ263" s="1"/>
      <c r="EK263" s="1"/>
      <c r="EL263" s="1"/>
      <c r="EM263" s="1"/>
      <c r="EN263" s="1"/>
      <c r="EO263" s="1"/>
      <c r="EP263" s="1"/>
      <c r="EQ263" s="1"/>
      <c r="ER263" s="1"/>
      <c r="ES263" s="1"/>
      <c r="ET263" s="1"/>
      <c r="EU263" s="1"/>
      <c r="EV263" s="1"/>
      <c r="EW263" s="1"/>
      <c r="EX263" s="1"/>
      <c r="EY263" s="1"/>
      <c r="EZ263" s="1"/>
      <c r="FA263" s="1"/>
      <c r="FB263" s="1"/>
      <c r="FC263" s="1"/>
      <c r="FD263" s="1"/>
      <c r="FE263" s="1"/>
      <c r="FF263" s="1"/>
      <c r="FG263" s="1"/>
      <c r="FH263" s="1"/>
      <c r="FI263" s="1"/>
      <c r="FJ263" s="1"/>
      <c r="FK263" s="1"/>
      <c r="FL263" s="1"/>
      <c r="FM263" s="1"/>
      <c r="FN263" s="1"/>
      <c r="FO263" s="1"/>
      <c r="FP263" s="1"/>
      <c r="FQ263" s="1"/>
      <c r="FR263" s="1"/>
      <c r="FS263" s="1"/>
      <c r="FT263" s="1"/>
      <c r="FU263" s="1"/>
      <c r="FV263" s="1"/>
      <c r="FW263" s="1"/>
      <c r="FX263" s="1"/>
      <c r="FY263" s="1"/>
      <c r="FZ263" s="1"/>
      <c r="GA263" s="1"/>
      <c r="GB263" s="1"/>
      <c r="GC263" s="1"/>
      <c r="GD263" s="1"/>
      <c r="GE263" s="1"/>
      <c r="GF263" s="1"/>
      <c r="GG263" s="1"/>
      <c r="GH263" s="1"/>
      <c r="GI263" s="1"/>
      <c r="GJ263" s="1"/>
      <c r="GK263" s="1"/>
      <c r="GL263" s="1"/>
      <c r="GM263" s="1"/>
      <c r="GN263" s="1"/>
      <c r="GO263" s="1"/>
      <c r="GP263" s="1"/>
      <c r="GQ263" s="1"/>
      <c r="GR263" s="1"/>
      <c r="GS263" s="1"/>
      <c r="GT263" s="1"/>
      <c r="GU263" s="1"/>
      <c r="GV263" s="1"/>
      <c r="GW263" s="1"/>
      <c r="GX263" s="1"/>
      <c r="GY263" s="1"/>
      <c r="GZ263" s="1"/>
      <c r="HA263" s="1"/>
      <c r="HB263" s="1"/>
      <c r="HC263" s="1"/>
      <c r="HD263" s="1"/>
      <c r="HE263" s="1"/>
      <c r="HF263" s="1"/>
      <c r="HG263" s="1"/>
      <c r="HH263" s="1"/>
      <c r="HI263" s="1"/>
      <c r="HJ263" s="1"/>
      <c r="HK263" s="1"/>
      <c r="HL263" s="1"/>
      <c r="HM263" s="1"/>
      <c r="HN263" s="1"/>
      <c r="HO263" s="1"/>
      <c r="HP263" s="1"/>
      <c r="HQ263" s="1"/>
      <c r="HR263" s="1"/>
      <c r="HS263" s="1"/>
      <c r="HT263" s="1"/>
      <c r="HU263" s="1"/>
      <c r="HV263" s="1"/>
      <c r="HW263" s="1"/>
      <c r="HX263" s="1"/>
      <c r="HY263" s="1"/>
      <c r="HZ263" s="1"/>
      <c r="IA263" s="1"/>
      <c r="IB263" s="1"/>
      <c r="IC263" s="1"/>
      <c r="ID263" s="1"/>
      <c r="IE263" s="1"/>
      <c r="IF263" s="1"/>
      <c r="IG263" s="1"/>
      <c r="IH263" s="1"/>
      <c r="II263" s="1"/>
      <c r="IJ263" s="1"/>
      <c r="IK263" s="1"/>
      <c r="IL263" s="1"/>
      <c r="IM263" s="1"/>
      <c r="IN263" s="1"/>
      <c r="IO263" s="1"/>
      <c r="IP263" s="1"/>
      <c r="IQ263" s="1"/>
      <c r="IR263" s="1"/>
      <c r="IS263" s="1"/>
      <c r="IT263" s="1"/>
      <c r="IU263" s="1"/>
      <c r="IV263" s="1"/>
      <c r="IW263" s="1"/>
      <c r="IX263" s="1"/>
      <c r="IY263" s="1"/>
      <c r="IZ263" s="1"/>
      <c r="JA263" s="1"/>
      <c r="JB263" s="1"/>
      <c r="JC263" s="1"/>
      <c r="JD263" s="1"/>
      <c r="JE263" s="1"/>
      <c r="JF263" s="1"/>
      <c r="JG263" s="1"/>
      <c r="JH263" s="1"/>
      <c r="JI263" s="1"/>
      <c r="JJ263" s="1"/>
      <c r="JK263" s="1"/>
      <c r="JL263" s="1"/>
      <c r="JM263" s="1"/>
      <c r="JN263" s="1"/>
      <c r="JO263" s="1"/>
      <c r="JP263" s="1"/>
      <c r="JQ263" s="1"/>
      <c r="JR263" s="1"/>
      <c r="JS263" s="1"/>
      <c r="JT263" s="1"/>
      <c r="JU263" s="1"/>
      <c r="JV263" s="1"/>
      <c r="JW263" s="1"/>
      <c r="JX263" s="1"/>
      <c r="JY263" s="1"/>
      <c r="JZ263" s="1"/>
      <c r="KA263" s="1"/>
      <c r="KB263" s="1"/>
      <c r="KC263" s="1"/>
      <c r="KD263" s="1"/>
      <c r="KE263" s="1"/>
      <c r="KF263" s="1"/>
      <c r="KG263" s="1"/>
      <c r="KH263" s="1"/>
      <c r="KI263" s="1"/>
      <c r="KJ263" s="1"/>
      <c r="KK263" s="1"/>
      <c r="KL263" s="1"/>
      <c r="KM263" s="1"/>
      <c r="KN263" s="1"/>
      <c r="KO263" s="1"/>
      <c r="KP263" s="1"/>
      <c r="KQ263" s="1"/>
      <c r="KR263" s="1"/>
      <c r="KS263" s="1"/>
      <c r="KT263" s="1"/>
      <c r="KU263" s="1"/>
      <c r="KV263" s="1"/>
      <c r="KW263" s="1"/>
      <c r="KX263" s="1"/>
      <c r="KY263" s="1"/>
      <c r="KZ263" s="1"/>
      <c r="LA263" s="1"/>
      <c r="LB263" s="1"/>
      <c r="LC263" s="1"/>
      <c r="LD263" s="1"/>
      <c r="LE263" s="1"/>
      <c r="LF263" s="1"/>
      <c r="LG263" s="1"/>
      <c r="LH263" s="1"/>
      <c r="LI263" s="1"/>
      <c r="LJ263" s="1"/>
      <c r="LK263" s="1"/>
      <c r="LL263" s="1"/>
      <c r="LM263" s="1"/>
      <c r="LN263" s="1"/>
      <c r="LO263" s="1"/>
      <c r="LP263" s="1"/>
      <c r="LQ263" s="1"/>
      <c r="LR263" s="1"/>
      <c r="LS263" s="1"/>
    </row>
    <row r="264" spans="1:331" s="52" customFormat="1" x14ac:dyDescent="0.25">
      <c r="A264" s="52" t="s">
        <v>976</v>
      </c>
      <c r="B264" s="56" t="s">
        <v>977</v>
      </c>
      <c r="C264" s="94" t="s">
        <v>1650</v>
      </c>
      <c r="D264" s="52">
        <v>1</v>
      </c>
      <c r="E264" s="52" t="s">
        <v>349</v>
      </c>
      <c r="H264" s="52" t="s">
        <v>349</v>
      </c>
      <c r="I264" s="52" t="s">
        <v>978</v>
      </c>
      <c r="J264" s="52" t="s">
        <v>979</v>
      </c>
      <c r="K264" s="52" t="s">
        <v>349</v>
      </c>
      <c r="L264" s="52">
        <v>2</v>
      </c>
      <c r="M264" s="52" t="s">
        <v>980</v>
      </c>
      <c r="N264" s="52" t="s">
        <v>980</v>
      </c>
      <c r="O264" s="52">
        <v>1</v>
      </c>
      <c r="P264" s="52" t="s">
        <v>351</v>
      </c>
      <c r="Q264" s="96" t="s">
        <v>537</v>
      </c>
      <c r="R264" s="96"/>
      <c r="T264" s="52">
        <v>26</v>
      </c>
      <c r="W264" s="96">
        <v>26</v>
      </c>
      <c r="X264" s="96"/>
      <c r="Y264" s="96"/>
      <c r="Z264" s="52">
        <v>10</v>
      </c>
      <c r="AA264" s="94" t="b">
        <v>1</v>
      </c>
      <c r="AB264" s="1"/>
      <c r="AC264" s="57" t="s">
        <v>1236</v>
      </c>
      <c r="AD264" s="1"/>
      <c r="AE264" s="57"/>
      <c r="AF264" s="1"/>
      <c r="AG264" s="1"/>
      <c r="AH264" s="1"/>
      <c r="AI264" s="1"/>
      <c r="AJ264" s="1"/>
      <c r="AK264" s="1"/>
      <c r="AL264" s="1"/>
      <c r="AM264" s="1"/>
      <c r="AN264" s="1"/>
      <c r="AO264" s="1"/>
      <c r="AP264" s="1"/>
      <c r="AQ264" s="1"/>
      <c r="AR264" s="1"/>
      <c r="AS264" s="1"/>
      <c r="AT264" s="1"/>
      <c r="AU264" s="1"/>
      <c r="AV264" s="1"/>
      <c r="AW264" s="1"/>
      <c r="AX264" s="1"/>
      <c r="AY264" s="1"/>
      <c r="AZ264" s="1"/>
      <c r="BA264" s="1"/>
      <c r="BB264" s="1"/>
      <c r="BC264" s="1"/>
      <c r="BD264" s="1"/>
      <c r="BE264" s="1"/>
      <c r="BF264" s="1"/>
      <c r="BG264" s="1"/>
      <c r="BH264" s="1"/>
      <c r="BI264" s="1"/>
      <c r="BJ264" s="1"/>
      <c r="BK264" s="1"/>
      <c r="BL264" s="1"/>
      <c r="BM264" s="1"/>
      <c r="BN264" s="1"/>
      <c r="BO264" s="1"/>
      <c r="BP264" s="1"/>
      <c r="BQ264" s="1"/>
      <c r="BR264" s="1"/>
      <c r="BS264" s="1"/>
      <c r="BT264" s="1"/>
      <c r="BU264" s="1"/>
      <c r="BV264" s="1"/>
      <c r="BW264" s="1"/>
      <c r="BX264" s="1"/>
      <c r="BY264" s="1"/>
      <c r="BZ264" s="1"/>
      <c r="CA264" s="1"/>
      <c r="CB264" s="1"/>
      <c r="CC264" s="1"/>
      <c r="CD264" s="1"/>
      <c r="CE264" s="1"/>
      <c r="CF264" s="1"/>
      <c r="CG264" s="1"/>
      <c r="CH264" s="1"/>
      <c r="CI264" s="1"/>
      <c r="CJ264" s="1"/>
      <c r="CK264" s="1"/>
      <c r="CL264" s="1"/>
      <c r="CM264" s="1"/>
      <c r="CN264" s="1"/>
      <c r="CO264" s="1"/>
      <c r="CP264" s="1"/>
      <c r="CQ264" s="1"/>
      <c r="CR264" s="1"/>
      <c r="CS264" s="1"/>
      <c r="CT264" s="1"/>
      <c r="CU264" s="1"/>
      <c r="CV264" s="1"/>
      <c r="CW264" s="1"/>
      <c r="CX264" s="1"/>
      <c r="CY264" s="1"/>
      <c r="CZ264" s="1"/>
      <c r="DA264" s="1"/>
      <c r="DB264" s="1"/>
      <c r="DC264" s="1"/>
      <c r="DD264" s="1"/>
      <c r="DE264" s="1"/>
      <c r="DF264" s="1"/>
      <c r="DG264" s="1"/>
      <c r="DH264" s="1"/>
      <c r="DI264" s="1"/>
      <c r="DJ264" s="1"/>
      <c r="DK264" s="1"/>
      <c r="DL264" s="1"/>
      <c r="DM264" s="1"/>
      <c r="DN264" s="1"/>
      <c r="DO264" s="1"/>
      <c r="DP264" s="1"/>
      <c r="DQ264" s="1"/>
      <c r="DR264" s="1"/>
      <c r="DS264" s="1"/>
      <c r="DT264" s="1"/>
      <c r="DU264" s="1"/>
      <c r="DV264" s="1"/>
      <c r="DW264" s="1"/>
      <c r="DX264" s="1"/>
      <c r="DY264" s="1"/>
      <c r="DZ264" s="1"/>
      <c r="EA264" s="1"/>
      <c r="EB264" s="1"/>
      <c r="EC264" s="1"/>
      <c r="ED264" s="1"/>
      <c r="EE264" s="1"/>
      <c r="EF264" s="1"/>
      <c r="EG264" s="1"/>
      <c r="EH264" s="1"/>
      <c r="EI264" s="1"/>
      <c r="EJ264" s="1"/>
      <c r="EK264" s="1"/>
      <c r="EL264" s="1"/>
      <c r="EM264" s="1"/>
      <c r="EN264" s="1"/>
      <c r="EO264" s="1"/>
      <c r="EP264" s="1"/>
      <c r="EQ264" s="1"/>
      <c r="ER264" s="1"/>
      <c r="ES264" s="1"/>
      <c r="ET264" s="1"/>
      <c r="EU264" s="1"/>
      <c r="EV264" s="1"/>
      <c r="EW264" s="1"/>
      <c r="EX264" s="1"/>
      <c r="EY264" s="1"/>
      <c r="EZ264" s="1"/>
      <c r="FA264" s="1"/>
      <c r="FB264" s="1"/>
      <c r="FC264" s="1"/>
      <c r="FD264" s="1"/>
      <c r="FE264" s="1"/>
      <c r="FF264" s="1"/>
      <c r="FG264" s="1"/>
      <c r="FH264" s="1"/>
      <c r="FI264" s="1"/>
      <c r="FJ264" s="1"/>
      <c r="FK264" s="1"/>
      <c r="FL264" s="1"/>
      <c r="FM264" s="1"/>
      <c r="FN264" s="1"/>
      <c r="FO264" s="1"/>
      <c r="FP264" s="1"/>
      <c r="FQ264" s="1"/>
      <c r="FR264" s="1"/>
      <c r="FS264" s="1"/>
      <c r="FT264" s="1"/>
      <c r="FU264" s="1"/>
      <c r="FV264" s="1"/>
      <c r="FW264" s="1"/>
      <c r="FX264" s="1"/>
      <c r="FY264" s="1"/>
      <c r="FZ264" s="1"/>
      <c r="GA264" s="1"/>
      <c r="GB264" s="1"/>
      <c r="GC264" s="1"/>
      <c r="GD264" s="1"/>
      <c r="GE264" s="1"/>
      <c r="GF264" s="1"/>
      <c r="GG264" s="1"/>
      <c r="GH264" s="1"/>
      <c r="GI264" s="1"/>
      <c r="GJ264" s="1"/>
      <c r="GK264" s="1"/>
      <c r="GL264" s="1"/>
      <c r="GM264" s="1"/>
      <c r="GN264" s="1"/>
      <c r="GO264" s="1"/>
      <c r="GP264" s="1"/>
      <c r="GQ264" s="1"/>
      <c r="GR264" s="1"/>
      <c r="GS264" s="1"/>
      <c r="GT264" s="1"/>
      <c r="GU264" s="1"/>
      <c r="GV264" s="1"/>
      <c r="GW264" s="1"/>
      <c r="GX264" s="1"/>
      <c r="GY264" s="1"/>
      <c r="GZ264" s="1"/>
      <c r="HA264" s="1"/>
      <c r="HB264" s="1"/>
      <c r="HC264" s="1"/>
      <c r="HD264" s="1"/>
      <c r="HE264" s="1"/>
      <c r="HF264" s="1"/>
      <c r="HG264" s="1"/>
      <c r="HH264" s="1"/>
      <c r="HI264" s="1"/>
      <c r="HJ264" s="1"/>
      <c r="HK264" s="1"/>
      <c r="HL264" s="1"/>
      <c r="HM264" s="1"/>
      <c r="HN264" s="1"/>
      <c r="HO264" s="1"/>
      <c r="HP264" s="1"/>
      <c r="HQ264" s="1"/>
      <c r="HR264" s="1"/>
      <c r="HS264" s="1"/>
      <c r="HT264" s="1"/>
      <c r="HU264" s="1"/>
      <c r="HV264" s="1"/>
      <c r="HW264" s="1"/>
      <c r="HX264" s="1"/>
      <c r="HY264" s="1"/>
      <c r="HZ264" s="1"/>
      <c r="IA264" s="1"/>
      <c r="IB264" s="1"/>
      <c r="IC264" s="1"/>
      <c r="ID264" s="1"/>
      <c r="IE264" s="1"/>
      <c r="IF264" s="1"/>
      <c r="IG264" s="1"/>
      <c r="IH264" s="1"/>
      <c r="II264" s="1"/>
      <c r="IJ264" s="1"/>
      <c r="IK264" s="1"/>
      <c r="IL264" s="1"/>
      <c r="IM264" s="1"/>
      <c r="IN264" s="1"/>
      <c r="IO264" s="1"/>
      <c r="IP264" s="1"/>
      <c r="IQ264" s="1"/>
      <c r="IR264" s="1"/>
      <c r="IS264" s="1"/>
      <c r="IT264" s="1"/>
      <c r="IU264" s="1"/>
      <c r="IV264" s="1"/>
      <c r="IW264" s="1"/>
      <c r="IX264" s="1"/>
      <c r="IY264" s="1"/>
      <c r="IZ264" s="1"/>
      <c r="JA264" s="1"/>
      <c r="JB264" s="1"/>
      <c r="JC264" s="1"/>
      <c r="JD264" s="1"/>
      <c r="JE264" s="1"/>
      <c r="JF264" s="1"/>
      <c r="JG264" s="1"/>
      <c r="JH264" s="1"/>
      <c r="JI264" s="1"/>
      <c r="JJ264" s="1"/>
      <c r="JK264" s="1"/>
      <c r="JL264" s="1"/>
      <c r="JM264" s="1"/>
      <c r="JN264" s="1"/>
      <c r="JO264" s="1"/>
      <c r="JP264" s="1"/>
      <c r="JQ264" s="1"/>
      <c r="JR264" s="1"/>
      <c r="JS264" s="1"/>
      <c r="JT264" s="1"/>
      <c r="JU264" s="1"/>
      <c r="JV264" s="1"/>
      <c r="JW264" s="1"/>
      <c r="JX264" s="1"/>
      <c r="JY264" s="1"/>
      <c r="JZ264" s="1"/>
      <c r="KA264" s="1"/>
      <c r="KB264" s="1"/>
      <c r="KC264" s="1"/>
      <c r="KD264" s="1"/>
      <c r="KE264" s="1"/>
      <c r="KF264" s="1"/>
      <c r="KG264" s="1"/>
      <c r="KH264" s="1"/>
      <c r="KI264" s="1"/>
      <c r="KJ264" s="1"/>
      <c r="KK264" s="1"/>
      <c r="KL264" s="1"/>
      <c r="KM264" s="1"/>
      <c r="KN264" s="1"/>
      <c r="KO264" s="1"/>
      <c r="KP264" s="1"/>
      <c r="KQ264" s="1"/>
      <c r="KR264" s="1"/>
      <c r="KS264" s="1"/>
      <c r="KT264" s="1"/>
      <c r="KU264" s="1"/>
      <c r="KV264" s="1"/>
      <c r="KW264" s="1"/>
      <c r="KX264" s="1"/>
      <c r="KY264" s="1"/>
      <c r="KZ264" s="1"/>
      <c r="LA264" s="1"/>
      <c r="LB264" s="1"/>
      <c r="LC264" s="1"/>
      <c r="LD264" s="1"/>
      <c r="LE264" s="1"/>
      <c r="LF264" s="1"/>
      <c r="LG264" s="1"/>
      <c r="LH264" s="1"/>
      <c r="LI264" s="1"/>
      <c r="LJ264" s="1"/>
      <c r="LK264" s="1"/>
      <c r="LL264" s="1"/>
      <c r="LM264" s="1"/>
      <c r="LN264" s="1"/>
      <c r="LO264" s="1"/>
      <c r="LP264" s="1"/>
      <c r="LQ264" s="1"/>
      <c r="LR264" s="1"/>
      <c r="LS264" s="1"/>
    </row>
    <row r="265" spans="1:331" s="25" customFormat="1" x14ac:dyDescent="0.25">
      <c r="A265" s="25" t="s">
        <v>981</v>
      </c>
      <c r="B265" s="29" t="s">
        <v>982</v>
      </c>
      <c r="C265" s="94" t="s">
        <v>1650</v>
      </c>
      <c r="D265" s="25">
        <v>0</v>
      </c>
      <c r="H265" s="25" t="s">
        <v>175</v>
      </c>
      <c r="I265" s="25" t="s">
        <v>173</v>
      </c>
      <c r="J265" s="25" t="s">
        <v>175</v>
      </c>
      <c r="K265" s="25" t="s">
        <v>173</v>
      </c>
      <c r="L265" s="25">
        <v>0</v>
      </c>
      <c r="O265" s="25">
        <v>0</v>
      </c>
      <c r="Q265" s="96" t="s">
        <v>1594</v>
      </c>
      <c r="R265" s="96"/>
      <c r="T265" s="25">
        <v>12</v>
      </c>
      <c r="V265" s="25">
        <v>12</v>
      </c>
      <c r="W265" s="96">
        <v>12</v>
      </c>
      <c r="X265" s="96"/>
      <c r="Y265" s="96"/>
      <c r="Z265" s="25">
        <v>5</v>
      </c>
      <c r="AA265" s="94" t="b">
        <v>1</v>
      </c>
      <c r="AB265" s="1"/>
      <c r="AC265" s="57" t="s">
        <v>1343</v>
      </c>
      <c r="AD265" s="1"/>
      <c r="AE265" s="57"/>
      <c r="AF265" s="1"/>
      <c r="AG265" s="1"/>
      <c r="AH265" s="1"/>
      <c r="AI265" s="1"/>
      <c r="AJ265" s="1"/>
      <c r="AK265" s="1"/>
      <c r="AL265" s="1"/>
      <c r="AM265" s="1"/>
      <c r="AN265" s="1"/>
      <c r="AO265" s="1"/>
      <c r="AP265" s="1"/>
      <c r="AQ265" s="1"/>
      <c r="AR265" s="1"/>
      <c r="AS265" s="1"/>
      <c r="AT265" s="1"/>
      <c r="AU265" s="1"/>
      <c r="AV265" s="1"/>
      <c r="AW265" s="1"/>
      <c r="AX265" s="1"/>
      <c r="AY265" s="1"/>
      <c r="AZ265" s="1"/>
      <c r="BA265" s="1"/>
      <c r="BB265" s="1"/>
      <c r="BC265" s="1"/>
      <c r="BD265" s="1"/>
      <c r="BE265" s="1"/>
      <c r="BF265" s="1"/>
      <c r="BG265" s="1"/>
      <c r="BH265" s="1"/>
      <c r="BI265" s="1"/>
      <c r="BJ265" s="1"/>
      <c r="BK265" s="1"/>
      <c r="BL265" s="1"/>
      <c r="BM265" s="1"/>
      <c r="BN265" s="1"/>
      <c r="BO265" s="1"/>
      <c r="BP265" s="1"/>
      <c r="BQ265" s="1"/>
      <c r="BR265" s="1"/>
      <c r="BS265" s="1"/>
      <c r="BT265" s="1"/>
      <c r="BU265" s="1"/>
      <c r="BV265" s="1"/>
      <c r="BW265" s="1"/>
      <c r="BX265" s="1"/>
      <c r="BY265" s="1"/>
      <c r="BZ265" s="1"/>
      <c r="CA265" s="1"/>
      <c r="CB265" s="1"/>
      <c r="CC265" s="1"/>
      <c r="CD265" s="1"/>
      <c r="CE265" s="1"/>
      <c r="CF265" s="1"/>
      <c r="CG265" s="1"/>
      <c r="CH265" s="1"/>
      <c r="CI265" s="1"/>
      <c r="CJ265" s="1"/>
      <c r="CK265" s="1"/>
      <c r="CL265" s="1"/>
      <c r="CM265" s="1"/>
      <c r="CN265" s="1"/>
      <c r="CO265" s="1"/>
      <c r="CP265" s="1"/>
      <c r="CQ265" s="1"/>
      <c r="CR265" s="1"/>
      <c r="CS265" s="1"/>
      <c r="CT265" s="1"/>
      <c r="CU265" s="1"/>
      <c r="CV265" s="1"/>
      <c r="CW265" s="1"/>
      <c r="CX265" s="1"/>
      <c r="CY265" s="1"/>
      <c r="CZ265" s="1"/>
      <c r="DA265" s="1"/>
      <c r="DB265" s="1"/>
      <c r="DC265" s="1"/>
      <c r="DD265" s="1"/>
      <c r="DE265" s="1"/>
      <c r="DF265" s="1"/>
      <c r="DG265" s="1"/>
      <c r="DH265" s="1"/>
      <c r="DI265" s="1"/>
      <c r="DJ265" s="1"/>
      <c r="DK265" s="1"/>
      <c r="DL265" s="1"/>
      <c r="DM265" s="1"/>
      <c r="DN265" s="1"/>
      <c r="DO265" s="1"/>
      <c r="DP265" s="1"/>
      <c r="DQ265" s="1"/>
      <c r="DR265" s="1"/>
      <c r="DS265" s="1"/>
      <c r="DT265" s="1"/>
      <c r="DU265" s="1"/>
      <c r="DV265" s="1"/>
      <c r="DW265" s="1"/>
      <c r="DX265" s="1"/>
      <c r="DY265" s="1"/>
      <c r="DZ265" s="1"/>
      <c r="EA265" s="1"/>
      <c r="EB265" s="1"/>
      <c r="EC265" s="1"/>
      <c r="ED265" s="1"/>
      <c r="EE265" s="1"/>
      <c r="EF265" s="1"/>
      <c r="EG265" s="1"/>
      <c r="EH265" s="1"/>
      <c r="EI265" s="1"/>
      <c r="EJ265" s="1"/>
      <c r="EK265" s="1"/>
      <c r="EL265" s="1"/>
      <c r="EM265" s="1"/>
      <c r="EN265" s="1"/>
      <c r="EO265" s="1"/>
      <c r="EP265" s="1"/>
      <c r="EQ265" s="1"/>
      <c r="ER265" s="1"/>
      <c r="ES265" s="1"/>
      <c r="ET265" s="1"/>
      <c r="EU265" s="1"/>
      <c r="EV265" s="1"/>
      <c r="EW265" s="1"/>
      <c r="EX265" s="1"/>
      <c r="EY265" s="1"/>
      <c r="EZ265" s="1"/>
      <c r="FA265" s="1"/>
      <c r="FB265" s="1"/>
      <c r="FC265" s="1"/>
      <c r="FD265" s="1"/>
      <c r="FE265" s="1"/>
      <c r="FF265" s="1"/>
      <c r="FG265" s="1"/>
      <c r="FH265" s="1"/>
      <c r="FI265" s="1"/>
      <c r="FJ265" s="1"/>
      <c r="FK265" s="1"/>
      <c r="FL265" s="1"/>
      <c r="FM265" s="1"/>
      <c r="FN265" s="1"/>
      <c r="FO265" s="1"/>
      <c r="FP265" s="1"/>
      <c r="FQ265" s="1"/>
      <c r="FR265" s="1"/>
      <c r="FS265" s="1"/>
      <c r="FT265" s="1"/>
      <c r="FU265" s="1"/>
      <c r="FV265" s="1"/>
      <c r="FW265" s="1"/>
      <c r="FX265" s="1"/>
      <c r="FY265" s="1"/>
      <c r="FZ265" s="1"/>
      <c r="GA265" s="1"/>
      <c r="GB265" s="1"/>
      <c r="GC265" s="1"/>
      <c r="GD265" s="1"/>
      <c r="GE265" s="1"/>
      <c r="GF265" s="1"/>
      <c r="GG265" s="1"/>
      <c r="GH265" s="1"/>
      <c r="GI265" s="1"/>
      <c r="GJ265" s="1"/>
      <c r="GK265" s="1"/>
      <c r="GL265" s="1"/>
      <c r="GM265" s="1"/>
      <c r="GN265" s="1"/>
      <c r="GO265" s="1"/>
      <c r="GP265" s="1"/>
      <c r="GQ265" s="1"/>
      <c r="GR265" s="1"/>
      <c r="GS265" s="1"/>
      <c r="GT265" s="1"/>
      <c r="GU265" s="1"/>
      <c r="GV265" s="1"/>
      <c r="GW265" s="1"/>
      <c r="GX265" s="1"/>
      <c r="GY265" s="1"/>
      <c r="GZ265" s="1"/>
      <c r="HA265" s="1"/>
      <c r="HB265" s="1"/>
      <c r="HC265" s="1"/>
      <c r="HD265" s="1"/>
      <c r="HE265" s="1"/>
      <c r="HF265" s="1"/>
      <c r="HG265" s="1"/>
      <c r="HH265" s="1"/>
      <c r="HI265" s="1"/>
      <c r="HJ265" s="1"/>
      <c r="HK265" s="1"/>
      <c r="HL265" s="1"/>
      <c r="HM265" s="1"/>
      <c r="HN265" s="1"/>
      <c r="HO265" s="1"/>
      <c r="HP265" s="1"/>
      <c r="HQ265" s="1"/>
      <c r="HR265" s="1"/>
      <c r="HS265" s="1"/>
      <c r="HT265" s="1"/>
      <c r="HU265" s="1"/>
      <c r="HV265" s="1"/>
      <c r="HW265" s="1"/>
      <c r="HX265" s="1"/>
      <c r="HY265" s="1"/>
      <c r="HZ265" s="1"/>
      <c r="IA265" s="1"/>
      <c r="IB265" s="1"/>
      <c r="IC265" s="1"/>
      <c r="ID265" s="1"/>
      <c r="IE265" s="1"/>
      <c r="IF265" s="1"/>
      <c r="IG265" s="1"/>
      <c r="IH265" s="1"/>
      <c r="II265" s="1"/>
      <c r="IJ265" s="1"/>
      <c r="IK265" s="1"/>
      <c r="IL265" s="1"/>
      <c r="IM265" s="1"/>
      <c r="IN265" s="1"/>
      <c r="IO265" s="1"/>
      <c r="IP265" s="1"/>
      <c r="IQ265" s="1"/>
      <c r="IR265" s="1"/>
      <c r="IS265" s="1"/>
      <c r="IT265" s="1"/>
      <c r="IU265" s="1"/>
      <c r="IV265" s="1"/>
      <c r="IW265" s="1"/>
      <c r="IX265" s="1"/>
      <c r="IY265" s="1"/>
      <c r="IZ265" s="1"/>
      <c r="JA265" s="1"/>
      <c r="JB265" s="1"/>
      <c r="JC265" s="1"/>
      <c r="JD265" s="1"/>
      <c r="JE265" s="1"/>
      <c r="JF265" s="1"/>
      <c r="JG265" s="1"/>
      <c r="JH265" s="1"/>
      <c r="JI265" s="1"/>
      <c r="JJ265" s="1"/>
      <c r="JK265" s="1"/>
      <c r="JL265" s="1"/>
      <c r="JM265" s="1"/>
      <c r="JN265" s="1"/>
      <c r="JO265" s="1"/>
      <c r="JP265" s="1"/>
      <c r="JQ265" s="1"/>
      <c r="JR265" s="1"/>
      <c r="JS265" s="1"/>
      <c r="JT265" s="1"/>
      <c r="JU265" s="1"/>
      <c r="JV265" s="1"/>
      <c r="JW265" s="1"/>
      <c r="JX265" s="1"/>
      <c r="JY265" s="1"/>
      <c r="JZ265" s="1"/>
      <c r="KA265" s="1"/>
      <c r="KB265" s="1"/>
      <c r="KC265" s="1"/>
      <c r="KD265" s="1"/>
      <c r="KE265" s="1"/>
      <c r="KF265" s="1"/>
      <c r="KG265" s="1"/>
      <c r="KH265" s="1"/>
      <c r="KI265" s="1"/>
      <c r="KJ265" s="1"/>
      <c r="KK265" s="1"/>
      <c r="KL265" s="1"/>
      <c r="KM265" s="1"/>
      <c r="KN265" s="1"/>
      <c r="KO265" s="1"/>
      <c r="KP265" s="1"/>
      <c r="KQ265" s="1"/>
      <c r="KR265" s="1"/>
      <c r="KS265" s="1"/>
      <c r="KT265" s="1"/>
      <c r="KU265" s="1"/>
      <c r="KV265" s="1"/>
      <c r="KW265" s="1"/>
      <c r="KX265" s="1"/>
      <c r="KY265" s="1"/>
      <c r="KZ265" s="1"/>
      <c r="LA265" s="1"/>
      <c r="LB265" s="1"/>
      <c r="LC265" s="1"/>
      <c r="LD265" s="1"/>
      <c r="LE265" s="1"/>
      <c r="LF265" s="1"/>
      <c r="LG265" s="1"/>
      <c r="LH265" s="1"/>
      <c r="LI265" s="1"/>
      <c r="LJ265" s="1"/>
      <c r="LK265" s="1"/>
      <c r="LL265" s="1"/>
      <c r="LM265" s="1"/>
      <c r="LN265" s="1"/>
      <c r="LO265" s="1"/>
      <c r="LP265" s="1"/>
      <c r="LQ265" s="1"/>
      <c r="LR265" s="1"/>
      <c r="LS265" s="1"/>
    </row>
    <row r="266" spans="1:331" s="35" customFormat="1" x14ac:dyDescent="0.25">
      <c r="A266" s="35" t="s">
        <v>983</v>
      </c>
      <c r="B266" s="39" t="s">
        <v>984</v>
      </c>
      <c r="C266" s="94" t="s">
        <v>1650</v>
      </c>
      <c r="D266" s="35">
        <v>1</v>
      </c>
      <c r="E266" s="35" t="s">
        <v>167</v>
      </c>
      <c r="I266" s="35" t="s">
        <v>167</v>
      </c>
      <c r="J266" s="35" t="s">
        <v>985</v>
      </c>
      <c r="K266" s="35" t="s">
        <v>173</v>
      </c>
      <c r="L266" s="35">
        <v>0</v>
      </c>
      <c r="O266" s="35">
        <v>1</v>
      </c>
      <c r="P266" s="35" t="s">
        <v>388</v>
      </c>
      <c r="Q266" s="96" t="s">
        <v>1595</v>
      </c>
      <c r="R266" s="96"/>
      <c r="T266" s="35">
        <v>15</v>
      </c>
      <c r="V266" s="35">
        <v>12</v>
      </c>
      <c r="W266" s="96">
        <v>15</v>
      </c>
      <c r="X266" s="96"/>
      <c r="Y266" s="96"/>
      <c r="Z266" s="35">
        <v>7</v>
      </c>
      <c r="AA266" s="94" t="b">
        <v>1</v>
      </c>
      <c r="AB266" s="1"/>
      <c r="AC266" s="57" t="s">
        <v>1397</v>
      </c>
      <c r="AD266" s="1"/>
      <c r="AE266" s="57"/>
      <c r="AF266" s="1"/>
      <c r="AG266" s="1"/>
      <c r="AH266" s="1"/>
      <c r="AI266" s="1"/>
      <c r="AJ266" s="1"/>
      <c r="AK266" s="1"/>
      <c r="AL266" s="1"/>
      <c r="AM266" s="1"/>
      <c r="AN266" s="1"/>
      <c r="AO266" s="1"/>
      <c r="AP266" s="1"/>
      <c r="AQ266" s="1"/>
      <c r="AR266" s="1"/>
      <c r="AS266" s="1"/>
      <c r="AT266" s="1"/>
      <c r="AU266" s="1"/>
      <c r="AV266" s="1"/>
      <c r="AW266" s="1"/>
      <c r="AX266" s="1"/>
      <c r="AY266" s="1"/>
      <c r="AZ266" s="1"/>
      <c r="BA266" s="1"/>
      <c r="BB266" s="1"/>
      <c r="BC266" s="1"/>
      <c r="BD266" s="1"/>
      <c r="BE266" s="1"/>
      <c r="BF266" s="1"/>
      <c r="BG266" s="1"/>
      <c r="BH266" s="1"/>
      <c r="BI266" s="1"/>
      <c r="BJ266" s="1"/>
      <c r="BK266" s="1"/>
      <c r="BL266" s="1"/>
      <c r="BM266" s="1"/>
      <c r="BN266" s="1"/>
      <c r="BO266" s="1"/>
      <c r="BP266" s="1"/>
      <c r="BQ266" s="1"/>
      <c r="BR266" s="1"/>
      <c r="BS266" s="1"/>
      <c r="BT266" s="1"/>
      <c r="BU266" s="1"/>
      <c r="BV266" s="1"/>
      <c r="BW266" s="1"/>
      <c r="BX266" s="1"/>
      <c r="BY266" s="1"/>
      <c r="BZ266" s="1"/>
      <c r="CA266" s="1"/>
      <c r="CB266" s="1"/>
      <c r="CC266" s="1"/>
      <c r="CD266" s="1"/>
      <c r="CE266" s="1"/>
      <c r="CF266" s="1"/>
      <c r="CG266" s="1"/>
      <c r="CH266" s="1"/>
      <c r="CI266" s="1"/>
      <c r="CJ266" s="1"/>
      <c r="CK266" s="1"/>
      <c r="CL266" s="1"/>
      <c r="CM266" s="1"/>
      <c r="CN266" s="1"/>
      <c r="CO266" s="1"/>
      <c r="CP266" s="1"/>
      <c r="CQ266" s="1"/>
      <c r="CR266" s="1"/>
      <c r="CS266" s="1"/>
      <c r="CT266" s="1"/>
      <c r="CU266" s="1"/>
      <c r="CV266" s="1"/>
      <c r="CW266" s="1"/>
      <c r="CX266" s="1"/>
      <c r="CY266" s="1"/>
      <c r="CZ266" s="1"/>
      <c r="DA266" s="1"/>
      <c r="DB266" s="1"/>
      <c r="DC266" s="1"/>
      <c r="DD266" s="1"/>
      <c r="DE266" s="1"/>
      <c r="DF266" s="1"/>
      <c r="DG266" s="1"/>
      <c r="DH266" s="1"/>
      <c r="DI266" s="1"/>
      <c r="DJ266" s="1"/>
      <c r="DK266" s="1"/>
      <c r="DL266" s="1"/>
      <c r="DM266" s="1"/>
      <c r="DN266" s="1"/>
      <c r="DO266" s="1"/>
      <c r="DP266" s="1"/>
      <c r="DQ266" s="1"/>
      <c r="DR266" s="1"/>
      <c r="DS266" s="1"/>
      <c r="DT266" s="1"/>
      <c r="DU266" s="1"/>
      <c r="DV266" s="1"/>
      <c r="DW266" s="1"/>
      <c r="DX266" s="1"/>
      <c r="DY266" s="1"/>
      <c r="DZ266" s="1"/>
      <c r="EA266" s="1"/>
      <c r="EB266" s="1"/>
      <c r="EC266" s="1"/>
      <c r="ED266" s="1"/>
      <c r="EE266" s="1"/>
      <c r="EF266" s="1"/>
      <c r="EG266" s="1"/>
      <c r="EH266" s="1"/>
      <c r="EI266" s="1"/>
      <c r="EJ266" s="1"/>
      <c r="EK266" s="1"/>
      <c r="EL266" s="1"/>
      <c r="EM266" s="1"/>
      <c r="EN266" s="1"/>
      <c r="EO266" s="1"/>
      <c r="EP266" s="1"/>
      <c r="EQ266" s="1"/>
      <c r="ER266" s="1"/>
      <c r="ES266" s="1"/>
      <c r="ET266" s="1"/>
      <c r="EU266" s="1"/>
      <c r="EV266" s="1"/>
      <c r="EW266" s="1"/>
      <c r="EX266" s="1"/>
      <c r="EY266" s="1"/>
      <c r="EZ266" s="1"/>
      <c r="FA266" s="1"/>
      <c r="FB266" s="1"/>
      <c r="FC266" s="1"/>
      <c r="FD266" s="1"/>
      <c r="FE266" s="1"/>
      <c r="FF266" s="1"/>
      <c r="FG266" s="1"/>
      <c r="FH266" s="1"/>
      <c r="FI266" s="1"/>
      <c r="FJ266" s="1"/>
      <c r="FK266" s="1"/>
      <c r="FL266" s="1"/>
      <c r="FM266" s="1"/>
      <c r="FN266" s="1"/>
      <c r="FO266" s="1"/>
      <c r="FP266" s="1"/>
      <c r="FQ266" s="1"/>
      <c r="FR266" s="1"/>
      <c r="FS266" s="1"/>
      <c r="FT266" s="1"/>
      <c r="FU266" s="1"/>
      <c r="FV266" s="1"/>
      <c r="FW266" s="1"/>
      <c r="FX266" s="1"/>
      <c r="FY266" s="1"/>
      <c r="FZ266" s="1"/>
      <c r="GA266" s="1"/>
      <c r="GB266" s="1"/>
      <c r="GC266" s="1"/>
      <c r="GD266" s="1"/>
      <c r="GE266" s="1"/>
      <c r="GF266" s="1"/>
      <c r="GG266" s="1"/>
      <c r="GH266" s="1"/>
      <c r="GI266" s="1"/>
      <c r="GJ266" s="1"/>
      <c r="GK266" s="1"/>
      <c r="GL266" s="1"/>
      <c r="GM266" s="1"/>
      <c r="GN266" s="1"/>
      <c r="GO266" s="1"/>
      <c r="GP266" s="1"/>
      <c r="GQ266" s="1"/>
      <c r="GR266" s="1"/>
      <c r="GS266" s="1"/>
      <c r="GT266" s="1"/>
      <c r="GU266" s="1"/>
      <c r="GV266" s="1"/>
      <c r="GW266" s="1"/>
      <c r="GX266" s="1"/>
      <c r="GY266" s="1"/>
      <c r="GZ266" s="1"/>
      <c r="HA266" s="1"/>
      <c r="HB266" s="1"/>
      <c r="HC266" s="1"/>
      <c r="HD266" s="1"/>
      <c r="HE266" s="1"/>
      <c r="HF266" s="1"/>
      <c r="HG266" s="1"/>
      <c r="HH266" s="1"/>
      <c r="HI266" s="1"/>
      <c r="HJ266" s="1"/>
      <c r="HK266" s="1"/>
      <c r="HL266" s="1"/>
      <c r="HM266" s="1"/>
      <c r="HN266" s="1"/>
      <c r="HO266" s="1"/>
      <c r="HP266" s="1"/>
      <c r="HQ266" s="1"/>
      <c r="HR266" s="1"/>
      <c r="HS266" s="1"/>
      <c r="HT266" s="1"/>
      <c r="HU266" s="1"/>
      <c r="HV266" s="1"/>
      <c r="HW266" s="1"/>
      <c r="HX266" s="1"/>
      <c r="HY266" s="1"/>
      <c r="HZ266" s="1"/>
      <c r="IA266" s="1"/>
      <c r="IB266" s="1"/>
      <c r="IC266" s="1"/>
      <c r="ID266" s="1"/>
      <c r="IE266" s="1"/>
      <c r="IF266" s="1"/>
      <c r="IG266" s="1"/>
      <c r="IH266" s="1"/>
      <c r="II266" s="1"/>
      <c r="IJ266" s="1"/>
      <c r="IK266" s="1"/>
      <c r="IL266" s="1"/>
      <c r="IM266" s="1"/>
      <c r="IN266" s="1"/>
      <c r="IO266" s="1"/>
      <c r="IP266" s="1"/>
      <c r="IQ266" s="1"/>
      <c r="IR266" s="1"/>
      <c r="IS266" s="1"/>
      <c r="IT266" s="1"/>
      <c r="IU266" s="1"/>
      <c r="IV266" s="1"/>
      <c r="IW266" s="1"/>
      <c r="IX266" s="1"/>
      <c r="IY266" s="1"/>
      <c r="IZ266" s="1"/>
      <c r="JA266" s="1"/>
      <c r="JB266" s="1"/>
      <c r="JC266" s="1"/>
      <c r="JD266" s="1"/>
      <c r="JE266" s="1"/>
      <c r="JF266" s="1"/>
      <c r="JG266" s="1"/>
      <c r="JH266" s="1"/>
      <c r="JI266" s="1"/>
      <c r="JJ266" s="1"/>
      <c r="JK266" s="1"/>
      <c r="JL266" s="1"/>
      <c r="JM266" s="1"/>
      <c r="JN266" s="1"/>
      <c r="JO266" s="1"/>
      <c r="JP266" s="1"/>
      <c r="JQ266" s="1"/>
      <c r="JR266" s="1"/>
      <c r="JS266" s="1"/>
      <c r="JT266" s="1"/>
      <c r="JU266" s="1"/>
      <c r="JV266" s="1"/>
      <c r="JW266" s="1"/>
      <c r="JX266" s="1"/>
      <c r="JY266" s="1"/>
      <c r="JZ266" s="1"/>
      <c r="KA266" s="1"/>
      <c r="KB266" s="1"/>
      <c r="KC266" s="1"/>
      <c r="KD266" s="1"/>
      <c r="KE266" s="1"/>
      <c r="KF266" s="1"/>
      <c r="KG266" s="1"/>
      <c r="KH266" s="1"/>
      <c r="KI266" s="1"/>
      <c r="KJ266" s="1"/>
      <c r="KK266" s="1"/>
      <c r="KL266" s="1"/>
      <c r="KM266" s="1"/>
      <c r="KN266" s="1"/>
      <c r="KO266" s="1"/>
      <c r="KP266" s="1"/>
      <c r="KQ266" s="1"/>
      <c r="KR266" s="1"/>
      <c r="KS266" s="1"/>
      <c r="KT266" s="1"/>
      <c r="KU266" s="1"/>
      <c r="KV266" s="1"/>
      <c r="KW266" s="1"/>
      <c r="KX266" s="1"/>
      <c r="KY266" s="1"/>
      <c r="KZ266" s="1"/>
      <c r="LA266" s="1"/>
      <c r="LB266" s="1"/>
      <c r="LC266" s="1"/>
      <c r="LD266" s="1"/>
      <c r="LE266" s="1"/>
      <c r="LF266" s="1"/>
      <c r="LG266" s="1"/>
      <c r="LH266" s="1"/>
      <c r="LI266" s="1"/>
      <c r="LJ266" s="1"/>
      <c r="LK266" s="1"/>
      <c r="LL266" s="1"/>
      <c r="LM266" s="1"/>
      <c r="LN266" s="1"/>
      <c r="LO266" s="1"/>
      <c r="LP266" s="1"/>
      <c r="LQ266" s="1"/>
      <c r="LR266" s="1"/>
      <c r="LS266" s="1"/>
    </row>
    <row r="267" spans="1:331" s="68" customFormat="1" x14ac:dyDescent="0.25">
      <c r="A267" s="68" t="s">
        <v>986</v>
      </c>
      <c r="B267" s="68" t="s">
        <v>987</v>
      </c>
      <c r="C267" s="96" t="s">
        <v>1650</v>
      </c>
      <c r="D267" s="68">
        <v>0</v>
      </c>
      <c r="H267" s="68" t="s">
        <v>988</v>
      </c>
      <c r="I267" s="68" t="s">
        <v>989</v>
      </c>
      <c r="J267" s="68" t="s">
        <v>988</v>
      </c>
      <c r="K267" s="68" t="s">
        <v>989</v>
      </c>
      <c r="L267" s="68">
        <v>1</v>
      </c>
      <c r="M267" s="68" t="s">
        <v>990</v>
      </c>
      <c r="O267" s="68">
        <v>1</v>
      </c>
      <c r="P267" s="68" t="s">
        <v>991</v>
      </c>
      <c r="Q267" s="96"/>
      <c r="R267" s="96" t="s">
        <v>992</v>
      </c>
      <c r="T267" s="68">
        <v>20</v>
      </c>
      <c r="W267" s="96">
        <v>20</v>
      </c>
      <c r="X267" s="96"/>
      <c r="Y267" s="96"/>
      <c r="Z267" s="68">
        <v>13</v>
      </c>
      <c r="AA267" s="94" t="b">
        <v>1</v>
      </c>
      <c r="AB267" s="17" t="s">
        <v>1890</v>
      </c>
      <c r="AC267" s="57" t="s">
        <v>1236</v>
      </c>
      <c r="AD267" s="1"/>
      <c r="AE267" s="57"/>
      <c r="AF267" s="1"/>
      <c r="AG267" s="1"/>
      <c r="AH267" s="1"/>
      <c r="AI267" s="1"/>
      <c r="AJ267" s="1"/>
      <c r="AK267" s="1"/>
      <c r="AL267" s="1"/>
      <c r="AM267" s="1"/>
      <c r="AN267" s="1"/>
      <c r="AO267" s="1"/>
      <c r="AP267" s="1"/>
      <c r="AQ267" s="1"/>
      <c r="AR267" s="1"/>
      <c r="AS267" s="1"/>
      <c r="AT267" s="1"/>
      <c r="AU267" s="1"/>
      <c r="AV267" s="1"/>
      <c r="AW267" s="1"/>
      <c r="AX267" s="1"/>
      <c r="AY267" s="1"/>
      <c r="AZ267" s="1"/>
      <c r="BA267" s="1"/>
      <c r="BB267" s="1"/>
      <c r="BC267" s="1"/>
      <c r="BD267" s="1"/>
      <c r="BE267" s="1"/>
      <c r="BF267" s="1"/>
      <c r="BG267" s="1"/>
      <c r="BH267" s="1"/>
      <c r="BI267" s="1"/>
      <c r="BJ267" s="1"/>
      <c r="BK267" s="1"/>
      <c r="BL267" s="1"/>
      <c r="BM267" s="1"/>
      <c r="BN267" s="1"/>
      <c r="BO267" s="1"/>
      <c r="BP267" s="1"/>
      <c r="BQ267" s="1"/>
      <c r="BR267" s="1"/>
      <c r="BS267" s="1"/>
      <c r="BT267" s="1"/>
      <c r="BU267" s="1"/>
      <c r="BV267" s="1"/>
    </row>
    <row r="268" spans="1:331" s="3" customFormat="1" x14ac:dyDescent="0.25">
      <c r="A268" s="3" t="s">
        <v>993</v>
      </c>
      <c r="B268" s="5" t="s">
        <v>994</v>
      </c>
      <c r="C268" s="94" t="s">
        <v>1650</v>
      </c>
      <c r="D268" s="3">
        <v>0</v>
      </c>
      <c r="H268" s="3" t="s">
        <v>995</v>
      </c>
      <c r="I268" s="3" t="s">
        <v>995</v>
      </c>
      <c r="J268" s="3" t="s">
        <v>392</v>
      </c>
      <c r="K268" s="3" t="s">
        <v>995</v>
      </c>
      <c r="L268" s="3">
        <v>1</v>
      </c>
      <c r="M268" s="3" t="s">
        <v>996</v>
      </c>
      <c r="O268" s="3">
        <v>1</v>
      </c>
      <c r="Q268" s="96" t="s">
        <v>603</v>
      </c>
      <c r="R268" s="96"/>
      <c r="T268" s="3">
        <v>8</v>
      </c>
      <c r="W268" s="96">
        <v>8</v>
      </c>
      <c r="X268" s="96"/>
      <c r="Y268" s="96"/>
      <c r="Z268" s="3">
        <v>1</v>
      </c>
      <c r="AA268" s="94" t="b">
        <v>1</v>
      </c>
      <c r="AB268" s="1"/>
      <c r="AC268" s="57" t="s">
        <v>1237</v>
      </c>
      <c r="AD268" s="1"/>
      <c r="AE268" s="57"/>
      <c r="AF268" s="1"/>
      <c r="AG268" s="1"/>
      <c r="AH268" s="1"/>
      <c r="AI268" s="1"/>
      <c r="AJ268" s="1"/>
      <c r="AK268" s="1"/>
      <c r="AL268" s="1"/>
      <c r="AM268" s="1"/>
      <c r="AN268" s="1"/>
      <c r="AO268" s="1"/>
      <c r="AP268" s="1"/>
      <c r="AQ268" s="1"/>
      <c r="AR268" s="1"/>
      <c r="AS268" s="1"/>
      <c r="AT268" s="1"/>
      <c r="AU268" s="1"/>
      <c r="AV268" s="1"/>
      <c r="AW268" s="1"/>
      <c r="AX268" s="1"/>
      <c r="AY268" s="1"/>
      <c r="AZ268" s="1"/>
      <c r="BA268" s="1"/>
      <c r="BB268" s="1"/>
      <c r="BC268" s="1"/>
      <c r="BD268" s="1"/>
      <c r="BE268" s="1"/>
      <c r="BF268" s="1"/>
      <c r="BG268" s="1"/>
      <c r="BH268" s="1"/>
      <c r="BI268" s="1"/>
      <c r="BJ268" s="1"/>
      <c r="BK268" s="1"/>
      <c r="BL268" s="1"/>
      <c r="BM268" s="1"/>
      <c r="BN268" s="1"/>
      <c r="BO268" s="1"/>
      <c r="BP268" s="1"/>
      <c r="BQ268" s="1"/>
      <c r="BR268" s="1"/>
      <c r="BS268" s="1"/>
      <c r="BT268" s="1"/>
      <c r="BU268" s="1"/>
      <c r="BV268" s="1"/>
      <c r="BW268" s="1"/>
      <c r="BX268" s="1"/>
      <c r="BY268" s="1"/>
      <c r="BZ268" s="1"/>
      <c r="CA268" s="1"/>
      <c r="CB268" s="1"/>
      <c r="CC268" s="1"/>
      <c r="CD268" s="1"/>
      <c r="CE268" s="1"/>
      <c r="CF268" s="1"/>
      <c r="CG268" s="1"/>
      <c r="CH268" s="1"/>
      <c r="CI268" s="1"/>
      <c r="CJ268" s="1"/>
      <c r="CK268" s="1"/>
      <c r="CL268" s="1"/>
      <c r="CM268" s="1"/>
      <c r="CN268" s="1"/>
      <c r="CO268" s="1"/>
      <c r="CP268" s="1"/>
      <c r="CQ268" s="1"/>
      <c r="CR268" s="1"/>
      <c r="CS268" s="1"/>
      <c r="CT268" s="1"/>
      <c r="CU268" s="1"/>
      <c r="CV268" s="1"/>
      <c r="CW268" s="1"/>
      <c r="CX268" s="1"/>
      <c r="CY268" s="1"/>
      <c r="CZ268" s="1"/>
      <c r="DA268" s="1"/>
      <c r="DB268" s="1"/>
      <c r="DC268" s="1"/>
      <c r="DD268" s="1"/>
      <c r="DE268" s="1"/>
      <c r="DF268" s="1"/>
      <c r="DG268" s="1"/>
      <c r="DH268" s="1"/>
      <c r="DI268" s="1"/>
      <c r="DJ268" s="1"/>
      <c r="DK268" s="1"/>
      <c r="DL268" s="1"/>
      <c r="DM268" s="1"/>
      <c r="DN268" s="1"/>
      <c r="DO268" s="1"/>
      <c r="DP268" s="1"/>
      <c r="DQ268" s="1"/>
      <c r="DR268" s="1"/>
      <c r="DS268" s="1"/>
      <c r="DT268" s="1"/>
      <c r="DU268" s="1"/>
      <c r="DV268" s="1"/>
      <c r="DW268" s="1"/>
      <c r="DX268" s="1"/>
      <c r="DY268" s="1"/>
      <c r="DZ268" s="1"/>
      <c r="EA268" s="1"/>
      <c r="EB268" s="1"/>
      <c r="EC268" s="1"/>
      <c r="ED268" s="1"/>
      <c r="EE268" s="1"/>
      <c r="EF268" s="1"/>
      <c r="EG268" s="1"/>
      <c r="EH268" s="1"/>
      <c r="EI268" s="1"/>
      <c r="EJ268" s="1"/>
      <c r="EK268" s="1"/>
      <c r="EL268" s="1"/>
      <c r="EM268" s="1"/>
      <c r="EN268" s="1"/>
      <c r="EO268" s="1"/>
      <c r="EP268" s="1"/>
      <c r="EQ268" s="1"/>
      <c r="ER268" s="1"/>
      <c r="ES268" s="1"/>
      <c r="ET268" s="1"/>
      <c r="EU268" s="1"/>
      <c r="EV268" s="1"/>
      <c r="EW268" s="1"/>
      <c r="EX268" s="1"/>
      <c r="EY268" s="1"/>
      <c r="EZ268" s="1"/>
      <c r="FA268" s="1"/>
      <c r="FB268" s="1"/>
      <c r="FC268" s="1"/>
      <c r="FD268" s="1"/>
      <c r="FE268" s="1"/>
      <c r="FF268" s="1"/>
      <c r="FG268" s="1"/>
      <c r="FH268" s="1"/>
      <c r="FI268" s="1"/>
      <c r="FJ268" s="1"/>
      <c r="FK268" s="1"/>
      <c r="FL268" s="1"/>
      <c r="FM268" s="1"/>
      <c r="FN268" s="1"/>
      <c r="FO268" s="1"/>
      <c r="FP268" s="1"/>
      <c r="FQ268" s="1"/>
      <c r="FR268" s="1"/>
      <c r="FS268" s="1"/>
      <c r="FT268" s="1"/>
      <c r="FU268" s="1"/>
      <c r="FV268" s="1"/>
      <c r="FW268" s="1"/>
      <c r="FX268" s="1"/>
      <c r="FY268" s="1"/>
      <c r="FZ268" s="1"/>
      <c r="GA268" s="1"/>
      <c r="GB268" s="1"/>
      <c r="GC268" s="1"/>
      <c r="GD268" s="1"/>
      <c r="GE268" s="1"/>
      <c r="GF268" s="1"/>
      <c r="GG268" s="1"/>
      <c r="GH268" s="1"/>
      <c r="GI268" s="1"/>
      <c r="GJ268" s="1"/>
      <c r="GK268" s="1"/>
      <c r="GL268" s="1"/>
      <c r="GM268" s="1"/>
      <c r="GN268" s="1"/>
      <c r="GO268" s="1"/>
      <c r="GP268" s="1"/>
      <c r="GQ268" s="1"/>
      <c r="GR268" s="1"/>
      <c r="GS268" s="1"/>
      <c r="GT268" s="1"/>
      <c r="GU268" s="1"/>
      <c r="GV268" s="1"/>
      <c r="GW268" s="1"/>
      <c r="GX268" s="1"/>
      <c r="GY268" s="1"/>
      <c r="GZ268" s="1"/>
      <c r="HA268" s="1"/>
      <c r="HB268" s="1"/>
      <c r="HC268" s="1"/>
      <c r="HD268" s="1"/>
      <c r="HE268" s="1"/>
      <c r="HF268" s="1"/>
      <c r="HG268" s="1"/>
      <c r="HH268" s="1"/>
      <c r="HI268" s="1"/>
      <c r="HJ268" s="1"/>
      <c r="HK268" s="1"/>
      <c r="HL268" s="1"/>
      <c r="HM268" s="1"/>
      <c r="HN268" s="1"/>
      <c r="HO268" s="1"/>
      <c r="HP268" s="1"/>
      <c r="HQ268" s="1"/>
      <c r="HR268" s="1"/>
      <c r="HS268" s="1"/>
      <c r="HT268" s="1"/>
      <c r="HU268" s="1"/>
      <c r="HV268" s="1"/>
      <c r="HW268" s="1"/>
      <c r="HX268" s="1"/>
      <c r="HY268" s="1"/>
      <c r="HZ268" s="1"/>
      <c r="IA268" s="1"/>
      <c r="IB268" s="1"/>
      <c r="IC268" s="1"/>
      <c r="ID268" s="1"/>
      <c r="IE268" s="1"/>
      <c r="IF268" s="1"/>
      <c r="IG268" s="1"/>
      <c r="IH268" s="1"/>
      <c r="II268" s="1"/>
      <c r="IJ268" s="1"/>
      <c r="IK268" s="1"/>
      <c r="IL268" s="1"/>
      <c r="IM268" s="1"/>
      <c r="IN268" s="1"/>
      <c r="IO268" s="1"/>
      <c r="IP268" s="1"/>
      <c r="IQ268" s="1"/>
      <c r="IR268" s="1"/>
      <c r="IS268" s="1"/>
      <c r="IT268" s="1"/>
      <c r="IU268" s="1"/>
      <c r="IV268" s="1"/>
      <c r="IW268" s="1"/>
      <c r="IX268" s="1"/>
      <c r="IY268" s="1"/>
      <c r="IZ268" s="1"/>
      <c r="JA268" s="1"/>
      <c r="JB268" s="1"/>
      <c r="JC268" s="1"/>
      <c r="JD268" s="1"/>
      <c r="JE268" s="1"/>
      <c r="JF268" s="1"/>
      <c r="JG268" s="1"/>
      <c r="JH268" s="1"/>
      <c r="JI268" s="1"/>
      <c r="JJ268" s="1"/>
      <c r="JK268" s="1"/>
      <c r="JL268" s="1"/>
      <c r="JM268" s="1"/>
      <c r="JN268" s="1"/>
      <c r="JO268" s="1"/>
      <c r="JP268" s="1"/>
      <c r="JQ268" s="1"/>
      <c r="JR268" s="1"/>
      <c r="JS268" s="1"/>
      <c r="JT268" s="1"/>
      <c r="JU268" s="1"/>
      <c r="JV268" s="1"/>
      <c r="JW268" s="1"/>
      <c r="JX268" s="1"/>
      <c r="JY268" s="1"/>
      <c r="JZ268" s="1"/>
      <c r="KA268" s="1"/>
      <c r="KB268" s="1"/>
      <c r="KC268" s="1"/>
      <c r="KD268" s="1"/>
      <c r="KE268" s="1"/>
      <c r="KF268" s="1"/>
      <c r="KG268" s="1"/>
      <c r="KH268" s="1"/>
      <c r="KI268" s="1"/>
      <c r="KJ268" s="1"/>
      <c r="KK268" s="1"/>
      <c r="KL268" s="1"/>
      <c r="KM268" s="1"/>
      <c r="KN268" s="1"/>
      <c r="KO268" s="1"/>
      <c r="KP268" s="1"/>
      <c r="KQ268" s="1"/>
      <c r="KR268" s="1"/>
      <c r="KS268" s="1"/>
      <c r="KT268" s="1"/>
      <c r="KU268" s="1"/>
      <c r="KV268" s="1"/>
      <c r="KW268" s="1"/>
      <c r="KX268" s="1"/>
      <c r="KY268" s="1"/>
      <c r="KZ268" s="1"/>
      <c r="LA268" s="1"/>
      <c r="LB268" s="1"/>
      <c r="LC268" s="1"/>
      <c r="LD268" s="1"/>
      <c r="LE268" s="1"/>
      <c r="LF268" s="1"/>
      <c r="LG268" s="1"/>
      <c r="LH268" s="1"/>
      <c r="LI268" s="1"/>
      <c r="LJ268" s="1"/>
      <c r="LK268" s="1"/>
      <c r="LL268" s="1"/>
      <c r="LM268" s="1"/>
      <c r="LN268" s="1"/>
      <c r="LO268" s="1"/>
      <c r="LP268" s="1"/>
      <c r="LQ268" s="1"/>
      <c r="LR268" s="1"/>
      <c r="LS268" s="1"/>
    </row>
    <row r="269" spans="1:331" s="68" customFormat="1" x14ac:dyDescent="0.25">
      <c r="A269" s="68" t="s">
        <v>997</v>
      </c>
      <c r="B269" s="70" t="s">
        <v>998</v>
      </c>
      <c r="C269" s="94" t="s">
        <v>1651</v>
      </c>
      <c r="D269" s="68">
        <v>1</v>
      </c>
      <c r="E269" s="68" t="s">
        <v>999</v>
      </c>
      <c r="H269" s="68" t="s">
        <v>1000</v>
      </c>
      <c r="I269" s="68" t="s">
        <v>1001</v>
      </c>
      <c r="J269" s="71">
        <v>42999</v>
      </c>
      <c r="K269" s="71" t="s">
        <v>1000</v>
      </c>
      <c r="L269" s="68">
        <v>0</v>
      </c>
      <c r="O269" s="68">
        <v>1</v>
      </c>
      <c r="P269" s="68" t="s">
        <v>1002</v>
      </c>
      <c r="Q269" s="96"/>
      <c r="R269" s="96" t="s">
        <v>1003</v>
      </c>
      <c r="T269" s="68">
        <v>12</v>
      </c>
      <c r="V269" s="68">
        <v>19</v>
      </c>
      <c r="W269" s="96">
        <v>12</v>
      </c>
      <c r="X269" s="96"/>
      <c r="Y269" s="96"/>
      <c r="Z269" s="68">
        <v>13</v>
      </c>
      <c r="AA269" s="94" t="b">
        <v>1</v>
      </c>
      <c r="AB269" s="1" t="s">
        <v>1898</v>
      </c>
      <c r="AC269" s="57" t="s">
        <v>1436</v>
      </c>
      <c r="AD269" s="1"/>
      <c r="AE269" t="s">
        <v>1888</v>
      </c>
      <c r="AF269" s="1"/>
      <c r="AG269" s="1"/>
      <c r="AH269" s="1"/>
      <c r="AI269" s="1"/>
      <c r="AJ269" s="1"/>
      <c r="AK269" s="1"/>
      <c r="AL269" s="1"/>
      <c r="AM269" s="1"/>
      <c r="AN269" s="1"/>
      <c r="AO269" s="1"/>
      <c r="AP269" s="1"/>
      <c r="AQ269" s="1"/>
      <c r="AR269" s="1"/>
      <c r="AS269" s="1"/>
      <c r="AT269" s="1"/>
      <c r="AU269" s="1"/>
      <c r="AV269" s="1"/>
      <c r="AW269" s="1"/>
      <c r="AX269" s="1"/>
      <c r="AY269" s="1"/>
      <c r="AZ269" s="1"/>
      <c r="BA269" s="1"/>
      <c r="BB269" s="1"/>
      <c r="BC269" s="1"/>
      <c r="BD269" s="1"/>
      <c r="BE269" s="1"/>
      <c r="BF269" s="1"/>
      <c r="BG269" s="1"/>
      <c r="BH269" s="1"/>
      <c r="BI269" s="1"/>
      <c r="BJ269" s="1"/>
      <c r="BK269" s="1"/>
      <c r="BL269" s="1"/>
      <c r="BM269" s="1"/>
      <c r="BN269" s="1"/>
      <c r="BO269" s="1"/>
      <c r="BP269" s="1"/>
      <c r="BQ269" s="1"/>
      <c r="BR269" s="1"/>
      <c r="BS269" s="1"/>
      <c r="BT269" s="1"/>
      <c r="BU269" s="1"/>
      <c r="BV269" s="1"/>
    </row>
    <row r="270" spans="1:331" s="25" customFormat="1" x14ac:dyDescent="0.25">
      <c r="A270" s="25" t="s">
        <v>1004</v>
      </c>
      <c r="B270" s="29" t="s">
        <v>1005</v>
      </c>
      <c r="C270" s="94" t="s">
        <v>1651</v>
      </c>
      <c r="D270" s="25">
        <v>0</v>
      </c>
      <c r="H270" s="25" t="s">
        <v>1006</v>
      </c>
      <c r="I270" s="25" t="s">
        <v>1007</v>
      </c>
      <c r="J270" s="25" t="s">
        <v>1008</v>
      </c>
      <c r="K270" s="25" t="s">
        <v>1706</v>
      </c>
      <c r="L270" s="25">
        <v>0</v>
      </c>
      <c r="O270" s="25">
        <v>0</v>
      </c>
      <c r="Q270" s="96" t="s">
        <v>1596</v>
      </c>
      <c r="R270" s="96"/>
      <c r="T270" s="25">
        <v>8</v>
      </c>
      <c r="V270" s="25">
        <v>12</v>
      </c>
      <c r="W270" s="96">
        <v>8</v>
      </c>
      <c r="X270" s="96"/>
      <c r="Y270" s="96"/>
      <c r="Z270" s="25">
        <v>5</v>
      </c>
      <c r="AA270" s="94" t="b">
        <v>1</v>
      </c>
      <c r="AB270" s="1" t="s">
        <v>1899</v>
      </c>
      <c r="AC270" s="57" t="s">
        <v>1344</v>
      </c>
      <c r="AD270" s="1"/>
      <c r="AE270" s="57"/>
      <c r="AF270" s="1"/>
      <c r="AG270" s="1"/>
      <c r="AH270" s="1"/>
      <c r="AI270" s="1"/>
      <c r="AJ270" s="1"/>
      <c r="AK270" s="1"/>
      <c r="AL270" s="1"/>
      <c r="AM270" s="1"/>
      <c r="AN270" s="1"/>
      <c r="AO270" s="1"/>
      <c r="AP270" s="1"/>
      <c r="AQ270" s="1"/>
      <c r="AR270" s="1"/>
      <c r="AS270" s="1"/>
      <c r="AT270" s="1"/>
      <c r="AU270" s="1"/>
      <c r="AV270" s="1"/>
      <c r="AW270" s="1"/>
      <c r="AX270" s="1"/>
      <c r="AY270" s="1"/>
      <c r="AZ270" s="1"/>
      <c r="BA270" s="1"/>
      <c r="BB270" s="1"/>
      <c r="BC270" s="1"/>
      <c r="BD270" s="1"/>
      <c r="BE270" s="1"/>
      <c r="BF270" s="1"/>
      <c r="BG270" s="1"/>
      <c r="BH270" s="1"/>
      <c r="BI270" s="1"/>
      <c r="BJ270" s="1"/>
      <c r="BK270" s="1"/>
      <c r="BL270" s="1"/>
      <c r="BM270" s="1"/>
      <c r="BN270" s="1"/>
      <c r="BO270" s="1"/>
      <c r="BP270" s="1"/>
      <c r="BQ270" s="1"/>
      <c r="BR270" s="1"/>
      <c r="BS270" s="1"/>
      <c r="BT270" s="1"/>
      <c r="BU270" s="1"/>
      <c r="BV270" s="1"/>
      <c r="BW270" s="1"/>
      <c r="BX270" s="1"/>
      <c r="BY270" s="1"/>
      <c r="BZ270" s="1"/>
      <c r="CA270" s="1"/>
      <c r="CB270" s="1"/>
      <c r="CC270" s="1"/>
      <c r="CD270" s="1"/>
      <c r="CE270" s="1"/>
      <c r="CF270" s="1"/>
      <c r="CG270" s="1"/>
      <c r="CH270" s="1"/>
      <c r="CI270" s="1"/>
      <c r="CJ270" s="1"/>
      <c r="CK270" s="1"/>
      <c r="CL270" s="1"/>
      <c r="CM270" s="1"/>
      <c r="CN270" s="1"/>
      <c r="CO270" s="1"/>
      <c r="CP270" s="1"/>
      <c r="CQ270" s="1"/>
      <c r="CR270" s="1"/>
      <c r="CS270" s="1"/>
      <c r="CT270" s="1"/>
      <c r="CU270" s="1"/>
      <c r="CV270" s="1"/>
      <c r="CW270" s="1"/>
      <c r="CX270" s="1"/>
      <c r="CY270" s="1"/>
      <c r="CZ270" s="1"/>
      <c r="DA270" s="1"/>
      <c r="DB270" s="1"/>
      <c r="DC270" s="1"/>
      <c r="DD270" s="1"/>
      <c r="DE270" s="1"/>
      <c r="DF270" s="1"/>
      <c r="DG270" s="1"/>
      <c r="DH270" s="1"/>
      <c r="DI270" s="1"/>
      <c r="DJ270" s="1"/>
      <c r="DK270" s="1"/>
      <c r="DL270" s="1"/>
      <c r="DM270" s="1"/>
      <c r="DN270" s="1"/>
      <c r="DO270" s="1"/>
      <c r="DP270" s="1"/>
      <c r="DQ270" s="1"/>
      <c r="DR270" s="1"/>
      <c r="DS270" s="1"/>
      <c r="DT270" s="1"/>
      <c r="DU270" s="1"/>
      <c r="DV270" s="1"/>
      <c r="DW270" s="1"/>
      <c r="DX270" s="1"/>
      <c r="DY270" s="1"/>
      <c r="DZ270" s="1"/>
      <c r="EA270" s="1"/>
      <c r="EB270" s="1"/>
      <c r="EC270" s="1"/>
      <c r="ED270" s="1"/>
      <c r="EE270" s="1"/>
      <c r="EF270" s="1"/>
      <c r="EG270" s="1"/>
      <c r="EH270" s="1"/>
      <c r="EI270" s="1"/>
      <c r="EJ270" s="1"/>
      <c r="EK270" s="1"/>
      <c r="EL270" s="1"/>
      <c r="EM270" s="1"/>
      <c r="EN270" s="1"/>
      <c r="EO270" s="1"/>
      <c r="EP270" s="1"/>
      <c r="EQ270" s="1"/>
      <c r="ER270" s="1"/>
      <c r="ES270" s="1"/>
      <c r="ET270" s="1"/>
      <c r="EU270" s="1"/>
      <c r="EV270" s="1"/>
      <c r="EW270" s="1"/>
      <c r="EX270" s="1"/>
      <c r="EY270" s="1"/>
      <c r="EZ270" s="1"/>
      <c r="FA270" s="1"/>
      <c r="FB270" s="1"/>
      <c r="FC270" s="1"/>
      <c r="FD270" s="1"/>
      <c r="FE270" s="1"/>
      <c r="FF270" s="1"/>
      <c r="FG270" s="1"/>
      <c r="FH270" s="1"/>
      <c r="FI270" s="1"/>
      <c r="FJ270" s="1"/>
      <c r="FK270" s="1"/>
      <c r="FL270" s="1"/>
      <c r="FM270" s="1"/>
      <c r="FN270" s="1"/>
      <c r="FO270" s="1"/>
      <c r="FP270" s="1"/>
      <c r="FQ270" s="1"/>
      <c r="FR270" s="1"/>
      <c r="FS270" s="1"/>
      <c r="FT270" s="1"/>
      <c r="FU270" s="1"/>
      <c r="FV270" s="1"/>
      <c r="FW270" s="1"/>
      <c r="FX270" s="1"/>
      <c r="FY270" s="1"/>
      <c r="FZ270" s="1"/>
      <c r="GA270" s="1"/>
      <c r="GB270" s="1"/>
      <c r="GC270" s="1"/>
      <c r="GD270" s="1"/>
      <c r="GE270" s="1"/>
      <c r="GF270" s="1"/>
      <c r="GG270" s="1"/>
      <c r="GH270" s="1"/>
      <c r="GI270" s="1"/>
      <c r="GJ270" s="1"/>
      <c r="GK270" s="1"/>
      <c r="GL270" s="1"/>
      <c r="GM270" s="1"/>
      <c r="GN270" s="1"/>
      <c r="GO270" s="1"/>
      <c r="GP270" s="1"/>
      <c r="GQ270" s="1"/>
      <c r="GR270" s="1"/>
      <c r="GS270" s="1"/>
      <c r="GT270" s="1"/>
      <c r="GU270" s="1"/>
      <c r="GV270" s="1"/>
      <c r="GW270" s="1"/>
      <c r="GX270" s="1"/>
      <c r="GY270" s="1"/>
      <c r="GZ270" s="1"/>
      <c r="HA270" s="1"/>
      <c r="HB270" s="1"/>
      <c r="HC270" s="1"/>
      <c r="HD270" s="1"/>
      <c r="HE270" s="1"/>
      <c r="HF270" s="1"/>
      <c r="HG270" s="1"/>
      <c r="HH270" s="1"/>
      <c r="HI270" s="1"/>
      <c r="HJ270" s="1"/>
      <c r="HK270" s="1"/>
      <c r="HL270" s="1"/>
      <c r="HM270" s="1"/>
      <c r="HN270" s="1"/>
      <c r="HO270" s="1"/>
      <c r="HP270" s="1"/>
      <c r="HQ270" s="1"/>
      <c r="HR270" s="1"/>
      <c r="HS270" s="1"/>
      <c r="HT270" s="1"/>
      <c r="HU270" s="1"/>
      <c r="HV270" s="1"/>
      <c r="HW270" s="1"/>
      <c r="HX270" s="1"/>
      <c r="HY270" s="1"/>
      <c r="HZ270" s="1"/>
      <c r="IA270" s="1"/>
      <c r="IB270" s="1"/>
      <c r="IC270" s="1"/>
      <c r="ID270" s="1"/>
      <c r="IE270" s="1"/>
      <c r="IF270" s="1"/>
      <c r="IG270" s="1"/>
      <c r="IH270" s="1"/>
      <c r="II270" s="1"/>
      <c r="IJ270" s="1"/>
      <c r="IK270" s="1"/>
      <c r="IL270" s="1"/>
      <c r="IM270" s="1"/>
      <c r="IN270" s="1"/>
      <c r="IO270" s="1"/>
      <c r="IP270" s="1"/>
      <c r="IQ270" s="1"/>
      <c r="IR270" s="1"/>
      <c r="IS270" s="1"/>
      <c r="IT270" s="1"/>
      <c r="IU270" s="1"/>
      <c r="IV270" s="1"/>
      <c r="IW270" s="1"/>
      <c r="IX270" s="1"/>
      <c r="IY270" s="1"/>
      <c r="IZ270" s="1"/>
      <c r="JA270" s="1"/>
      <c r="JB270" s="1"/>
      <c r="JC270" s="1"/>
      <c r="JD270" s="1"/>
      <c r="JE270" s="1"/>
      <c r="JF270" s="1"/>
      <c r="JG270" s="1"/>
      <c r="JH270" s="1"/>
      <c r="JI270" s="1"/>
      <c r="JJ270" s="1"/>
      <c r="JK270" s="1"/>
      <c r="JL270" s="1"/>
      <c r="JM270" s="1"/>
      <c r="JN270" s="1"/>
      <c r="JO270" s="1"/>
      <c r="JP270" s="1"/>
      <c r="JQ270" s="1"/>
      <c r="JR270" s="1"/>
      <c r="JS270" s="1"/>
      <c r="JT270" s="1"/>
      <c r="JU270" s="1"/>
      <c r="JV270" s="1"/>
      <c r="JW270" s="1"/>
      <c r="JX270" s="1"/>
      <c r="JY270" s="1"/>
      <c r="JZ270" s="1"/>
      <c r="KA270" s="1"/>
      <c r="KB270" s="1"/>
      <c r="KC270" s="1"/>
      <c r="KD270" s="1"/>
      <c r="KE270" s="1"/>
      <c r="KF270" s="1"/>
      <c r="KG270" s="1"/>
      <c r="KH270" s="1"/>
      <c r="KI270" s="1"/>
      <c r="KJ270" s="1"/>
      <c r="KK270" s="1"/>
      <c r="KL270" s="1"/>
      <c r="KM270" s="1"/>
      <c r="KN270" s="1"/>
      <c r="KO270" s="1"/>
      <c r="KP270" s="1"/>
      <c r="KQ270" s="1"/>
      <c r="KR270" s="1"/>
      <c r="KS270" s="1"/>
      <c r="KT270" s="1"/>
      <c r="KU270" s="1"/>
      <c r="KV270" s="1"/>
      <c r="KW270" s="1"/>
      <c r="KX270" s="1"/>
      <c r="KY270" s="1"/>
      <c r="KZ270" s="1"/>
      <c r="LA270" s="1"/>
      <c r="LB270" s="1"/>
      <c r="LC270" s="1"/>
      <c r="LD270" s="1"/>
      <c r="LE270" s="1"/>
      <c r="LF270" s="1"/>
      <c r="LG270" s="1"/>
      <c r="LH270" s="1"/>
      <c r="LI270" s="1"/>
      <c r="LJ270" s="1"/>
      <c r="LK270" s="1"/>
      <c r="LL270" s="1"/>
      <c r="LM270" s="1"/>
      <c r="LN270" s="1"/>
      <c r="LO270" s="1"/>
      <c r="LP270" s="1"/>
      <c r="LQ270" s="1"/>
      <c r="LR270" s="1"/>
      <c r="LS270" s="1"/>
    </row>
    <row r="271" spans="1:331" s="40" customFormat="1" x14ac:dyDescent="0.25">
      <c r="A271" s="40" t="s">
        <v>1009</v>
      </c>
      <c r="B271" s="44" t="s">
        <v>1010</v>
      </c>
      <c r="C271" s="94" t="s">
        <v>1651</v>
      </c>
      <c r="D271" s="40">
        <v>0</v>
      </c>
      <c r="H271" s="40" t="s">
        <v>1011</v>
      </c>
      <c r="I271" s="40" t="s">
        <v>1012</v>
      </c>
      <c r="J271" s="40" t="s">
        <v>1011</v>
      </c>
      <c r="K271" s="40" t="s">
        <v>1707</v>
      </c>
      <c r="L271" s="40">
        <v>0</v>
      </c>
      <c r="O271" s="40">
        <v>1</v>
      </c>
      <c r="P271" s="77">
        <v>42914</v>
      </c>
      <c r="Q271" s="96" t="s">
        <v>1597</v>
      </c>
      <c r="R271" s="96"/>
      <c r="S271" s="40">
        <v>6</v>
      </c>
      <c r="U271" s="40">
        <v>16</v>
      </c>
      <c r="W271" s="96">
        <v>6</v>
      </c>
      <c r="X271" s="96"/>
      <c r="Y271" s="96"/>
      <c r="Z271" s="40">
        <v>8</v>
      </c>
      <c r="AA271" s="94" t="b">
        <v>1</v>
      </c>
      <c r="AB271" s="1" t="s">
        <v>1898</v>
      </c>
      <c r="AC271" s="57" t="s">
        <v>1926</v>
      </c>
      <c r="AD271" s="1"/>
      <c r="AE271" s="57"/>
      <c r="AF271" s="1"/>
      <c r="AG271" s="1"/>
      <c r="AH271" s="1"/>
      <c r="AI271" s="1"/>
      <c r="AJ271" s="1"/>
      <c r="AK271" s="1"/>
      <c r="AL271" s="1"/>
      <c r="AM271" s="1"/>
      <c r="AN271" s="1"/>
      <c r="AO271" s="1"/>
      <c r="AP271" s="1"/>
      <c r="AQ271" s="1"/>
      <c r="AR271" s="1"/>
      <c r="AS271" s="1"/>
      <c r="AT271" s="1"/>
      <c r="AU271" s="1"/>
      <c r="AV271" s="1"/>
      <c r="AW271" s="1"/>
      <c r="AX271" s="1"/>
      <c r="AY271" s="1"/>
      <c r="AZ271" s="1"/>
      <c r="BA271" s="1"/>
      <c r="BB271" s="1"/>
      <c r="BC271" s="1"/>
      <c r="BD271" s="1"/>
      <c r="BE271" s="1"/>
      <c r="BF271" s="1"/>
      <c r="BG271" s="1"/>
      <c r="BH271" s="1"/>
      <c r="BI271" s="1"/>
      <c r="BJ271" s="1"/>
      <c r="BK271" s="1"/>
      <c r="BL271" s="1"/>
      <c r="BM271" s="1"/>
      <c r="BN271" s="1"/>
      <c r="BO271" s="1"/>
      <c r="BP271" s="1"/>
      <c r="BQ271" s="1"/>
      <c r="BR271" s="1"/>
      <c r="BS271" s="1"/>
      <c r="BT271" s="1"/>
      <c r="BU271" s="1"/>
      <c r="BV271" s="1"/>
      <c r="BW271" s="1"/>
      <c r="BX271" s="1"/>
      <c r="BY271" s="1"/>
      <c r="BZ271" s="1"/>
      <c r="CA271" s="1"/>
      <c r="CB271" s="1"/>
      <c r="CC271" s="1"/>
      <c r="CD271" s="1"/>
      <c r="CE271" s="1"/>
      <c r="CF271" s="1"/>
      <c r="CG271" s="1"/>
      <c r="CH271" s="1"/>
      <c r="CI271" s="1"/>
      <c r="CJ271" s="1"/>
      <c r="CK271" s="1"/>
      <c r="CL271" s="1"/>
      <c r="CM271" s="1"/>
      <c r="CN271" s="1"/>
      <c r="CO271" s="1"/>
      <c r="CP271" s="1"/>
      <c r="CQ271" s="1"/>
      <c r="CR271" s="1"/>
      <c r="CS271" s="1"/>
      <c r="CT271" s="1"/>
      <c r="CU271" s="1"/>
      <c r="CV271" s="1"/>
      <c r="CW271" s="1"/>
      <c r="CX271" s="1"/>
      <c r="CY271" s="1"/>
      <c r="CZ271" s="1"/>
      <c r="DA271" s="1"/>
      <c r="DB271" s="1"/>
      <c r="DC271" s="1"/>
      <c r="DD271" s="1"/>
      <c r="DE271" s="1"/>
      <c r="DF271" s="1"/>
      <c r="DG271" s="1"/>
      <c r="DH271" s="1"/>
      <c r="DI271" s="1"/>
      <c r="DJ271" s="1"/>
      <c r="DK271" s="1"/>
      <c r="DL271" s="1"/>
      <c r="DM271" s="1"/>
      <c r="DN271" s="1"/>
      <c r="DO271" s="1"/>
      <c r="DP271" s="1"/>
      <c r="DQ271" s="1"/>
      <c r="DR271" s="1"/>
      <c r="DS271" s="1"/>
      <c r="DT271" s="1"/>
      <c r="DU271" s="1"/>
      <c r="DV271" s="1"/>
      <c r="DW271" s="1"/>
      <c r="DX271" s="1"/>
      <c r="DY271" s="1"/>
      <c r="DZ271" s="1"/>
      <c r="EA271" s="1"/>
      <c r="EB271" s="1"/>
      <c r="EC271" s="1"/>
      <c r="ED271" s="1"/>
      <c r="EE271" s="1"/>
      <c r="EF271" s="1"/>
      <c r="EG271" s="1"/>
      <c r="EH271" s="1"/>
      <c r="EI271" s="1"/>
      <c r="EJ271" s="1"/>
      <c r="EK271" s="1"/>
      <c r="EL271" s="1"/>
      <c r="EM271" s="1"/>
      <c r="EN271" s="1"/>
      <c r="EO271" s="1"/>
      <c r="EP271" s="1"/>
      <c r="EQ271" s="1"/>
      <c r="ER271" s="1"/>
      <c r="ES271" s="1"/>
      <c r="ET271" s="1"/>
      <c r="EU271" s="1"/>
      <c r="EV271" s="1"/>
      <c r="EW271" s="1"/>
      <c r="EX271" s="1"/>
      <c r="EY271" s="1"/>
      <c r="EZ271" s="1"/>
      <c r="FA271" s="1"/>
      <c r="FB271" s="1"/>
      <c r="FC271" s="1"/>
      <c r="FD271" s="1"/>
      <c r="FE271" s="1"/>
      <c r="FF271" s="1"/>
      <c r="FG271" s="1"/>
      <c r="FH271" s="1"/>
      <c r="FI271" s="1"/>
      <c r="FJ271" s="1"/>
      <c r="FK271" s="1"/>
      <c r="FL271" s="1"/>
      <c r="FM271" s="1"/>
      <c r="FN271" s="1"/>
      <c r="FO271" s="1"/>
      <c r="FP271" s="1"/>
      <c r="FQ271" s="1"/>
      <c r="FR271" s="1"/>
      <c r="FS271" s="1"/>
      <c r="FT271" s="1"/>
      <c r="FU271" s="1"/>
      <c r="FV271" s="1"/>
      <c r="FW271" s="1"/>
      <c r="FX271" s="1"/>
      <c r="FY271" s="1"/>
      <c r="FZ271" s="1"/>
      <c r="GA271" s="1"/>
      <c r="GB271" s="1"/>
      <c r="GC271" s="1"/>
      <c r="GD271" s="1"/>
      <c r="GE271" s="1"/>
      <c r="GF271" s="1"/>
      <c r="GG271" s="1"/>
      <c r="GH271" s="1"/>
      <c r="GI271" s="1"/>
      <c r="GJ271" s="1"/>
      <c r="GK271" s="1"/>
      <c r="GL271" s="1"/>
      <c r="GM271" s="1"/>
      <c r="GN271" s="1"/>
      <c r="GO271" s="1"/>
      <c r="GP271" s="1"/>
      <c r="GQ271" s="1"/>
      <c r="GR271" s="1"/>
      <c r="GS271" s="1"/>
      <c r="GT271" s="1"/>
      <c r="GU271" s="1"/>
      <c r="GV271" s="1"/>
      <c r="GW271" s="1"/>
      <c r="GX271" s="1"/>
      <c r="GY271" s="1"/>
      <c r="GZ271" s="1"/>
      <c r="HA271" s="1"/>
      <c r="HB271" s="1"/>
      <c r="HC271" s="1"/>
      <c r="HD271" s="1"/>
      <c r="HE271" s="1"/>
      <c r="HF271" s="1"/>
      <c r="HG271" s="1"/>
      <c r="HH271" s="1"/>
      <c r="HI271" s="1"/>
      <c r="HJ271" s="1"/>
      <c r="HK271" s="1"/>
      <c r="HL271" s="1"/>
      <c r="HM271" s="1"/>
      <c r="HN271" s="1"/>
      <c r="HO271" s="1"/>
      <c r="HP271" s="1"/>
      <c r="HQ271" s="1"/>
      <c r="HR271" s="1"/>
      <c r="HS271" s="1"/>
      <c r="HT271" s="1"/>
      <c r="HU271" s="1"/>
      <c r="HV271" s="1"/>
      <c r="HW271" s="1"/>
      <c r="HX271" s="1"/>
      <c r="HY271" s="1"/>
      <c r="HZ271" s="1"/>
      <c r="IA271" s="1"/>
      <c r="IB271" s="1"/>
      <c r="IC271" s="1"/>
      <c r="ID271" s="1"/>
      <c r="IE271" s="1"/>
      <c r="IF271" s="1"/>
      <c r="IG271" s="1"/>
      <c r="IH271" s="1"/>
      <c r="II271" s="1"/>
      <c r="IJ271" s="1"/>
      <c r="IK271" s="1"/>
      <c r="IL271" s="1"/>
      <c r="IM271" s="1"/>
      <c r="IN271" s="1"/>
      <c r="IO271" s="1"/>
      <c r="IP271" s="1"/>
      <c r="IQ271" s="1"/>
      <c r="IR271" s="1"/>
      <c r="IS271" s="1"/>
      <c r="IT271" s="1"/>
      <c r="IU271" s="1"/>
      <c r="IV271" s="1"/>
      <c r="IW271" s="1"/>
      <c r="IX271" s="1"/>
      <c r="IY271" s="1"/>
      <c r="IZ271" s="1"/>
      <c r="JA271" s="1"/>
      <c r="JB271" s="1"/>
      <c r="JC271" s="1"/>
      <c r="JD271" s="1"/>
      <c r="JE271" s="1"/>
      <c r="JF271" s="1"/>
      <c r="JG271" s="1"/>
      <c r="JH271" s="1"/>
      <c r="JI271" s="1"/>
      <c r="JJ271" s="1"/>
      <c r="JK271" s="1"/>
      <c r="JL271" s="1"/>
      <c r="JM271" s="1"/>
      <c r="JN271" s="1"/>
      <c r="JO271" s="1"/>
      <c r="JP271" s="1"/>
      <c r="JQ271" s="1"/>
      <c r="JR271" s="1"/>
      <c r="JS271" s="1"/>
      <c r="JT271" s="1"/>
      <c r="JU271" s="1"/>
      <c r="JV271" s="1"/>
      <c r="JW271" s="1"/>
      <c r="JX271" s="1"/>
      <c r="JY271" s="1"/>
      <c r="JZ271" s="1"/>
      <c r="KA271" s="1"/>
      <c r="KB271" s="1"/>
      <c r="KC271" s="1"/>
      <c r="KD271" s="1"/>
      <c r="KE271" s="1"/>
      <c r="KF271" s="1"/>
      <c r="KG271" s="1"/>
      <c r="KH271" s="1"/>
      <c r="KI271" s="1"/>
      <c r="KJ271" s="1"/>
      <c r="KK271" s="1"/>
      <c r="KL271" s="1"/>
      <c r="KM271" s="1"/>
      <c r="KN271" s="1"/>
      <c r="KO271" s="1"/>
      <c r="KP271" s="1"/>
      <c r="KQ271" s="1"/>
      <c r="KR271" s="1"/>
      <c r="KS271" s="1"/>
      <c r="KT271" s="1"/>
      <c r="KU271" s="1"/>
      <c r="KV271" s="1"/>
      <c r="KW271" s="1"/>
      <c r="KX271" s="1"/>
      <c r="KY271" s="1"/>
      <c r="KZ271" s="1"/>
      <c r="LA271" s="1"/>
      <c r="LB271" s="1"/>
      <c r="LC271" s="1"/>
      <c r="LD271" s="1"/>
      <c r="LE271" s="1"/>
      <c r="LF271" s="1"/>
      <c r="LG271" s="1"/>
      <c r="LH271" s="1"/>
      <c r="LI271" s="1"/>
      <c r="LJ271" s="1"/>
      <c r="LK271" s="1"/>
      <c r="LL271" s="1"/>
      <c r="LM271" s="1"/>
      <c r="LN271" s="1"/>
      <c r="LO271" s="1"/>
      <c r="LP271" s="1"/>
      <c r="LQ271" s="1"/>
      <c r="LR271" s="1"/>
      <c r="LS271" s="1"/>
    </row>
    <row r="272" spans="1:331" s="25" customFormat="1" x14ac:dyDescent="0.25">
      <c r="A272" s="25" t="s">
        <v>1013</v>
      </c>
      <c r="B272" s="29" t="s">
        <v>1014</v>
      </c>
      <c r="C272" s="94" t="s">
        <v>1651</v>
      </c>
      <c r="D272" s="25">
        <v>0</v>
      </c>
      <c r="H272" s="25" t="s">
        <v>1015</v>
      </c>
      <c r="I272" s="25" t="s">
        <v>1016</v>
      </c>
      <c r="J272" s="25" t="s">
        <v>1017</v>
      </c>
      <c r="K272" s="25" t="s">
        <v>1015</v>
      </c>
      <c r="L272" s="25">
        <v>0</v>
      </c>
      <c r="O272" s="25">
        <v>0</v>
      </c>
      <c r="Q272" s="96" t="s">
        <v>1598</v>
      </c>
      <c r="R272" s="96"/>
      <c r="S272" s="25">
        <v>14</v>
      </c>
      <c r="U272" s="25">
        <v>11</v>
      </c>
      <c r="W272" s="96">
        <v>14</v>
      </c>
      <c r="X272" s="96"/>
      <c r="Y272" s="96"/>
      <c r="Z272" s="25">
        <v>5</v>
      </c>
      <c r="AA272" s="94" t="b">
        <v>1</v>
      </c>
      <c r="AB272" s="1" t="s">
        <v>1899</v>
      </c>
      <c r="AC272" s="57" t="s">
        <v>1345</v>
      </c>
      <c r="AD272" s="1"/>
      <c r="AE272" s="57"/>
      <c r="AF272" s="1"/>
      <c r="AG272" s="1"/>
      <c r="AH272" s="1"/>
      <c r="AI272" s="1"/>
      <c r="AJ272" s="1"/>
      <c r="AK272" s="1"/>
      <c r="AL272" s="1"/>
      <c r="AM272" s="1"/>
      <c r="AN272" s="1"/>
      <c r="AO272" s="1"/>
      <c r="AP272" s="1"/>
      <c r="AQ272" s="1"/>
      <c r="AR272" s="1"/>
      <c r="AS272" s="1"/>
      <c r="AT272" s="1"/>
      <c r="AU272" s="1"/>
      <c r="AV272" s="1"/>
      <c r="AW272" s="1"/>
      <c r="AX272" s="1"/>
      <c r="AY272" s="1"/>
      <c r="AZ272" s="1"/>
      <c r="BA272" s="1"/>
      <c r="BB272" s="1"/>
      <c r="BC272" s="1"/>
      <c r="BD272" s="1"/>
      <c r="BE272" s="1"/>
      <c r="BF272" s="1"/>
      <c r="BG272" s="1"/>
      <c r="BH272" s="1"/>
      <c r="BI272" s="1"/>
      <c r="BJ272" s="1"/>
      <c r="BK272" s="1"/>
      <c r="BL272" s="1"/>
      <c r="BM272" s="1"/>
      <c r="BN272" s="1"/>
      <c r="BO272" s="1"/>
      <c r="BP272" s="1"/>
      <c r="BQ272" s="1"/>
      <c r="BR272" s="1"/>
      <c r="BS272" s="1"/>
      <c r="BT272" s="1"/>
      <c r="BU272" s="1"/>
      <c r="BV272" s="1"/>
      <c r="BW272" s="1"/>
      <c r="BX272" s="1"/>
      <c r="BY272" s="1"/>
      <c r="BZ272" s="1"/>
      <c r="CA272" s="1"/>
      <c r="CB272" s="1"/>
      <c r="CC272" s="1"/>
      <c r="CD272" s="1"/>
      <c r="CE272" s="1"/>
      <c r="CF272" s="1"/>
      <c r="CG272" s="1"/>
      <c r="CH272" s="1"/>
      <c r="CI272" s="1"/>
      <c r="CJ272" s="1"/>
      <c r="CK272" s="1"/>
      <c r="CL272" s="1"/>
      <c r="CM272" s="1"/>
      <c r="CN272" s="1"/>
      <c r="CO272" s="1"/>
      <c r="CP272" s="1"/>
      <c r="CQ272" s="1"/>
      <c r="CR272" s="1"/>
      <c r="CS272" s="1"/>
      <c r="CT272" s="1"/>
      <c r="CU272" s="1"/>
      <c r="CV272" s="1"/>
      <c r="CW272" s="1"/>
      <c r="CX272" s="1"/>
      <c r="CY272" s="1"/>
      <c r="CZ272" s="1"/>
      <c r="DA272" s="1"/>
      <c r="DB272" s="1"/>
      <c r="DC272" s="1"/>
      <c r="DD272" s="1"/>
      <c r="DE272" s="1"/>
      <c r="DF272" s="1"/>
      <c r="DG272" s="1"/>
      <c r="DH272" s="1"/>
      <c r="DI272" s="1"/>
      <c r="DJ272" s="1"/>
      <c r="DK272" s="1"/>
      <c r="DL272" s="1"/>
      <c r="DM272" s="1"/>
      <c r="DN272" s="1"/>
      <c r="DO272" s="1"/>
      <c r="DP272" s="1"/>
      <c r="DQ272" s="1"/>
      <c r="DR272" s="1"/>
      <c r="DS272" s="1"/>
      <c r="DT272" s="1"/>
      <c r="DU272" s="1"/>
      <c r="DV272" s="1"/>
      <c r="DW272" s="1"/>
      <c r="DX272" s="1"/>
      <c r="DY272" s="1"/>
      <c r="DZ272" s="1"/>
      <c r="EA272" s="1"/>
      <c r="EB272" s="1"/>
      <c r="EC272" s="1"/>
      <c r="ED272" s="1"/>
      <c r="EE272" s="1"/>
      <c r="EF272" s="1"/>
      <c r="EG272" s="1"/>
      <c r="EH272" s="1"/>
      <c r="EI272" s="1"/>
      <c r="EJ272" s="1"/>
      <c r="EK272" s="1"/>
      <c r="EL272" s="1"/>
      <c r="EM272" s="1"/>
      <c r="EN272" s="1"/>
      <c r="EO272" s="1"/>
      <c r="EP272" s="1"/>
      <c r="EQ272" s="1"/>
      <c r="ER272" s="1"/>
      <c r="ES272" s="1"/>
      <c r="ET272" s="1"/>
      <c r="EU272" s="1"/>
      <c r="EV272" s="1"/>
      <c r="EW272" s="1"/>
      <c r="EX272" s="1"/>
      <c r="EY272" s="1"/>
      <c r="EZ272" s="1"/>
      <c r="FA272" s="1"/>
      <c r="FB272" s="1"/>
      <c r="FC272" s="1"/>
      <c r="FD272" s="1"/>
      <c r="FE272" s="1"/>
      <c r="FF272" s="1"/>
      <c r="FG272" s="1"/>
      <c r="FH272" s="1"/>
      <c r="FI272" s="1"/>
      <c r="FJ272" s="1"/>
      <c r="FK272" s="1"/>
      <c r="FL272" s="1"/>
      <c r="FM272" s="1"/>
      <c r="FN272" s="1"/>
      <c r="FO272" s="1"/>
      <c r="FP272" s="1"/>
      <c r="FQ272" s="1"/>
      <c r="FR272" s="1"/>
      <c r="FS272" s="1"/>
      <c r="FT272" s="1"/>
      <c r="FU272" s="1"/>
      <c r="FV272" s="1"/>
      <c r="FW272" s="1"/>
      <c r="FX272" s="1"/>
      <c r="FY272" s="1"/>
      <c r="FZ272" s="1"/>
      <c r="GA272" s="1"/>
      <c r="GB272" s="1"/>
      <c r="GC272" s="1"/>
      <c r="GD272" s="1"/>
      <c r="GE272" s="1"/>
      <c r="GF272" s="1"/>
      <c r="GG272" s="1"/>
      <c r="GH272" s="1"/>
      <c r="GI272" s="1"/>
      <c r="GJ272" s="1"/>
      <c r="GK272" s="1"/>
      <c r="GL272" s="1"/>
      <c r="GM272" s="1"/>
      <c r="GN272" s="1"/>
      <c r="GO272" s="1"/>
      <c r="GP272" s="1"/>
      <c r="GQ272" s="1"/>
      <c r="GR272" s="1"/>
      <c r="GS272" s="1"/>
      <c r="GT272" s="1"/>
      <c r="GU272" s="1"/>
      <c r="GV272" s="1"/>
      <c r="GW272" s="1"/>
      <c r="GX272" s="1"/>
      <c r="GY272" s="1"/>
      <c r="GZ272" s="1"/>
      <c r="HA272" s="1"/>
      <c r="HB272" s="1"/>
      <c r="HC272" s="1"/>
      <c r="HD272" s="1"/>
      <c r="HE272" s="1"/>
      <c r="HF272" s="1"/>
      <c r="HG272" s="1"/>
      <c r="HH272" s="1"/>
      <c r="HI272" s="1"/>
      <c r="HJ272" s="1"/>
      <c r="HK272" s="1"/>
      <c r="HL272" s="1"/>
      <c r="HM272" s="1"/>
      <c r="HN272" s="1"/>
      <c r="HO272" s="1"/>
      <c r="HP272" s="1"/>
      <c r="HQ272" s="1"/>
      <c r="HR272" s="1"/>
      <c r="HS272" s="1"/>
      <c r="HT272" s="1"/>
      <c r="HU272" s="1"/>
      <c r="HV272" s="1"/>
      <c r="HW272" s="1"/>
      <c r="HX272" s="1"/>
      <c r="HY272" s="1"/>
      <c r="HZ272" s="1"/>
      <c r="IA272" s="1"/>
      <c r="IB272" s="1"/>
      <c r="IC272" s="1"/>
      <c r="ID272" s="1"/>
      <c r="IE272" s="1"/>
      <c r="IF272" s="1"/>
      <c r="IG272" s="1"/>
      <c r="IH272" s="1"/>
      <c r="II272" s="1"/>
      <c r="IJ272" s="1"/>
      <c r="IK272" s="1"/>
      <c r="IL272" s="1"/>
      <c r="IM272" s="1"/>
      <c r="IN272" s="1"/>
      <c r="IO272" s="1"/>
      <c r="IP272" s="1"/>
      <c r="IQ272" s="1"/>
      <c r="IR272" s="1"/>
      <c r="IS272" s="1"/>
      <c r="IT272" s="1"/>
      <c r="IU272" s="1"/>
      <c r="IV272" s="1"/>
      <c r="IW272" s="1"/>
      <c r="IX272" s="1"/>
      <c r="IY272" s="1"/>
      <c r="IZ272" s="1"/>
      <c r="JA272" s="1"/>
      <c r="JB272" s="1"/>
      <c r="JC272" s="1"/>
      <c r="JD272" s="1"/>
      <c r="JE272" s="1"/>
      <c r="JF272" s="1"/>
      <c r="JG272" s="1"/>
      <c r="JH272" s="1"/>
      <c r="JI272" s="1"/>
      <c r="JJ272" s="1"/>
      <c r="JK272" s="1"/>
      <c r="JL272" s="1"/>
      <c r="JM272" s="1"/>
      <c r="JN272" s="1"/>
      <c r="JO272" s="1"/>
      <c r="JP272" s="1"/>
      <c r="JQ272" s="1"/>
      <c r="JR272" s="1"/>
      <c r="JS272" s="1"/>
      <c r="JT272" s="1"/>
      <c r="JU272" s="1"/>
      <c r="JV272" s="1"/>
      <c r="JW272" s="1"/>
      <c r="JX272" s="1"/>
      <c r="JY272" s="1"/>
      <c r="JZ272" s="1"/>
      <c r="KA272" s="1"/>
      <c r="KB272" s="1"/>
      <c r="KC272" s="1"/>
      <c r="KD272" s="1"/>
      <c r="KE272" s="1"/>
      <c r="KF272" s="1"/>
      <c r="KG272" s="1"/>
      <c r="KH272" s="1"/>
      <c r="KI272" s="1"/>
      <c r="KJ272" s="1"/>
      <c r="KK272" s="1"/>
      <c r="KL272" s="1"/>
      <c r="KM272" s="1"/>
      <c r="KN272" s="1"/>
      <c r="KO272" s="1"/>
      <c r="KP272" s="1"/>
      <c r="KQ272" s="1"/>
      <c r="KR272" s="1"/>
      <c r="KS272" s="1"/>
      <c r="KT272" s="1"/>
      <c r="KU272" s="1"/>
      <c r="KV272" s="1"/>
      <c r="KW272" s="1"/>
      <c r="KX272" s="1"/>
      <c r="KY272" s="1"/>
      <c r="KZ272" s="1"/>
      <c r="LA272" s="1"/>
      <c r="LB272" s="1"/>
      <c r="LC272" s="1"/>
      <c r="LD272" s="1"/>
      <c r="LE272" s="1"/>
      <c r="LF272" s="1"/>
      <c r="LG272" s="1"/>
      <c r="LH272" s="1"/>
      <c r="LI272" s="1"/>
      <c r="LJ272" s="1"/>
      <c r="LK272" s="1"/>
      <c r="LL272" s="1"/>
      <c r="LM272" s="1"/>
      <c r="LN272" s="1"/>
      <c r="LO272" s="1"/>
      <c r="LP272" s="1"/>
      <c r="LQ272" s="1"/>
      <c r="LR272" s="1"/>
      <c r="LS272" s="1"/>
    </row>
    <row r="273" spans="1:331" s="40" customFormat="1" x14ac:dyDescent="0.25">
      <c r="A273" s="40" t="s">
        <v>1018</v>
      </c>
      <c r="B273" s="44" t="s">
        <v>1019</v>
      </c>
      <c r="C273" s="94" t="s">
        <v>1651</v>
      </c>
      <c r="D273" s="40">
        <v>0</v>
      </c>
      <c r="H273" s="40" t="s">
        <v>1020</v>
      </c>
      <c r="I273" s="40" t="s">
        <v>1021</v>
      </c>
      <c r="J273" s="40" t="s">
        <v>1022</v>
      </c>
      <c r="K273" s="40" t="s">
        <v>1708</v>
      </c>
      <c r="L273" s="40">
        <v>0</v>
      </c>
      <c r="O273" s="40">
        <v>1</v>
      </c>
      <c r="P273" s="40" t="s">
        <v>1023</v>
      </c>
      <c r="Q273" s="96" t="s">
        <v>1599</v>
      </c>
      <c r="R273" s="96"/>
      <c r="S273" s="40">
        <v>15</v>
      </c>
      <c r="U273" s="40">
        <v>14</v>
      </c>
      <c r="W273" s="96">
        <v>15</v>
      </c>
      <c r="X273" s="96"/>
      <c r="Y273" s="96"/>
      <c r="Z273" s="40">
        <v>8</v>
      </c>
      <c r="AA273" s="94" t="b">
        <v>1</v>
      </c>
      <c r="AB273" s="1"/>
      <c r="AC273" s="57" t="s">
        <v>1437</v>
      </c>
      <c r="AD273" s="1"/>
      <c r="AE273" s="57"/>
      <c r="AF273" s="1"/>
      <c r="AG273" s="1"/>
      <c r="AH273" s="1"/>
      <c r="AI273" s="1"/>
      <c r="AJ273" s="1"/>
      <c r="AK273" s="1"/>
      <c r="AL273" s="1"/>
      <c r="AM273" s="1"/>
      <c r="AN273" s="1"/>
      <c r="AO273" s="1"/>
      <c r="AP273" s="1"/>
      <c r="AQ273" s="1"/>
      <c r="AR273" s="1"/>
      <c r="AS273" s="1"/>
      <c r="AT273" s="1"/>
      <c r="AU273" s="1"/>
      <c r="AV273" s="1"/>
      <c r="AW273" s="1"/>
      <c r="AX273" s="1"/>
      <c r="AY273" s="1"/>
      <c r="AZ273" s="1"/>
      <c r="BA273" s="1"/>
      <c r="BB273" s="1"/>
      <c r="BC273" s="1"/>
      <c r="BD273" s="1"/>
      <c r="BE273" s="1"/>
      <c r="BF273" s="1"/>
      <c r="BG273" s="1"/>
      <c r="BH273" s="1"/>
      <c r="BI273" s="1"/>
      <c r="BJ273" s="1"/>
      <c r="BK273" s="1"/>
      <c r="BL273" s="1"/>
      <c r="BM273" s="1"/>
      <c r="BN273" s="1"/>
      <c r="BO273" s="1"/>
      <c r="BP273" s="1"/>
      <c r="BQ273" s="1"/>
      <c r="BR273" s="1"/>
      <c r="BS273" s="1"/>
      <c r="BT273" s="1"/>
      <c r="BU273" s="1"/>
      <c r="BV273" s="1"/>
      <c r="BW273" s="1"/>
      <c r="BX273" s="1"/>
      <c r="BY273" s="1"/>
      <c r="BZ273" s="1"/>
      <c r="CA273" s="1"/>
      <c r="CB273" s="1"/>
      <c r="CC273" s="1"/>
      <c r="CD273" s="1"/>
      <c r="CE273" s="1"/>
      <c r="CF273" s="1"/>
      <c r="CG273" s="1"/>
      <c r="CH273" s="1"/>
      <c r="CI273" s="1"/>
      <c r="CJ273" s="1"/>
      <c r="CK273" s="1"/>
      <c r="CL273" s="1"/>
      <c r="CM273" s="1"/>
      <c r="CN273" s="1"/>
      <c r="CO273" s="1"/>
      <c r="CP273" s="1"/>
      <c r="CQ273" s="1"/>
      <c r="CR273" s="1"/>
      <c r="CS273" s="1"/>
      <c r="CT273" s="1"/>
      <c r="CU273" s="1"/>
      <c r="CV273" s="1"/>
      <c r="CW273" s="1"/>
      <c r="CX273" s="1"/>
      <c r="CY273" s="1"/>
      <c r="CZ273" s="1"/>
      <c r="DA273" s="1"/>
      <c r="DB273" s="1"/>
      <c r="DC273" s="1"/>
      <c r="DD273" s="1"/>
      <c r="DE273" s="1"/>
      <c r="DF273" s="1"/>
      <c r="DG273" s="1"/>
      <c r="DH273" s="1"/>
      <c r="DI273" s="1"/>
      <c r="DJ273" s="1"/>
      <c r="DK273" s="1"/>
      <c r="DL273" s="1"/>
      <c r="DM273" s="1"/>
      <c r="DN273" s="1"/>
      <c r="DO273" s="1"/>
      <c r="DP273" s="1"/>
      <c r="DQ273" s="1"/>
      <c r="DR273" s="1"/>
      <c r="DS273" s="1"/>
      <c r="DT273" s="1"/>
      <c r="DU273" s="1"/>
      <c r="DV273" s="1"/>
      <c r="DW273" s="1"/>
      <c r="DX273" s="1"/>
      <c r="DY273" s="1"/>
      <c r="DZ273" s="1"/>
      <c r="EA273" s="1"/>
      <c r="EB273" s="1"/>
      <c r="EC273" s="1"/>
      <c r="ED273" s="1"/>
      <c r="EE273" s="1"/>
      <c r="EF273" s="1"/>
      <c r="EG273" s="1"/>
      <c r="EH273" s="1"/>
      <c r="EI273" s="1"/>
      <c r="EJ273" s="1"/>
      <c r="EK273" s="1"/>
      <c r="EL273" s="1"/>
      <c r="EM273" s="1"/>
      <c r="EN273" s="1"/>
      <c r="EO273" s="1"/>
      <c r="EP273" s="1"/>
      <c r="EQ273" s="1"/>
      <c r="ER273" s="1"/>
      <c r="ES273" s="1"/>
      <c r="ET273" s="1"/>
      <c r="EU273" s="1"/>
      <c r="EV273" s="1"/>
      <c r="EW273" s="1"/>
      <c r="EX273" s="1"/>
      <c r="EY273" s="1"/>
      <c r="EZ273" s="1"/>
      <c r="FA273" s="1"/>
      <c r="FB273" s="1"/>
      <c r="FC273" s="1"/>
      <c r="FD273" s="1"/>
      <c r="FE273" s="1"/>
      <c r="FF273" s="1"/>
      <c r="FG273" s="1"/>
      <c r="FH273" s="1"/>
      <c r="FI273" s="1"/>
      <c r="FJ273" s="1"/>
      <c r="FK273" s="1"/>
      <c r="FL273" s="1"/>
      <c r="FM273" s="1"/>
      <c r="FN273" s="1"/>
      <c r="FO273" s="1"/>
      <c r="FP273" s="1"/>
      <c r="FQ273" s="1"/>
      <c r="FR273" s="1"/>
      <c r="FS273" s="1"/>
      <c r="FT273" s="1"/>
      <c r="FU273" s="1"/>
      <c r="FV273" s="1"/>
      <c r="FW273" s="1"/>
      <c r="FX273" s="1"/>
      <c r="FY273" s="1"/>
      <c r="FZ273" s="1"/>
      <c r="GA273" s="1"/>
      <c r="GB273" s="1"/>
      <c r="GC273" s="1"/>
      <c r="GD273" s="1"/>
      <c r="GE273" s="1"/>
      <c r="GF273" s="1"/>
      <c r="GG273" s="1"/>
      <c r="GH273" s="1"/>
      <c r="GI273" s="1"/>
      <c r="GJ273" s="1"/>
      <c r="GK273" s="1"/>
      <c r="GL273" s="1"/>
      <c r="GM273" s="1"/>
      <c r="GN273" s="1"/>
      <c r="GO273" s="1"/>
      <c r="GP273" s="1"/>
      <c r="GQ273" s="1"/>
      <c r="GR273" s="1"/>
      <c r="GS273" s="1"/>
      <c r="GT273" s="1"/>
      <c r="GU273" s="1"/>
      <c r="GV273" s="1"/>
      <c r="GW273" s="1"/>
      <c r="GX273" s="1"/>
      <c r="GY273" s="1"/>
      <c r="GZ273" s="1"/>
      <c r="HA273" s="1"/>
      <c r="HB273" s="1"/>
      <c r="HC273" s="1"/>
      <c r="HD273" s="1"/>
      <c r="HE273" s="1"/>
      <c r="HF273" s="1"/>
      <c r="HG273" s="1"/>
      <c r="HH273" s="1"/>
      <c r="HI273" s="1"/>
      <c r="HJ273" s="1"/>
      <c r="HK273" s="1"/>
      <c r="HL273" s="1"/>
      <c r="HM273" s="1"/>
      <c r="HN273" s="1"/>
      <c r="HO273" s="1"/>
      <c r="HP273" s="1"/>
      <c r="HQ273" s="1"/>
      <c r="HR273" s="1"/>
      <c r="HS273" s="1"/>
      <c r="HT273" s="1"/>
      <c r="HU273" s="1"/>
      <c r="HV273" s="1"/>
      <c r="HW273" s="1"/>
      <c r="HX273" s="1"/>
      <c r="HY273" s="1"/>
      <c r="HZ273" s="1"/>
      <c r="IA273" s="1"/>
      <c r="IB273" s="1"/>
      <c r="IC273" s="1"/>
      <c r="ID273" s="1"/>
      <c r="IE273" s="1"/>
      <c r="IF273" s="1"/>
      <c r="IG273" s="1"/>
      <c r="IH273" s="1"/>
      <c r="II273" s="1"/>
      <c r="IJ273" s="1"/>
      <c r="IK273" s="1"/>
      <c r="IL273" s="1"/>
      <c r="IM273" s="1"/>
      <c r="IN273" s="1"/>
      <c r="IO273" s="1"/>
      <c r="IP273" s="1"/>
      <c r="IQ273" s="1"/>
      <c r="IR273" s="1"/>
      <c r="IS273" s="1"/>
      <c r="IT273" s="1"/>
      <c r="IU273" s="1"/>
      <c r="IV273" s="1"/>
      <c r="IW273" s="1"/>
      <c r="IX273" s="1"/>
      <c r="IY273" s="1"/>
      <c r="IZ273" s="1"/>
      <c r="JA273" s="1"/>
      <c r="JB273" s="1"/>
      <c r="JC273" s="1"/>
      <c r="JD273" s="1"/>
      <c r="JE273" s="1"/>
      <c r="JF273" s="1"/>
      <c r="JG273" s="1"/>
      <c r="JH273" s="1"/>
      <c r="JI273" s="1"/>
      <c r="JJ273" s="1"/>
      <c r="JK273" s="1"/>
      <c r="JL273" s="1"/>
      <c r="JM273" s="1"/>
      <c r="JN273" s="1"/>
      <c r="JO273" s="1"/>
      <c r="JP273" s="1"/>
      <c r="JQ273" s="1"/>
      <c r="JR273" s="1"/>
      <c r="JS273" s="1"/>
      <c r="JT273" s="1"/>
      <c r="JU273" s="1"/>
      <c r="JV273" s="1"/>
      <c r="JW273" s="1"/>
      <c r="JX273" s="1"/>
      <c r="JY273" s="1"/>
      <c r="JZ273" s="1"/>
      <c r="KA273" s="1"/>
      <c r="KB273" s="1"/>
      <c r="KC273" s="1"/>
      <c r="KD273" s="1"/>
      <c r="KE273" s="1"/>
      <c r="KF273" s="1"/>
      <c r="KG273" s="1"/>
      <c r="KH273" s="1"/>
      <c r="KI273" s="1"/>
      <c r="KJ273" s="1"/>
      <c r="KK273" s="1"/>
      <c r="KL273" s="1"/>
      <c r="KM273" s="1"/>
      <c r="KN273" s="1"/>
      <c r="KO273" s="1"/>
      <c r="KP273" s="1"/>
      <c r="KQ273" s="1"/>
      <c r="KR273" s="1"/>
      <c r="KS273" s="1"/>
      <c r="KT273" s="1"/>
      <c r="KU273" s="1"/>
      <c r="KV273" s="1"/>
      <c r="KW273" s="1"/>
      <c r="KX273" s="1"/>
      <c r="KY273" s="1"/>
      <c r="KZ273" s="1"/>
      <c r="LA273" s="1"/>
      <c r="LB273" s="1"/>
      <c r="LC273" s="1"/>
      <c r="LD273" s="1"/>
      <c r="LE273" s="1"/>
      <c r="LF273" s="1"/>
      <c r="LG273" s="1"/>
      <c r="LH273" s="1"/>
      <c r="LI273" s="1"/>
      <c r="LJ273" s="1"/>
      <c r="LK273" s="1"/>
      <c r="LL273" s="1"/>
      <c r="LM273" s="1"/>
      <c r="LN273" s="1"/>
      <c r="LO273" s="1"/>
      <c r="LP273" s="1"/>
      <c r="LQ273" s="1"/>
      <c r="LR273" s="1"/>
      <c r="LS273" s="1"/>
    </row>
    <row r="274" spans="1:331" s="40" customFormat="1" x14ac:dyDescent="0.25">
      <c r="A274" s="40" t="s">
        <v>1024</v>
      </c>
      <c r="B274" s="44" t="s">
        <v>1025</v>
      </c>
      <c r="C274" s="94" t="s">
        <v>1651</v>
      </c>
      <c r="D274" s="40">
        <v>0</v>
      </c>
      <c r="H274" s="40" t="s">
        <v>1026</v>
      </c>
      <c r="I274" s="40" t="s">
        <v>1027</v>
      </c>
      <c r="J274" s="40" t="s">
        <v>1028</v>
      </c>
      <c r="K274" s="40" t="s">
        <v>1709</v>
      </c>
      <c r="L274" s="40">
        <v>0</v>
      </c>
      <c r="O274" s="40">
        <v>1</v>
      </c>
      <c r="P274" s="40" t="s">
        <v>1029</v>
      </c>
      <c r="Q274" s="96" t="s">
        <v>1184</v>
      </c>
      <c r="R274" s="96"/>
      <c r="S274" s="40">
        <v>12</v>
      </c>
      <c r="U274" s="40">
        <v>17</v>
      </c>
      <c r="W274" s="96">
        <v>12</v>
      </c>
      <c r="X274" s="96"/>
      <c r="Y274" s="96"/>
      <c r="Z274" s="40">
        <v>8</v>
      </c>
      <c r="AA274" s="94" t="b">
        <v>1</v>
      </c>
      <c r="AB274" s="1" t="s">
        <v>1898</v>
      </c>
      <c r="AC274" s="57" t="s">
        <v>1382</v>
      </c>
      <c r="AD274" s="1"/>
      <c r="AE274" s="57"/>
      <c r="AF274" s="1"/>
      <c r="AG274" s="1"/>
      <c r="AH274" s="1"/>
      <c r="AI274" s="1"/>
      <c r="AJ274" s="1"/>
      <c r="AK274" s="1"/>
      <c r="AL274" s="1"/>
      <c r="AM274" s="1"/>
      <c r="AN274" s="1"/>
      <c r="AO274" s="1"/>
      <c r="AP274" s="1"/>
      <c r="AQ274" s="1"/>
      <c r="AR274" s="1"/>
      <c r="AS274" s="1"/>
      <c r="AT274" s="1"/>
      <c r="AU274" s="1"/>
      <c r="AV274" s="1"/>
      <c r="AW274" s="1"/>
      <c r="AX274" s="1"/>
      <c r="AY274" s="1"/>
      <c r="AZ274" s="1"/>
      <c r="BA274" s="1"/>
      <c r="BB274" s="1"/>
      <c r="BC274" s="1"/>
      <c r="BD274" s="1"/>
      <c r="BE274" s="1"/>
      <c r="BF274" s="1"/>
      <c r="BG274" s="1"/>
      <c r="BH274" s="1"/>
      <c r="BI274" s="1"/>
      <c r="BJ274" s="1"/>
      <c r="BK274" s="1"/>
      <c r="BL274" s="1"/>
      <c r="BM274" s="1"/>
      <c r="BN274" s="1"/>
      <c r="BO274" s="1"/>
      <c r="BP274" s="1"/>
      <c r="BQ274" s="1"/>
      <c r="BR274" s="1"/>
      <c r="BS274" s="1"/>
      <c r="BT274" s="1"/>
      <c r="BU274" s="1"/>
      <c r="BV274" s="1"/>
      <c r="BW274" s="1"/>
      <c r="BX274" s="1"/>
      <c r="BY274" s="1"/>
      <c r="BZ274" s="1"/>
      <c r="CA274" s="1"/>
      <c r="CB274" s="1"/>
      <c r="CC274" s="1"/>
      <c r="CD274" s="1"/>
      <c r="CE274" s="1"/>
      <c r="CF274" s="1"/>
      <c r="CG274" s="1"/>
      <c r="CH274" s="1"/>
      <c r="CI274" s="1"/>
      <c r="CJ274" s="1"/>
      <c r="CK274" s="1"/>
      <c r="CL274" s="1"/>
      <c r="CM274" s="1"/>
      <c r="CN274" s="1"/>
      <c r="CO274" s="1"/>
      <c r="CP274" s="1"/>
      <c r="CQ274" s="1"/>
      <c r="CR274" s="1"/>
      <c r="CS274" s="1"/>
      <c r="CT274" s="1"/>
      <c r="CU274" s="1"/>
      <c r="CV274" s="1"/>
      <c r="CW274" s="1"/>
      <c r="CX274" s="1"/>
      <c r="CY274" s="1"/>
      <c r="CZ274" s="1"/>
      <c r="DA274" s="1"/>
      <c r="DB274" s="1"/>
      <c r="DC274" s="1"/>
      <c r="DD274" s="1"/>
      <c r="DE274" s="1"/>
      <c r="DF274" s="1"/>
      <c r="DG274" s="1"/>
      <c r="DH274" s="1"/>
      <c r="DI274" s="1"/>
      <c r="DJ274" s="1"/>
      <c r="DK274" s="1"/>
      <c r="DL274" s="1"/>
      <c r="DM274" s="1"/>
      <c r="DN274" s="1"/>
      <c r="DO274" s="1"/>
      <c r="DP274" s="1"/>
      <c r="DQ274" s="1"/>
      <c r="DR274" s="1"/>
      <c r="DS274" s="1"/>
      <c r="DT274" s="1"/>
      <c r="DU274" s="1"/>
      <c r="DV274" s="1"/>
      <c r="DW274" s="1"/>
      <c r="DX274" s="1"/>
      <c r="DY274" s="1"/>
      <c r="DZ274" s="1"/>
      <c r="EA274" s="1"/>
      <c r="EB274" s="1"/>
      <c r="EC274" s="1"/>
      <c r="ED274" s="1"/>
      <c r="EE274" s="1"/>
      <c r="EF274" s="1"/>
      <c r="EG274" s="1"/>
      <c r="EH274" s="1"/>
      <c r="EI274" s="1"/>
      <c r="EJ274" s="1"/>
      <c r="EK274" s="1"/>
      <c r="EL274" s="1"/>
      <c r="EM274" s="1"/>
      <c r="EN274" s="1"/>
      <c r="EO274" s="1"/>
      <c r="EP274" s="1"/>
      <c r="EQ274" s="1"/>
      <c r="ER274" s="1"/>
      <c r="ES274" s="1"/>
      <c r="ET274" s="1"/>
      <c r="EU274" s="1"/>
      <c r="EV274" s="1"/>
      <c r="EW274" s="1"/>
      <c r="EX274" s="1"/>
      <c r="EY274" s="1"/>
      <c r="EZ274" s="1"/>
      <c r="FA274" s="1"/>
      <c r="FB274" s="1"/>
      <c r="FC274" s="1"/>
      <c r="FD274" s="1"/>
      <c r="FE274" s="1"/>
      <c r="FF274" s="1"/>
      <c r="FG274" s="1"/>
      <c r="FH274" s="1"/>
      <c r="FI274" s="1"/>
      <c r="FJ274" s="1"/>
      <c r="FK274" s="1"/>
      <c r="FL274" s="1"/>
      <c r="FM274" s="1"/>
      <c r="FN274" s="1"/>
      <c r="FO274" s="1"/>
      <c r="FP274" s="1"/>
      <c r="FQ274" s="1"/>
      <c r="FR274" s="1"/>
      <c r="FS274" s="1"/>
      <c r="FT274" s="1"/>
      <c r="FU274" s="1"/>
      <c r="FV274" s="1"/>
      <c r="FW274" s="1"/>
      <c r="FX274" s="1"/>
      <c r="FY274" s="1"/>
      <c r="FZ274" s="1"/>
      <c r="GA274" s="1"/>
      <c r="GB274" s="1"/>
      <c r="GC274" s="1"/>
      <c r="GD274" s="1"/>
      <c r="GE274" s="1"/>
      <c r="GF274" s="1"/>
      <c r="GG274" s="1"/>
      <c r="GH274" s="1"/>
      <c r="GI274" s="1"/>
      <c r="GJ274" s="1"/>
      <c r="GK274" s="1"/>
      <c r="GL274" s="1"/>
      <c r="GM274" s="1"/>
      <c r="GN274" s="1"/>
      <c r="GO274" s="1"/>
      <c r="GP274" s="1"/>
      <c r="GQ274" s="1"/>
      <c r="GR274" s="1"/>
      <c r="GS274" s="1"/>
      <c r="GT274" s="1"/>
      <c r="GU274" s="1"/>
      <c r="GV274" s="1"/>
      <c r="GW274" s="1"/>
      <c r="GX274" s="1"/>
      <c r="GY274" s="1"/>
      <c r="GZ274" s="1"/>
      <c r="HA274" s="1"/>
      <c r="HB274" s="1"/>
      <c r="HC274" s="1"/>
      <c r="HD274" s="1"/>
      <c r="HE274" s="1"/>
      <c r="HF274" s="1"/>
      <c r="HG274" s="1"/>
      <c r="HH274" s="1"/>
      <c r="HI274" s="1"/>
      <c r="HJ274" s="1"/>
      <c r="HK274" s="1"/>
      <c r="HL274" s="1"/>
      <c r="HM274" s="1"/>
      <c r="HN274" s="1"/>
      <c r="HO274" s="1"/>
      <c r="HP274" s="1"/>
      <c r="HQ274" s="1"/>
      <c r="HR274" s="1"/>
      <c r="HS274" s="1"/>
      <c r="HT274" s="1"/>
      <c r="HU274" s="1"/>
      <c r="HV274" s="1"/>
      <c r="HW274" s="1"/>
      <c r="HX274" s="1"/>
      <c r="HY274" s="1"/>
      <c r="HZ274" s="1"/>
      <c r="IA274" s="1"/>
      <c r="IB274" s="1"/>
      <c r="IC274" s="1"/>
      <c r="ID274" s="1"/>
      <c r="IE274" s="1"/>
      <c r="IF274" s="1"/>
      <c r="IG274" s="1"/>
      <c r="IH274" s="1"/>
      <c r="II274" s="1"/>
      <c r="IJ274" s="1"/>
      <c r="IK274" s="1"/>
      <c r="IL274" s="1"/>
      <c r="IM274" s="1"/>
      <c r="IN274" s="1"/>
      <c r="IO274" s="1"/>
      <c r="IP274" s="1"/>
      <c r="IQ274" s="1"/>
      <c r="IR274" s="1"/>
      <c r="IS274" s="1"/>
      <c r="IT274" s="1"/>
      <c r="IU274" s="1"/>
      <c r="IV274" s="1"/>
      <c r="IW274" s="1"/>
      <c r="IX274" s="1"/>
      <c r="IY274" s="1"/>
      <c r="IZ274" s="1"/>
      <c r="JA274" s="1"/>
      <c r="JB274" s="1"/>
      <c r="JC274" s="1"/>
      <c r="JD274" s="1"/>
      <c r="JE274" s="1"/>
      <c r="JF274" s="1"/>
      <c r="JG274" s="1"/>
      <c r="JH274" s="1"/>
      <c r="JI274" s="1"/>
      <c r="JJ274" s="1"/>
      <c r="JK274" s="1"/>
      <c r="JL274" s="1"/>
      <c r="JM274" s="1"/>
      <c r="JN274" s="1"/>
      <c r="JO274" s="1"/>
      <c r="JP274" s="1"/>
      <c r="JQ274" s="1"/>
      <c r="JR274" s="1"/>
      <c r="JS274" s="1"/>
      <c r="JT274" s="1"/>
      <c r="JU274" s="1"/>
      <c r="JV274" s="1"/>
      <c r="JW274" s="1"/>
      <c r="JX274" s="1"/>
      <c r="JY274" s="1"/>
      <c r="JZ274" s="1"/>
      <c r="KA274" s="1"/>
      <c r="KB274" s="1"/>
      <c r="KC274" s="1"/>
      <c r="KD274" s="1"/>
      <c r="KE274" s="1"/>
      <c r="KF274" s="1"/>
      <c r="KG274" s="1"/>
      <c r="KH274" s="1"/>
      <c r="KI274" s="1"/>
      <c r="KJ274" s="1"/>
      <c r="KK274" s="1"/>
      <c r="KL274" s="1"/>
      <c r="KM274" s="1"/>
      <c r="KN274" s="1"/>
      <c r="KO274" s="1"/>
      <c r="KP274" s="1"/>
      <c r="KQ274" s="1"/>
      <c r="KR274" s="1"/>
      <c r="KS274" s="1"/>
      <c r="KT274" s="1"/>
      <c r="KU274" s="1"/>
      <c r="KV274" s="1"/>
      <c r="KW274" s="1"/>
      <c r="KX274" s="1"/>
      <c r="KY274" s="1"/>
      <c r="KZ274" s="1"/>
      <c r="LA274" s="1"/>
      <c r="LB274" s="1"/>
      <c r="LC274" s="1"/>
      <c r="LD274" s="1"/>
      <c r="LE274" s="1"/>
      <c r="LF274" s="1"/>
      <c r="LG274" s="1"/>
      <c r="LH274" s="1"/>
      <c r="LI274" s="1"/>
      <c r="LJ274" s="1"/>
      <c r="LK274" s="1"/>
      <c r="LL274" s="1"/>
      <c r="LM274" s="1"/>
      <c r="LN274" s="1"/>
      <c r="LO274" s="1"/>
      <c r="LP274" s="1"/>
      <c r="LQ274" s="1"/>
      <c r="LR274" s="1"/>
      <c r="LS274" s="1"/>
    </row>
    <row r="275" spans="1:331" s="68" customFormat="1" x14ac:dyDescent="0.25">
      <c r="A275" s="68" t="s">
        <v>1030</v>
      </c>
      <c r="B275" s="70" t="s">
        <v>1031</v>
      </c>
      <c r="C275" s="94" t="s">
        <v>1651</v>
      </c>
      <c r="D275" s="68">
        <v>1</v>
      </c>
      <c r="E275" s="68" t="s">
        <v>1032</v>
      </c>
      <c r="H275" s="68" t="s">
        <v>1033</v>
      </c>
      <c r="I275" s="68" t="s">
        <v>1032</v>
      </c>
      <c r="J275" s="68" t="s">
        <v>1033</v>
      </c>
      <c r="K275" s="68" t="s">
        <v>1033</v>
      </c>
      <c r="L275" s="68">
        <v>0</v>
      </c>
      <c r="O275" s="68">
        <v>1</v>
      </c>
      <c r="P275" s="68" t="s">
        <v>1034</v>
      </c>
      <c r="Q275" s="96"/>
      <c r="R275" s="96" t="s">
        <v>1035</v>
      </c>
      <c r="T275" s="68">
        <v>15</v>
      </c>
      <c r="V275" s="68">
        <v>15</v>
      </c>
      <c r="W275" s="96">
        <v>15</v>
      </c>
      <c r="X275" s="96"/>
      <c r="Y275" s="96"/>
      <c r="Z275" s="68">
        <v>13</v>
      </c>
      <c r="AA275" s="94" t="b">
        <v>1</v>
      </c>
      <c r="AB275" s="1"/>
      <c r="AC275" s="57" t="s">
        <v>1430</v>
      </c>
      <c r="AD275" s="1"/>
      <c r="AE275" s="57"/>
      <c r="AF275" s="1"/>
      <c r="AG275" s="1"/>
      <c r="AH275" s="1"/>
      <c r="AI275" s="1"/>
      <c r="AJ275" s="1"/>
      <c r="AK275" s="1"/>
      <c r="AL275" s="1"/>
      <c r="AM275" s="1"/>
      <c r="AN275" s="1"/>
      <c r="AO275" s="1"/>
      <c r="AP275" s="1"/>
      <c r="AQ275" s="1"/>
      <c r="AR275" s="1"/>
      <c r="AS275" s="1"/>
      <c r="AT275" s="1"/>
      <c r="AU275" s="1"/>
      <c r="AV275" s="1"/>
      <c r="AW275" s="1"/>
      <c r="AX275" s="1"/>
      <c r="AY275" s="1"/>
      <c r="AZ275" s="1"/>
      <c r="BA275" s="1"/>
      <c r="BB275" s="1"/>
      <c r="BC275" s="1"/>
      <c r="BD275" s="1"/>
      <c r="BE275" s="1"/>
      <c r="BF275" s="1"/>
      <c r="BG275" s="1"/>
      <c r="BH275" s="1"/>
      <c r="BI275" s="1"/>
      <c r="BJ275" s="1"/>
      <c r="BK275" s="1"/>
      <c r="BL275" s="1"/>
      <c r="BM275" s="1"/>
      <c r="BN275" s="1"/>
      <c r="BO275" s="1"/>
      <c r="BP275" s="1"/>
      <c r="BQ275" s="1"/>
      <c r="BR275" s="1"/>
      <c r="BS275" s="1"/>
      <c r="BT275" s="1"/>
      <c r="BU275" s="1"/>
      <c r="BV275" s="1"/>
    </row>
    <row r="276" spans="1:331" s="25" customFormat="1" x14ac:dyDescent="0.25">
      <c r="A276" s="25" t="s">
        <v>1036</v>
      </c>
      <c r="B276" s="29" t="s">
        <v>1037</v>
      </c>
      <c r="C276" s="94" t="s">
        <v>1651</v>
      </c>
      <c r="D276" s="25">
        <v>0</v>
      </c>
      <c r="H276" s="25" t="s">
        <v>1038</v>
      </c>
      <c r="I276" s="25" t="s">
        <v>1039</v>
      </c>
      <c r="J276" s="25" t="s">
        <v>1039</v>
      </c>
      <c r="K276" s="25" t="s">
        <v>1039</v>
      </c>
      <c r="L276" s="25">
        <v>0</v>
      </c>
      <c r="O276" s="25">
        <v>0</v>
      </c>
      <c r="Q276" s="96" t="s">
        <v>1600</v>
      </c>
      <c r="R276" s="96"/>
      <c r="S276" s="25">
        <v>8</v>
      </c>
      <c r="U276" s="25">
        <v>9</v>
      </c>
      <c r="W276" s="96">
        <v>8</v>
      </c>
      <c r="X276" s="96"/>
      <c r="Y276" s="96"/>
      <c r="Z276" s="25">
        <v>5</v>
      </c>
      <c r="AA276" s="94" t="b">
        <v>1</v>
      </c>
      <c r="AB276" s="1"/>
      <c r="AC276" s="57" t="s">
        <v>1346</v>
      </c>
      <c r="AD276" s="1"/>
      <c r="AE276" s="57"/>
      <c r="AF276" s="1"/>
      <c r="AG276" s="1"/>
      <c r="AH276" s="1"/>
      <c r="AI276" s="1"/>
      <c r="AJ276" s="1"/>
      <c r="AK276" s="1"/>
      <c r="AL276" s="1"/>
      <c r="AM276" s="1"/>
      <c r="AN276" s="1"/>
      <c r="AO276" s="1"/>
      <c r="AP276" s="1"/>
      <c r="AQ276" s="1"/>
      <c r="AR276" s="1"/>
      <c r="AS276" s="1"/>
      <c r="AT276" s="1"/>
      <c r="AU276" s="1"/>
      <c r="AV276" s="1"/>
      <c r="AW276" s="1"/>
      <c r="AX276" s="1"/>
      <c r="AY276" s="1"/>
      <c r="AZ276" s="1"/>
      <c r="BA276" s="1"/>
      <c r="BB276" s="1"/>
      <c r="BC276" s="1"/>
      <c r="BD276" s="1"/>
      <c r="BE276" s="1"/>
      <c r="BF276" s="1"/>
      <c r="BG276" s="1"/>
      <c r="BH276" s="1"/>
      <c r="BI276" s="1"/>
      <c r="BJ276" s="1"/>
      <c r="BK276" s="1"/>
      <c r="BL276" s="1"/>
      <c r="BM276" s="1"/>
      <c r="BN276" s="1"/>
      <c r="BO276" s="1"/>
      <c r="BP276" s="1"/>
      <c r="BQ276" s="1"/>
      <c r="BR276" s="1"/>
      <c r="BS276" s="1"/>
      <c r="BT276" s="1"/>
      <c r="BU276" s="1"/>
      <c r="BV276" s="1"/>
      <c r="BW276" s="1"/>
      <c r="BX276" s="1"/>
      <c r="BY276" s="1"/>
      <c r="BZ276" s="1"/>
      <c r="CA276" s="1"/>
      <c r="CB276" s="1"/>
      <c r="CC276" s="1"/>
      <c r="CD276" s="1"/>
      <c r="CE276" s="1"/>
      <c r="CF276" s="1"/>
      <c r="CG276" s="1"/>
      <c r="CH276" s="1"/>
      <c r="CI276" s="1"/>
      <c r="CJ276" s="1"/>
      <c r="CK276" s="1"/>
      <c r="CL276" s="1"/>
      <c r="CM276" s="1"/>
      <c r="CN276" s="1"/>
      <c r="CO276" s="1"/>
      <c r="CP276" s="1"/>
      <c r="CQ276" s="1"/>
      <c r="CR276" s="1"/>
      <c r="CS276" s="1"/>
      <c r="CT276" s="1"/>
      <c r="CU276" s="1"/>
      <c r="CV276" s="1"/>
      <c r="CW276" s="1"/>
      <c r="CX276" s="1"/>
      <c r="CY276" s="1"/>
      <c r="CZ276" s="1"/>
      <c r="DA276" s="1"/>
      <c r="DB276" s="1"/>
      <c r="DC276" s="1"/>
      <c r="DD276" s="1"/>
      <c r="DE276" s="1"/>
      <c r="DF276" s="1"/>
      <c r="DG276" s="1"/>
      <c r="DH276" s="1"/>
      <c r="DI276" s="1"/>
      <c r="DJ276" s="1"/>
      <c r="DK276" s="1"/>
      <c r="DL276" s="1"/>
      <c r="DM276" s="1"/>
      <c r="DN276" s="1"/>
      <c r="DO276" s="1"/>
      <c r="DP276" s="1"/>
      <c r="DQ276" s="1"/>
      <c r="DR276" s="1"/>
      <c r="DS276" s="1"/>
      <c r="DT276" s="1"/>
      <c r="DU276" s="1"/>
      <c r="DV276" s="1"/>
      <c r="DW276" s="1"/>
      <c r="DX276" s="1"/>
      <c r="DY276" s="1"/>
      <c r="DZ276" s="1"/>
      <c r="EA276" s="1"/>
      <c r="EB276" s="1"/>
      <c r="EC276" s="1"/>
      <c r="ED276" s="1"/>
      <c r="EE276" s="1"/>
      <c r="EF276" s="1"/>
      <c r="EG276" s="1"/>
      <c r="EH276" s="1"/>
      <c r="EI276" s="1"/>
      <c r="EJ276" s="1"/>
      <c r="EK276" s="1"/>
      <c r="EL276" s="1"/>
      <c r="EM276" s="1"/>
      <c r="EN276" s="1"/>
      <c r="EO276" s="1"/>
      <c r="EP276" s="1"/>
      <c r="EQ276" s="1"/>
      <c r="ER276" s="1"/>
      <c r="ES276" s="1"/>
      <c r="ET276" s="1"/>
      <c r="EU276" s="1"/>
      <c r="EV276" s="1"/>
      <c r="EW276" s="1"/>
      <c r="EX276" s="1"/>
      <c r="EY276" s="1"/>
      <c r="EZ276" s="1"/>
      <c r="FA276" s="1"/>
      <c r="FB276" s="1"/>
      <c r="FC276" s="1"/>
      <c r="FD276" s="1"/>
      <c r="FE276" s="1"/>
      <c r="FF276" s="1"/>
      <c r="FG276" s="1"/>
      <c r="FH276" s="1"/>
      <c r="FI276" s="1"/>
      <c r="FJ276" s="1"/>
      <c r="FK276" s="1"/>
      <c r="FL276" s="1"/>
      <c r="FM276" s="1"/>
      <c r="FN276" s="1"/>
      <c r="FO276" s="1"/>
      <c r="FP276" s="1"/>
      <c r="FQ276" s="1"/>
      <c r="FR276" s="1"/>
      <c r="FS276" s="1"/>
      <c r="FT276" s="1"/>
      <c r="FU276" s="1"/>
      <c r="FV276" s="1"/>
      <c r="FW276" s="1"/>
      <c r="FX276" s="1"/>
      <c r="FY276" s="1"/>
      <c r="FZ276" s="1"/>
      <c r="GA276" s="1"/>
      <c r="GB276" s="1"/>
      <c r="GC276" s="1"/>
      <c r="GD276" s="1"/>
      <c r="GE276" s="1"/>
      <c r="GF276" s="1"/>
      <c r="GG276" s="1"/>
      <c r="GH276" s="1"/>
      <c r="GI276" s="1"/>
      <c r="GJ276" s="1"/>
      <c r="GK276" s="1"/>
      <c r="GL276" s="1"/>
      <c r="GM276" s="1"/>
      <c r="GN276" s="1"/>
      <c r="GO276" s="1"/>
      <c r="GP276" s="1"/>
      <c r="GQ276" s="1"/>
      <c r="GR276" s="1"/>
      <c r="GS276" s="1"/>
      <c r="GT276" s="1"/>
      <c r="GU276" s="1"/>
      <c r="GV276" s="1"/>
      <c r="GW276" s="1"/>
      <c r="GX276" s="1"/>
      <c r="GY276" s="1"/>
      <c r="GZ276" s="1"/>
      <c r="HA276" s="1"/>
      <c r="HB276" s="1"/>
      <c r="HC276" s="1"/>
      <c r="HD276" s="1"/>
      <c r="HE276" s="1"/>
      <c r="HF276" s="1"/>
      <c r="HG276" s="1"/>
      <c r="HH276" s="1"/>
      <c r="HI276" s="1"/>
      <c r="HJ276" s="1"/>
      <c r="HK276" s="1"/>
      <c r="HL276" s="1"/>
      <c r="HM276" s="1"/>
      <c r="HN276" s="1"/>
      <c r="HO276" s="1"/>
      <c r="HP276" s="1"/>
      <c r="HQ276" s="1"/>
      <c r="HR276" s="1"/>
      <c r="HS276" s="1"/>
      <c r="HT276" s="1"/>
      <c r="HU276" s="1"/>
      <c r="HV276" s="1"/>
      <c r="HW276" s="1"/>
      <c r="HX276" s="1"/>
      <c r="HY276" s="1"/>
      <c r="HZ276" s="1"/>
      <c r="IA276" s="1"/>
      <c r="IB276" s="1"/>
      <c r="IC276" s="1"/>
      <c r="ID276" s="1"/>
      <c r="IE276" s="1"/>
      <c r="IF276" s="1"/>
      <c r="IG276" s="1"/>
      <c r="IH276" s="1"/>
      <c r="II276" s="1"/>
      <c r="IJ276" s="1"/>
      <c r="IK276" s="1"/>
      <c r="IL276" s="1"/>
      <c r="IM276" s="1"/>
      <c r="IN276" s="1"/>
      <c r="IO276" s="1"/>
      <c r="IP276" s="1"/>
      <c r="IQ276" s="1"/>
      <c r="IR276" s="1"/>
      <c r="IS276" s="1"/>
      <c r="IT276" s="1"/>
      <c r="IU276" s="1"/>
      <c r="IV276" s="1"/>
      <c r="IW276" s="1"/>
      <c r="IX276" s="1"/>
      <c r="IY276" s="1"/>
      <c r="IZ276" s="1"/>
      <c r="JA276" s="1"/>
      <c r="JB276" s="1"/>
      <c r="JC276" s="1"/>
      <c r="JD276" s="1"/>
      <c r="JE276" s="1"/>
      <c r="JF276" s="1"/>
      <c r="JG276" s="1"/>
      <c r="JH276" s="1"/>
      <c r="JI276" s="1"/>
      <c r="JJ276" s="1"/>
      <c r="JK276" s="1"/>
      <c r="JL276" s="1"/>
      <c r="JM276" s="1"/>
      <c r="JN276" s="1"/>
      <c r="JO276" s="1"/>
      <c r="JP276" s="1"/>
      <c r="JQ276" s="1"/>
      <c r="JR276" s="1"/>
      <c r="JS276" s="1"/>
      <c r="JT276" s="1"/>
      <c r="JU276" s="1"/>
      <c r="JV276" s="1"/>
      <c r="JW276" s="1"/>
      <c r="JX276" s="1"/>
      <c r="JY276" s="1"/>
      <c r="JZ276" s="1"/>
      <c r="KA276" s="1"/>
      <c r="KB276" s="1"/>
      <c r="KC276" s="1"/>
      <c r="KD276" s="1"/>
      <c r="KE276" s="1"/>
      <c r="KF276" s="1"/>
      <c r="KG276" s="1"/>
      <c r="KH276" s="1"/>
      <c r="KI276" s="1"/>
      <c r="KJ276" s="1"/>
      <c r="KK276" s="1"/>
      <c r="KL276" s="1"/>
      <c r="KM276" s="1"/>
      <c r="KN276" s="1"/>
      <c r="KO276" s="1"/>
      <c r="KP276" s="1"/>
      <c r="KQ276" s="1"/>
      <c r="KR276" s="1"/>
      <c r="KS276" s="1"/>
      <c r="KT276" s="1"/>
      <c r="KU276" s="1"/>
      <c r="KV276" s="1"/>
      <c r="KW276" s="1"/>
      <c r="KX276" s="1"/>
      <c r="KY276" s="1"/>
      <c r="KZ276" s="1"/>
      <c r="LA276" s="1"/>
      <c r="LB276" s="1"/>
      <c r="LC276" s="1"/>
      <c r="LD276" s="1"/>
      <c r="LE276" s="1"/>
      <c r="LF276" s="1"/>
      <c r="LG276" s="1"/>
      <c r="LH276" s="1"/>
      <c r="LI276" s="1"/>
      <c r="LJ276" s="1"/>
      <c r="LK276" s="1"/>
      <c r="LL276" s="1"/>
      <c r="LM276" s="1"/>
      <c r="LN276" s="1"/>
      <c r="LO276" s="1"/>
      <c r="LP276" s="1"/>
      <c r="LQ276" s="1"/>
      <c r="LR276" s="1"/>
      <c r="LS276" s="1"/>
    </row>
    <row r="277" spans="1:331" s="25" customFormat="1" x14ac:dyDescent="0.25">
      <c r="A277" s="25" t="s">
        <v>1040</v>
      </c>
      <c r="B277" s="29" t="s">
        <v>1041</v>
      </c>
      <c r="C277" s="94" t="s">
        <v>1651</v>
      </c>
      <c r="D277" s="25">
        <v>0</v>
      </c>
      <c r="H277" s="25" t="s">
        <v>1042</v>
      </c>
      <c r="I277" s="25" t="s">
        <v>1043</v>
      </c>
      <c r="J277" s="25" t="s">
        <v>1044</v>
      </c>
      <c r="K277" s="25" t="s">
        <v>1042</v>
      </c>
      <c r="L277" s="25">
        <v>0</v>
      </c>
      <c r="O277" s="25">
        <v>0</v>
      </c>
      <c r="Q277" s="96" t="s">
        <v>1601</v>
      </c>
      <c r="R277" s="96"/>
      <c r="T277" s="25">
        <v>9</v>
      </c>
      <c r="V277" s="25">
        <v>8</v>
      </c>
      <c r="W277" s="96">
        <v>9</v>
      </c>
      <c r="X277" s="96"/>
      <c r="Y277" s="96"/>
      <c r="Z277" s="25">
        <v>5</v>
      </c>
      <c r="AA277" s="94" t="b">
        <v>1</v>
      </c>
      <c r="AB277" s="1"/>
      <c r="AC277" s="57" t="s">
        <v>1347</v>
      </c>
      <c r="AD277" s="1"/>
      <c r="AE277" s="57"/>
      <c r="AF277" s="1"/>
      <c r="AG277" s="1"/>
      <c r="AH277" s="1"/>
      <c r="AI277" s="1"/>
      <c r="AJ277" s="1"/>
      <c r="AK277" s="1"/>
      <c r="AL277" s="1"/>
      <c r="AM277" s="1"/>
      <c r="AN277" s="1"/>
      <c r="AO277" s="1"/>
      <c r="AP277" s="1"/>
      <c r="AQ277" s="1"/>
      <c r="AR277" s="1"/>
      <c r="AS277" s="1"/>
      <c r="AT277" s="1"/>
      <c r="AU277" s="1"/>
      <c r="AV277" s="1"/>
      <c r="AW277" s="1"/>
      <c r="AX277" s="1"/>
      <c r="AY277" s="1"/>
      <c r="AZ277" s="1"/>
      <c r="BA277" s="1"/>
      <c r="BB277" s="1"/>
      <c r="BC277" s="1"/>
      <c r="BD277" s="1"/>
      <c r="BE277" s="1"/>
      <c r="BF277" s="1"/>
      <c r="BG277" s="1"/>
      <c r="BH277" s="1"/>
      <c r="BI277" s="1"/>
      <c r="BJ277" s="1"/>
      <c r="BK277" s="1"/>
      <c r="BL277" s="1"/>
      <c r="BM277" s="1"/>
      <c r="BN277" s="1"/>
      <c r="BO277" s="1"/>
      <c r="BP277" s="1"/>
      <c r="BQ277" s="1"/>
      <c r="BR277" s="1"/>
      <c r="BS277" s="1"/>
      <c r="BT277" s="1"/>
      <c r="BU277" s="1"/>
      <c r="BV277" s="1"/>
      <c r="BW277" s="1"/>
      <c r="BX277" s="1"/>
      <c r="BY277" s="1"/>
      <c r="BZ277" s="1"/>
      <c r="CA277" s="1"/>
      <c r="CB277" s="1"/>
      <c r="CC277" s="1"/>
      <c r="CD277" s="1"/>
      <c r="CE277" s="1"/>
      <c r="CF277" s="1"/>
      <c r="CG277" s="1"/>
      <c r="CH277" s="1"/>
      <c r="CI277" s="1"/>
      <c r="CJ277" s="1"/>
      <c r="CK277" s="1"/>
      <c r="CL277" s="1"/>
      <c r="CM277" s="1"/>
      <c r="CN277" s="1"/>
      <c r="CO277" s="1"/>
      <c r="CP277" s="1"/>
      <c r="CQ277" s="1"/>
      <c r="CR277" s="1"/>
      <c r="CS277" s="1"/>
      <c r="CT277" s="1"/>
      <c r="CU277" s="1"/>
      <c r="CV277" s="1"/>
      <c r="CW277" s="1"/>
      <c r="CX277" s="1"/>
      <c r="CY277" s="1"/>
      <c r="CZ277" s="1"/>
      <c r="DA277" s="1"/>
      <c r="DB277" s="1"/>
      <c r="DC277" s="1"/>
      <c r="DD277" s="1"/>
      <c r="DE277" s="1"/>
      <c r="DF277" s="1"/>
      <c r="DG277" s="1"/>
      <c r="DH277" s="1"/>
      <c r="DI277" s="1"/>
      <c r="DJ277" s="1"/>
      <c r="DK277" s="1"/>
      <c r="DL277" s="1"/>
      <c r="DM277" s="1"/>
      <c r="DN277" s="1"/>
      <c r="DO277" s="1"/>
      <c r="DP277" s="1"/>
      <c r="DQ277" s="1"/>
      <c r="DR277" s="1"/>
      <c r="DS277" s="1"/>
      <c r="DT277" s="1"/>
      <c r="DU277" s="1"/>
      <c r="DV277" s="1"/>
      <c r="DW277" s="1"/>
      <c r="DX277" s="1"/>
      <c r="DY277" s="1"/>
      <c r="DZ277" s="1"/>
      <c r="EA277" s="1"/>
      <c r="EB277" s="1"/>
      <c r="EC277" s="1"/>
      <c r="ED277" s="1"/>
      <c r="EE277" s="1"/>
      <c r="EF277" s="1"/>
      <c r="EG277" s="1"/>
      <c r="EH277" s="1"/>
      <c r="EI277" s="1"/>
      <c r="EJ277" s="1"/>
      <c r="EK277" s="1"/>
      <c r="EL277" s="1"/>
      <c r="EM277" s="1"/>
      <c r="EN277" s="1"/>
      <c r="EO277" s="1"/>
      <c r="EP277" s="1"/>
      <c r="EQ277" s="1"/>
      <c r="ER277" s="1"/>
      <c r="ES277" s="1"/>
      <c r="ET277" s="1"/>
      <c r="EU277" s="1"/>
      <c r="EV277" s="1"/>
      <c r="EW277" s="1"/>
      <c r="EX277" s="1"/>
      <c r="EY277" s="1"/>
      <c r="EZ277" s="1"/>
      <c r="FA277" s="1"/>
      <c r="FB277" s="1"/>
      <c r="FC277" s="1"/>
      <c r="FD277" s="1"/>
      <c r="FE277" s="1"/>
      <c r="FF277" s="1"/>
      <c r="FG277" s="1"/>
      <c r="FH277" s="1"/>
      <c r="FI277" s="1"/>
      <c r="FJ277" s="1"/>
      <c r="FK277" s="1"/>
      <c r="FL277" s="1"/>
      <c r="FM277" s="1"/>
      <c r="FN277" s="1"/>
      <c r="FO277" s="1"/>
      <c r="FP277" s="1"/>
      <c r="FQ277" s="1"/>
      <c r="FR277" s="1"/>
      <c r="FS277" s="1"/>
      <c r="FT277" s="1"/>
      <c r="FU277" s="1"/>
      <c r="FV277" s="1"/>
      <c r="FW277" s="1"/>
      <c r="FX277" s="1"/>
      <c r="FY277" s="1"/>
      <c r="FZ277" s="1"/>
      <c r="GA277" s="1"/>
      <c r="GB277" s="1"/>
      <c r="GC277" s="1"/>
      <c r="GD277" s="1"/>
      <c r="GE277" s="1"/>
      <c r="GF277" s="1"/>
      <c r="GG277" s="1"/>
      <c r="GH277" s="1"/>
      <c r="GI277" s="1"/>
      <c r="GJ277" s="1"/>
      <c r="GK277" s="1"/>
      <c r="GL277" s="1"/>
      <c r="GM277" s="1"/>
      <c r="GN277" s="1"/>
      <c r="GO277" s="1"/>
      <c r="GP277" s="1"/>
      <c r="GQ277" s="1"/>
      <c r="GR277" s="1"/>
      <c r="GS277" s="1"/>
      <c r="GT277" s="1"/>
      <c r="GU277" s="1"/>
      <c r="GV277" s="1"/>
      <c r="GW277" s="1"/>
      <c r="GX277" s="1"/>
      <c r="GY277" s="1"/>
      <c r="GZ277" s="1"/>
      <c r="HA277" s="1"/>
      <c r="HB277" s="1"/>
      <c r="HC277" s="1"/>
      <c r="HD277" s="1"/>
      <c r="HE277" s="1"/>
      <c r="HF277" s="1"/>
      <c r="HG277" s="1"/>
      <c r="HH277" s="1"/>
      <c r="HI277" s="1"/>
      <c r="HJ277" s="1"/>
      <c r="HK277" s="1"/>
      <c r="HL277" s="1"/>
      <c r="HM277" s="1"/>
      <c r="HN277" s="1"/>
      <c r="HO277" s="1"/>
      <c r="HP277" s="1"/>
      <c r="HQ277" s="1"/>
      <c r="HR277" s="1"/>
      <c r="HS277" s="1"/>
      <c r="HT277" s="1"/>
      <c r="HU277" s="1"/>
      <c r="HV277" s="1"/>
      <c r="HW277" s="1"/>
      <c r="HX277" s="1"/>
      <c r="HY277" s="1"/>
      <c r="HZ277" s="1"/>
      <c r="IA277" s="1"/>
      <c r="IB277" s="1"/>
      <c r="IC277" s="1"/>
      <c r="ID277" s="1"/>
      <c r="IE277" s="1"/>
      <c r="IF277" s="1"/>
      <c r="IG277" s="1"/>
      <c r="IH277" s="1"/>
      <c r="II277" s="1"/>
      <c r="IJ277" s="1"/>
      <c r="IK277" s="1"/>
      <c r="IL277" s="1"/>
      <c r="IM277" s="1"/>
      <c r="IN277" s="1"/>
      <c r="IO277" s="1"/>
      <c r="IP277" s="1"/>
      <c r="IQ277" s="1"/>
      <c r="IR277" s="1"/>
      <c r="IS277" s="1"/>
      <c r="IT277" s="1"/>
      <c r="IU277" s="1"/>
      <c r="IV277" s="1"/>
      <c r="IW277" s="1"/>
      <c r="IX277" s="1"/>
      <c r="IY277" s="1"/>
      <c r="IZ277" s="1"/>
      <c r="JA277" s="1"/>
      <c r="JB277" s="1"/>
      <c r="JC277" s="1"/>
      <c r="JD277" s="1"/>
      <c r="JE277" s="1"/>
      <c r="JF277" s="1"/>
      <c r="JG277" s="1"/>
      <c r="JH277" s="1"/>
      <c r="JI277" s="1"/>
      <c r="JJ277" s="1"/>
      <c r="JK277" s="1"/>
      <c r="JL277" s="1"/>
      <c r="JM277" s="1"/>
      <c r="JN277" s="1"/>
      <c r="JO277" s="1"/>
      <c r="JP277" s="1"/>
      <c r="JQ277" s="1"/>
      <c r="JR277" s="1"/>
      <c r="JS277" s="1"/>
      <c r="JT277" s="1"/>
      <c r="JU277" s="1"/>
      <c r="JV277" s="1"/>
      <c r="JW277" s="1"/>
      <c r="JX277" s="1"/>
      <c r="JY277" s="1"/>
      <c r="JZ277" s="1"/>
      <c r="KA277" s="1"/>
      <c r="KB277" s="1"/>
      <c r="KC277" s="1"/>
      <c r="KD277" s="1"/>
      <c r="KE277" s="1"/>
      <c r="KF277" s="1"/>
      <c r="KG277" s="1"/>
      <c r="KH277" s="1"/>
      <c r="KI277" s="1"/>
      <c r="KJ277" s="1"/>
      <c r="KK277" s="1"/>
      <c r="KL277" s="1"/>
      <c r="KM277" s="1"/>
      <c r="KN277" s="1"/>
      <c r="KO277" s="1"/>
      <c r="KP277" s="1"/>
      <c r="KQ277" s="1"/>
      <c r="KR277" s="1"/>
      <c r="KS277" s="1"/>
      <c r="KT277" s="1"/>
      <c r="KU277" s="1"/>
      <c r="KV277" s="1"/>
      <c r="KW277" s="1"/>
      <c r="KX277" s="1"/>
      <c r="KY277" s="1"/>
      <c r="KZ277" s="1"/>
      <c r="LA277" s="1"/>
      <c r="LB277" s="1"/>
      <c r="LC277" s="1"/>
      <c r="LD277" s="1"/>
      <c r="LE277" s="1"/>
      <c r="LF277" s="1"/>
      <c r="LG277" s="1"/>
      <c r="LH277" s="1"/>
      <c r="LI277" s="1"/>
      <c r="LJ277" s="1"/>
      <c r="LK277" s="1"/>
      <c r="LL277" s="1"/>
      <c r="LM277" s="1"/>
      <c r="LN277" s="1"/>
      <c r="LO277" s="1"/>
      <c r="LP277" s="1"/>
      <c r="LQ277" s="1"/>
      <c r="LR277" s="1"/>
      <c r="LS277" s="1"/>
    </row>
    <row r="278" spans="1:331" s="30" customFormat="1" x14ac:dyDescent="0.25">
      <c r="A278" s="30" t="s">
        <v>1045</v>
      </c>
      <c r="B278" s="34" t="s">
        <v>1046</v>
      </c>
      <c r="C278" s="94" t="s">
        <v>1651</v>
      </c>
      <c r="D278" s="30">
        <v>1</v>
      </c>
      <c r="E278" s="30" t="s">
        <v>1047</v>
      </c>
      <c r="H278" s="30" t="s">
        <v>1048</v>
      </c>
      <c r="I278" s="30" t="s">
        <v>1049</v>
      </c>
      <c r="J278" s="30" t="s">
        <v>1048</v>
      </c>
      <c r="K278" s="30" t="s">
        <v>1047</v>
      </c>
      <c r="L278" s="30">
        <v>0</v>
      </c>
      <c r="O278" s="30">
        <v>0</v>
      </c>
      <c r="Q278" s="96" t="s">
        <v>1602</v>
      </c>
      <c r="R278" s="96"/>
      <c r="S278" s="30">
        <v>8</v>
      </c>
      <c r="U278" s="30">
        <v>7</v>
      </c>
      <c r="W278" s="96">
        <v>8</v>
      </c>
      <c r="X278" s="96"/>
      <c r="Y278" s="96"/>
      <c r="Z278" s="30">
        <v>6</v>
      </c>
      <c r="AA278" s="94" t="b">
        <v>1</v>
      </c>
      <c r="AB278" s="1"/>
      <c r="AC278" s="57" t="s">
        <v>1389</v>
      </c>
      <c r="AD278" s="1"/>
      <c r="AE278" s="57"/>
      <c r="AF278" s="1"/>
      <c r="AG278" s="1"/>
      <c r="AH278" s="1"/>
      <c r="AI278" s="1"/>
      <c r="AJ278" s="1"/>
      <c r="AK278" s="1"/>
      <c r="AL278" s="1"/>
      <c r="AM278" s="1"/>
      <c r="AN278" s="1"/>
      <c r="AO278" s="1"/>
      <c r="AP278" s="1"/>
      <c r="AQ278" s="1"/>
      <c r="AR278" s="1"/>
      <c r="AS278" s="1"/>
      <c r="AT278" s="1"/>
      <c r="AU278" s="1"/>
      <c r="AV278" s="1"/>
      <c r="AW278" s="1"/>
      <c r="AX278" s="1"/>
      <c r="AY278" s="1"/>
      <c r="AZ278" s="1"/>
      <c r="BA278" s="1"/>
      <c r="BB278" s="1"/>
      <c r="BC278" s="1"/>
      <c r="BD278" s="1"/>
      <c r="BE278" s="1"/>
      <c r="BF278" s="1"/>
      <c r="BG278" s="1"/>
      <c r="BH278" s="1"/>
      <c r="BI278" s="1"/>
      <c r="BJ278" s="1"/>
      <c r="BK278" s="1"/>
      <c r="BL278" s="1"/>
      <c r="BM278" s="1"/>
      <c r="BN278" s="1"/>
      <c r="BO278" s="1"/>
      <c r="BP278" s="1"/>
      <c r="BQ278" s="1"/>
      <c r="BR278" s="1"/>
      <c r="BS278" s="1"/>
      <c r="BT278" s="1"/>
      <c r="BU278" s="1"/>
      <c r="BV278" s="1"/>
      <c r="BW278" s="1"/>
      <c r="BX278" s="1"/>
      <c r="BY278" s="1"/>
      <c r="BZ278" s="1"/>
      <c r="CA278" s="1"/>
      <c r="CB278" s="1"/>
      <c r="CC278" s="1"/>
      <c r="CD278" s="1"/>
      <c r="CE278" s="1"/>
      <c r="CF278" s="1"/>
      <c r="CG278" s="1"/>
      <c r="CH278" s="1"/>
      <c r="CI278" s="1"/>
      <c r="CJ278" s="1"/>
      <c r="CK278" s="1"/>
      <c r="CL278" s="1"/>
      <c r="CM278" s="1"/>
      <c r="CN278" s="1"/>
      <c r="CO278" s="1"/>
      <c r="CP278" s="1"/>
      <c r="CQ278" s="1"/>
      <c r="CR278" s="1"/>
      <c r="CS278" s="1"/>
      <c r="CT278" s="1"/>
      <c r="CU278" s="1"/>
      <c r="CV278" s="1"/>
      <c r="CW278" s="1"/>
      <c r="CX278" s="1"/>
      <c r="CY278" s="1"/>
      <c r="CZ278" s="1"/>
      <c r="DA278" s="1"/>
      <c r="DB278" s="1"/>
      <c r="DC278" s="1"/>
      <c r="DD278" s="1"/>
      <c r="DE278" s="1"/>
      <c r="DF278" s="1"/>
      <c r="DG278" s="1"/>
      <c r="DH278" s="1"/>
      <c r="DI278" s="1"/>
      <c r="DJ278" s="1"/>
      <c r="DK278" s="1"/>
      <c r="DL278" s="1"/>
      <c r="DM278" s="1"/>
      <c r="DN278" s="1"/>
      <c r="DO278" s="1"/>
      <c r="DP278" s="1"/>
      <c r="DQ278" s="1"/>
      <c r="DR278" s="1"/>
      <c r="DS278" s="1"/>
      <c r="DT278" s="1"/>
      <c r="DU278" s="1"/>
      <c r="DV278" s="1"/>
      <c r="DW278" s="1"/>
      <c r="DX278" s="1"/>
      <c r="DY278" s="1"/>
      <c r="DZ278" s="1"/>
      <c r="EA278" s="1"/>
      <c r="EB278" s="1"/>
      <c r="EC278" s="1"/>
      <c r="ED278" s="1"/>
      <c r="EE278" s="1"/>
      <c r="EF278" s="1"/>
      <c r="EG278" s="1"/>
      <c r="EH278" s="1"/>
      <c r="EI278" s="1"/>
      <c r="EJ278" s="1"/>
      <c r="EK278" s="1"/>
      <c r="EL278" s="1"/>
      <c r="EM278" s="1"/>
      <c r="EN278" s="1"/>
      <c r="EO278" s="1"/>
      <c r="EP278" s="1"/>
      <c r="EQ278" s="1"/>
      <c r="ER278" s="1"/>
      <c r="ES278" s="1"/>
      <c r="ET278" s="1"/>
      <c r="EU278" s="1"/>
      <c r="EV278" s="1"/>
      <c r="EW278" s="1"/>
      <c r="EX278" s="1"/>
      <c r="EY278" s="1"/>
      <c r="EZ278" s="1"/>
      <c r="FA278" s="1"/>
      <c r="FB278" s="1"/>
      <c r="FC278" s="1"/>
      <c r="FD278" s="1"/>
      <c r="FE278" s="1"/>
      <c r="FF278" s="1"/>
      <c r="FG278" s="1"/>
      <c r="FH278" s="1"/>
      <c r="FI278" s="1"/>
      <c r="FJ278" s="1"/>
      <c r="FK278" s="1"/>
      <c r="FL278" s="1"/>
      <c r="FM278" s="1"/>
      <c r="FN278" s="1"/>
      <c r="FO278" s="1"/>
      <c r="FP278" s="1"/>
      <c r="FQ278" s="1"/>
      <c r="FR278" s="1"/>
      <c r="FS278" s="1"/>
      <c r="FT278" s="1"/>
      <c r="FU278" s="1"/>
      <c r="FV278" s="1"/>
      <c r="FW278" s="1"/>
      <c r="FX278" s="1"/>
      <c r="FY278" s="1"/>
      <c r="FZ278" s="1"/>
      <c r="GA278" s="1"/>
      <c r="GB278" s="1"/>
      <c r="GC278" s="1"/>
      <c r="GD278" s="1"/>
      <c r="GE278" s="1"/>
      <c r="GF278" s="1"/>
      <c r="GG278" s="1"/>
      <c r="GH278" s="1"/>
      <c r="GI278" s="1"/>
      <c r="GJ278" s="1"/>
      <c r="GK278" s="1"/>
      <c r="GL278" s="1"/>
      <c r="GM278" s="1"/>
      <c r="GN278" s="1"/>
      <c r="GO278" s="1"/>
      <c r="GP278" s="1"/>
      <c r="GQ278" s="1"/>
      <c r="GR278" s="1"/>
      <c r="GS278" s="1"/>
      <c r="GT278" s="1"/>
      <c r="GU278" s="1"/>
      <c r="GV278" s="1"/>
      <c r="GW278" s="1"/>
      <c r="GX278" s="1"/>
      <c r="GY278" s="1"/>
      <c r="GZ278" s="1"/>
      <c r="HA278" s="1"/>
      <c r="HB278" s="1"/>
      <c r="HC278" s="1"/>
      <c r="HD278" s="1"/>
      <c r="HE278" s="1"/>
      <c r="HF278" s="1"/>
      <c r="HG278" s="1"/>
      <c r="HH278" s="1"/>
      <c r="HI278" s="1"/>
      <c r="HJ278" s="1"/>
      <c r="HK278" s="1"/>
      <c r="HL278" s="1"/>
      <c r="HM278" s="1"/>
      <c r="HN278" s="1"/>
      <c r="HO278" s="1"/>
      <c r="HP278" s="1"/>
      <c r="HQ278" s="1"/>
      <c r="HR278" s="1"/>
      <c r="HS278" s="1"/>
      <c r="HT278" s="1"/>
      <c r="HU278" s="1"/>
      <c r="HV278" s="1"/>
      <c r="HW278" s="1"/>
      <c r="HX278" s="1"/>
      <c r="HY278" s="1"/>
      <c r="HZ278" s="1"/>
      <c r="IA278" s="1"/>
      <c r="IB278" s="1"/>
      <c r="IC278" s="1"/>
      <c r="ID278" s="1"/>
      <c r="IE278" s="1"/>
      <c r="IF278" s="1"/>
      <c r="IG278" s="1"/>
      <c r="IH278" s="1"/>
      <c r="II278" s="1"/>
      <c r="IJ278" s="1"/>
      <c r="IK278" s="1"/>
      <c r="IL278" s="1"/>
      <c r="IM278" s="1"/>
      <c r="IN278" s="1"/>
      <c r="IO278" s="1"/>
      <c r="IP278" s="1"/>
      <c r="IQ278" s="1"/>
      <c r="IR278" s="1"/>
      <c r="IS278" s="1"/>
      <c r="IT278" s="1"/>
      <c r="IU278" s="1"/>
      <c r="IV278" s="1"/>
      <c r="IW278" s="1"/>
      <c r="IX278" s="1"/>
      <c r="IY278" s="1"/>
      <c r="IZ278" s="1"/>
      <c r="JA278" s="1"/>
      <c r="JB278" s="1"/>
      <c r="JC278" s="1"/>
      <c r="JD278" s="1"/>
      <c r="JE278" s="1"/>
      <c r="JF278" s="1"/>
      <c r="JG278" s="1"/>
      <c r="JH278" s="1"/>
      <c r="JI278" s="1"/>
      <c r="JJ278" s="1"/>
      <c r="JK278" s="1"/>
      <c r="JL278" s="1"/>
      <c r="JM278" s="1"/>
      <c r="JN278" s="1"/>
      <c r="JO278" s="1"/>
      <c r="JP278" s="1"/>
      <c r="JQ278" s="1"/>
      <c r="JR278" s="1"/>
      <c r="JS278" s="1"/>
      <c r="JT278" s="1"/>
      <c r="JU278" s="1"/>
      <c r="JV278" s="1"/>
      <c r="JW278" s="1"/>
      <c r="JX278" s="1"/>
      <c r="JY278" s="1"/>
      <c r="JZ278" s="1"/>
      <c r="KA278" s="1"/>
      <c r="KB278" s="1"/>
      <c r="KC278" s="1"/>
      <c r="KD278" s="1"/>
      <c r="KE278" s="1"/>
      <c r="KF278" s="1"/>
      <c r="KG278" s="1"/>
      <c r="KH278" s="1"/>
      <c r="KI278" s="1"/>
      <c r="KJ278" s="1"/>
      <c r="KK278" s="1"/>
      <c r="KL278" s="1"/>
      <c r="KM278" s="1"/>
      <c r="KN278" s="1"/>
      <c r="KO278" s="1"/>
      <c r="KP278" s="1"/>
      <c r="KQ278" s="1"/>
      <c r="KR278" s="1"/>
      <c r="KS278" s="1"/>
      <c r="KT278" s="1"/>
      <c r="KU278" s="1"/>
      <c r="KV278" s="1"/>
      <c r="KW278" s="1"/>
      <c r="KX278" s="1"/>
      <c r="KY278" s="1"/>
      <c r="KZ278" s="1"/>
      <c r="LA278" s="1"/>
      <c r="LB278" s="1"/>
      <c r="LC278" s="1"/>
      <c r="LD278" s="1"/>
      <c r="LE278" s="1"/>
      <c r="LF278" s="1"/>
      <c r="LG278" s="1"/>
      <c r="LH278" s="1"/>
      <c r="LI278" s="1"/>
      <c r="LJ278" s="1"/>
      <c r="LK278" s="1"/>
      <c r="LL278" s="1"/>
      <c r="LM278" s="1"/>
      <c r="LN278" s="1"/>
      <c r="LO278" s="1"/>
      <c r="LP278" s="1"/>
      <c r="LQ278" s="1"/>
      <c r="LR278" s="1"/>
      <c r="LS278" s="1"/>
    </row>
    <row r="279" spans="1:331" s="35" customFormat="1" x14ac:dyDescent="0.25">
      <c r="A279" s="35" t="s">
        <v>1050</v>
      </c>
      <c r="B279" s="39" t="s">
        <v>1051</v>
      </c>
      <c r="C279" s="94" t="s">
        <v>1651</v>
      </c>
      <c r="D279" s="35">
        <v>1</v>
      </c>
      <c r="E279" s="35" t="s">
        <v>1052</v>
      </c>
      <c r="H279" s="35" t="s">
        <v>1053</v>
      </c>
      <c r="I279" s="35" t="s">
        <v>1054</v>
      </c>
      <c r="J279" s="35" t="s">
        <v>1055</v>
      </c>
      <c r="K279" s="35" t="s">
        <v>1052</v>
      </c>
      <c r="L279" s="35">
        <v>0</v>
      </c>
      <c r="O279" s="35">
        <v>1</v>
      </c>
      <c r="P279" s="35" t="s">
        <v>1056</v>
      </c>
      <c r="Q279" s="96" t="s">
        <v>1603</v>
      </c>
      <c r="R279" s="96"/>
      <c r="S279" s="35">
        <v>12</v>
      </c>
      <c r="V279" s="35">
        <v>10</v>
      </c>
      <c r="W279" s="96">
        <v>12</v>
      </c>
      <c r="X279" s="96"/>
      <c r="Y279" s="96"/>
      <c r="Z279" s="35">
        <v>7</v>
      </c>
      <c r="AA279" s="94" t="b">
        <v>1</v>
      </c>
      <c r="AB279" s="1" t="s">
        <v>1893</v>
      </c>
      <c r="AC279" s="57" t="s">
        <v>1438</v>
      </c>
      <c r="AD279" s="1"/>
      <c r="AE279" s="57"/>
      <c r="AF279" s="1"/>
      <c r="AG279" s="1"/>
      <c r="AH279" s="1"/>
      <c r="AI279" s="1"/>
      <c r="AJ279" s="1"/>
      <c r="AK279" s="1"/>
      <c r="AL279" s="1"/>
      <c r="AM279" s="1"/>
      <c r="AN279" s="1"/>
      <c r="AO279" s="1"/>
      <c r="AP279" s="1"/>
      <c r="AQ279" s="1"/>
      <c r="AR279" s="1"/>
      <c r="AS279" s="1"/>
      <c r="AT279" s="1"/>
      <c r="AU279" s="1"/>
      <c r="AV279" s="1"/>
      <c r="AW279" s="1"/>
      <c r="AX279" s="1"/>
      <c r="AY279" s="1"/>
      <c r="AZ279" s="1"/>
      <c r="BA279" s="1"/>
      <c r="BB279" s="1"/>
      <c r="BC279" s="1"/>
      <c r="BD279" s="1"/>
      <c r="BE279" s="1"/>
      <c r="BF279" s="1"/>
      <c r="BG279" s="1"/>
      <c r="BH279" s="1"/>
      <c r="BI279" s="1"/>
      <c r="BJ279" s="1"/>
      <c r="BK279" s="1"/>
      <c r="BL279" s="1"/>
      <c r="BM279" s="1"/>
      <c r="BN279" s="1"/>
      <c r="BO279" s="1"/>
      <c r="BP279" s="1"/>
      <c r="BQ279" s="1"/>
      <c r="BR279" s="1"/>
      <c r="BS279" s="1"/>
      <c r="BT279" s="1"/>
      <c r="BU279" s="1"/>
      <c r="BV279" s="1"/>
      <c r="BW279" s="1"/>
      <c r="BX279" s="1"/>
      <c r="BY279" s="1"/>
      <c r="BZ279" s="1"/>
      <c r="CA279" s="1"/>
      <c r="CB279" s="1"/>
      <c r="CC279" s="1"/>
      <c r="CD279" s="1"/>
      <c r="CE279" s="1"/>
      <c r="CF279" s="1"/>
      <c r="CG279" s="1"/>
      <c r="CH279" s="1"/>
      <c r="CI279" s="1"/>
      <c r="CJ279" s="1"/>
      <c r="CK279" s="1"/>
      <c r="CL279" s="1"/>
      <c r="CM279" s="1"/>
      <c r="CN279" s="1"/>
      <c r="CO279" s="1"/>
      <c r="CP279" s="1"/>
      <c r="CQ279" s="1"/>
      <c r="CR279" s="1"/>
      <c r="CS279" s="1"/>
      <c r="CT279" s="1"/>
      <c r="CU279" s="1"/>
      <c r="CV279" s="1"/>
      <c r="CW279" s="1"/>
      <c r="CX279" s="1"/>
      <c r="CY279" s="1"/>
      <c r="CZ279" s="1"/>
      <c r="DA279" s="1"/>
      <c r="DB279" s="1"/>
      <c r="DC279" s="1"/>
      <c r="DD279" s="1"/>
      <c r="DE279" s="1"/>
      <c r="DF279" s="1"/>
      <c r="DG279" s="1"/>
      <c r="DH279" s="1"/>
      <c r="DI279" s="1"/>
      <c r="DJ279" s="1"/>
      <c r="DK279" s="1"/>
      <c r="DL279" s="1"/>
      <c r="DM279" s="1"/>
      <c r="DN279" s="1"/>
      <c r="DO279" s="1"/>
      <c r="DP279" s="1"/>
      <c r="DQ279" s="1"/>
      <c r="DR279" s="1"/>
      <c r="DS279" s="1"/>
      <c r="DT279" s="1"/>
      <c r="DU279" s="1"/>
      <c r="DV279" s="1"/>
      <c r="DW279" s="1"/>
      <c r="DX279" s="1"/>
      <c r="DY279" s="1"/>
      <c r="DZ279" s="1"/>
      <c r="EA279" s="1"/>
      <c r="EB279" s="1"/>
      <c r="EC279" s="1"/>
      <c r="ED279" s="1"/>
      <c r="EE279" s="1"/>
      <c r="EF279" s="1"/>
      <c r="EG279" s="1"/>
      <c r="EH279" s="1"/>
      <c r="EI279" s="1"/>
      <c r="EJ279" s="1"/>
      <c r="EK279" s="1"/>
      <c r="EL279" s="1"/>
      <c r="EM279" s="1"/>
      <c r="EN279" s="1"/>
      <c r="EO279" s="1"/>
      <c r="EP279" s="1"/>
      <c r="EQ279" s="1"/>
      <c r="ER279" s="1"/>
      <c r="ES279" s="1"/>
      <c r="ET279" s="1"/>
      <c r="EU279" s="1"/>
      <c r="EV279" s="1"/>
      <c r="EW279" s="1"/>
      <c r="EX279" s="1"/>
      <c r="EY279" s="1"/>
      <c r="EZ279" s="1"/>
      <c r="FA279" s="1"/>
      <c r="FB279" s="1"/>
      <c r="FC279" s="1"/>
      <c r="FD279" s="1"/>
      <c r="FE279" s="1"/>
      <c r="FF279" s="1"/>
      <c r="FG279" s="1"/>
      <c r="FH279" s="1"/>
      <c r="FI279" s="1"/>
      <c r="FJ279" s="1"/>
      <c r="FK279" s="1"/>
      <c r="FL279" s="1"/>
      <c r="FM279" s="1"/>
      <c r="FN279" s="1"/>
      <c r="FO279" s="1"/>
      <c r="FP279" s="1"/>
      <c r="FQ279" s="1"/>
      <c r="FR279" s="1"/>
      <c r="FS279" s="1"/>
      <c r="FT279" s="1"/>
      <c r="FU279" s="1"/>
      <c r="FV279" s="1"/>
      <c r="FW279" s="1"/>
      <c r="FX279" s="1"/>
      <c r="FY279" s="1"/>
      <c r="FZ279" s="1"/>
      <c r="GA279" s="1"/>
      <c r="GB279" s="1"/>
      <c r="GC279" s="1"/>
      <c r="GD279" s="1"/>
      <c r="GE279" s="1"/>
      <c r="GF279" s="1"/>
      <c r="GG279" s="1"/>
      <c r="GH279" s="1"/>
      <c r="GI279" s="1"/>
      <c r="GJ279" s="1"/>
      <c r="GK279" s="1"/>
      <c r="GL279" s="1"/>
      <c r="GM279" s="1"/>
      <c r="GN279" s="1"/>
      <c r="GO279" s="1"/>
      <c r="GP279" s="1"/>
      <c r="GQ279" s="1"/>
      <c r="GR279" s="1"/>
      <c r="GS279" s="1"/>
      <c r="GT279" s="1"/>
      <c r="GU279" s="1"/>
      <c r="GV279" s="1"/>
      <c r="GW279" s="1"/>
      <c r="GX279" s="1"/>
      <c r="GY279" s="1"/>
      <c r="GZ279" s="1"/>
      <c r="HA279" s="1"/>
      <c r="HB279" s="1"/>
      <c r="HC279" s="1"/>
      <c r="HD279" s="1"/>
      <c r="HE279" s="1"/>
      <c r="HF279" s="1"/>
      <c r="HG279" s="1"/>
      <c r="HH279" s="1"/>
      <c r="HI279" s="1"/>
      <c r="HJ279" s="1"/>
      <c r="HK279" s="1"/>
      <c r="HL279" s="1"/>
      <c r="HM279" s="1"/>
      <c r="HN279" s="1"/>
      <c r="HO279" s="1"/>
      <c r="HP279" s="1"/>
      <c r="HQ279" s="1"/>
      <c r="HR279" s="1"/>
      <c r="HS279" s="1"/>
      <c r="HT279" s="1"/>
      <c r="HU279" s="1"/>
      <c r="HV279" s="1"/>
      <c r="HW279" s="1"/>
      <c r="HX279" s="1"/>
      <c r="HY279" s="1"/>
      <c r="HZ279" s="1"/>
      <c r="IA279" s="1"/>
      <c r="IB279" s="1"/>
      <c r="IC279" s="1"/>
      <c r="ID279" s="1"/>
      <c r="IE279" s="1"/>
      <c r="IF279" s="1"/>
      <c r="IG279" s="1"/>
      <c r="IH279" s="1"/>
      <c r="II279" s="1"/>
      <c r="IJ279" s="1"/>
      <c r="IK279" s="1"/>
      <c r="IL279" s="1"/>
      <c r="IM279" s="1"/>
      <c r="IN279" s="1"/>
      <c r="IO279" s="1"/>
      <c r="IP279" s="1"/>
      <c r="IQ279" s="1"/>
      <c r="IR279" s="1"/>
      <c r="IS279" s="1"/>
      <c r="IT279" s="1"/>
      <c r="IU279" s="1"/>
      <c r="IV279" s="1"/>
      <c r="IW279" s="1"/>
      <c r="IX279" s="1"/>
      <c r="IY279" s="1"/>
      <c r="IZ279" s="1"/>
      <c r="JA279" s="1"/>
      <c r="JB279" s="1"/>
      <c r="JC279" s="1"/>
      <c r="JD279" s="1"/>
      <c r="JE279" s="1"/>
      <c r="JF279" s="1"/>
      <c r="JG279" s="1"/>
      <c r="JH279" s="1"/>
      <c r="JI279" s="1"/>
      <c r="JJ279" s="1"/>
      <c r="JK279" s="1"/>
      <c r="JL279" s="1"/>
      <c r="JM279" s="1"/>
      <c r="JN279" s="1"/>
      <c r="JO279" s="1"/>
      <c r="JP279" s="1"/>
      <c r="JQ279" s="1"/>
      <c r="JR279" s="1"/>
      <c r="JS279" s="1"/>
      <c r="JT279" s="1"/>
      <c r="JU279" s="1"/>
      <c r="JV279" s="1"/>
      <c r="JW279" s="1"/>
      <c r="JX279" s="1"/>
      <c r="JY279" s="1"/>
      <c r="JZ279" s="1"/>
      <c r="KA279" s="1"/>
      <c r="KB279" s="1"/>
      <c r="KC279" s="1"/>
      <c r="KD279" s="1"/>
      <c r="KE279" s="1"/>
      <c r="KF279" s="1"/>
      <c r="KG279" s="1"/>
      <c r="KH279" s="1"/>
      <c r="KI279" s="1"/>
      <c r="KJ279" s="1"/>
      <c r="KK279" s="1"/>
      <c r="KL279" s="1"/>
      <c r="KM279" s="1"/>
      <c r="KN279" s="1"/>
      <c r="KO279" s="1"/>
      <c r="KP279" s="1"/>
      <c r="KQ279" s="1"/>
      <c r="KR279" s="1"/>
      <c r="KS279" s="1"/>
      <c r="KT279" s="1"/>
      <c r="KU279" s="1"/>
      <c r="KV279" s="1"/>
      <c r="KW279" s="1"/>
      <c r="KX279" s="1"/>
      <c r="KY279" s="1"/>
      <c r="KZ279" s="1"/>
      <c r="LA279" s="1"/>
      <c r="LB279" s="1"/>
      <c r="LC279" s="1"/>
      <c r="LD279" s="1"/>
      <c r="LE279" s="1"/>
      <c r="LF279" s="1"/>
      <c r="LG279" s="1"/>
      <c r="LH279" s="1"/>
      <c r="LI279" s="1"/>
      <c r="LJ279" s="1"/>
      <c r="LK279" s="1"/>
      <c r="LL279" s="1"/>
      <c r="LM279" s="1"/>
      <c r="LN279" s="1"/>
      <c r="LO279" s="1"/>
      <c r="LP279" s="1"/>
      <c r="LQ279" s="1"/>
      <c r="LR279" s="1"/>
      <c r="LS279" s="1"/>
    </row>
    <row r="280" spans="1:331" s="49" customFormat="1" x14ac:dyDescent="0.25">
      <c r="A280" s="49" t="s">
        <v>1057</v>
      </c>
      <c r="B280" s="51" t="s">
        <v>1058</v>
      </c>
      <c r="C280" s="94" t="s">
        <v>1651</v>
      </c>
      <c r="D280" s="49">
        <v>0</v>
      </c>
      <c r="H280" s="49" t="s">
        <v>1059</v>
      </c>
      <c r="I280" s="49" t="s">
        <v>1060</v>
      </c>
      <c r="J280" s="49" t="s">
        <v>1060</v>
      </c>
      <c r="K280" s="49" t="s">
        <v>1060</v>
      </c>
      <c r="L280" s="49">
        <v>0</v>
      </c>
      <c r="O280" s="49">
        <v>1</v>
      </c>
      <c r="Q280" s="96"/>
      <c r="R280" s="96" t="s">
        <v>1032</v>
      </c>
      <c r="S280" s="49">
        <v>7</v>
      </c>
      <c r="U280" s="49">
        <v>8</v>
      </c>
      <c r="W280" s="96">
        <v>7</v>
      </c>
      <c r="X280" s="96"/>
      <c r="Y280" s="96"/>
      <c r="Z280" s="49">
        <v>9</v>
      </c>
      <c r="AA280" s="94" t="b">
        <v>1</v>
      </c>
      <c r="AB280" s="1"/>
      <c r="AC280" s="57" t="s">
        <v>1439</v>
      </c>
      <c r="AD280" s="1"/>
      <c r="AE280" s="57"/>
      <c r="AF280" s="1"/>
      <c r="AG280" s="1"/>
      <c r="AH280" s="1"/>
      <c r="AI280" s="1"/>
      <c r="AJ280" s="1"/>
      <c r="AK280" s="1"/>
      <c r="AL280" s="1"/>
      <c r="AM280" s="1"/>
      <c r="AN280" s="1"/>
      <c r="AO280" s="1"/>
      <c r="AP280" s="1"/>
      <c r="AQ280" s="1"/>
      <c r="AR280" s="1"/>
      <c r="AS280" s="1"/>
      <c r="AT280" s="1"/>
      <c r="AU280" s="1"/>
      <c r="AV280" s="1"/>
      <c r="AW280" s="1"/>
      <c r="AX280" s="1"/>
      <c r="AY280" s="1"/>
      <c r="AZ280" s="1"/>
      <c r="BA280" s="1"/>
      <c r="BB280" s="1"/>
      <c r="BC280" s="1"/>
      <c r="BD280" s="1"/>
      <c r="BE280" s="1"/>
      <c r="BF280" s="1"/>
      <c r="BG280" s="1"/>
      <c r="BH280" s="1"/>
      <c r="BI280" s="1"/>
      <c r="BJ280" s="1"/>
      <c r="BK280" s="1"/>
      <c r="BL280" s="1"/>
      <c r="BM280" s="1"/>
      <c r="BN280" s="1"/>
      <c r="BO280" s="1"/>
      <c r="BP280" s="1"/>
      <c r="BQ280" s="1"/>
      <c r="BR280" s="1"/>
      <c r="BS280" s="1"/>
      <c r="BT280" s="1"/>
      <c r="BU280" s="1"/>
      <c r="BV280" s="1"/>
      <c r="BW280" s="1"/>
      <c r="BX280" s="1"/>
      <c r="BY280" s="1"/>
      <c r="BZ280" s="1"/>
      <c r="CA280" s="1"/>
      <c r="CB280" s="1"/>
      <c r="CC280" s="1"/>
      <c r="CD280" s="1"/>
      <c r="CE280" s="1"/>
      <c r="CF280" s="1"/>
      <c r="CG280" s="1"/>
      <c r="CH280" s="1"/>
      <c r="CI280" s="1"/>
      <c r="CJ280" s="1"/>
      <c r="CK280" s="1"/>
      <c r="CL280" s="1"/>
      <c r="CM280" s="1"/>
      <c r="CN280" s="1"/>
      <c r="CO280" s="1"/>
      <c r="CP280" s="1"/>
      <c r="CQ280" s="1"/>
      <c r="CR280" s="1"/>
      <c r="CS280" s="1"/>
      <c r="CT280" s="1"/>
      <c r="CU280" s="1"/>
      <c r="CV280" s="1"/>
      <c r="CW280" s="1"/>
      <c r="CX280" s="1"/>
      <c r="CY280" s="1"/>
      <c r="CZ280" s="1"/>
      <c r="DA280" s="1"/>
      <c r="DB280" s="1"/>
      <c r="DC280" s="1"/>
      <c r="DD280" s="1"/>
      <c r="DE280" s="1"/>
      <c r="DF280" s="1"/>
      <c r="DG280" s="1"/>
      <c r="DH280" s="1"/>
      <c r="DI280" s="1"/>
      <c r="DJ280" s="1"/>
      <c r="DK280" s="1"/>
      <c r="DL280" s="1"/>
      <c r="DM280" s="1"/>
      <c r="DN280" s="1"/>
      <c r="DO280" s="1"/>
      <c r="DP280" s="1"/>
      <c r="DQ280" s="1"/>
      <c r="DR280" s="1"/>
      <c r="DS280" s="1"/>
      <c r="DT280" s="1"/>
      <c r="DU280" s="1"/>
      <c r="DV280" s="1"/>
      <c r="DW280" s="1"/>
      <c r="DX280" s="1"/>
      <c r="DY280" s="1"/>
      <c r="DZ280" s="1"/>
      <c r="EA280" s="1"/>
      <c r="EB280" s="1"/>
      <c r="EC280" s="1"/>
      <c r="ED280" s="1"/>
      <c r="EE280" s="1"/>
      <c r="EF280" s="1"/>
      <c r="EG280" s="1"/>
      <c r="EH280" s="1"/>
      <c r="EI280" s="1"/>
      <c r="EJ280" s="1"/>
      <c r="EK280" s="1"/>
      <c r="EL280" s="1"/>
      <c r="EM280" s="1"/>
      <c r="EN280" s="1"/>
      <c r="EO280" s="1"/>
      <c r="EP280" s="1"/>
      <c r="EQ280" s="1"/>
      <c r="ER280" s="1"/>
      <c r="ES280" s="1"/>
      <c r="ET280" s="1"/>
      <c r="EU280" s="1"/>
      <c r="EV280" s="1"/>
      <c r="EW280" s="1"/>
      <c r="EX280" s="1"/>
      <c r="EY280" s="1"/>
      <c r="EZ280" s="1"/>
      <c r="FA280" s="1"/>
      <c r="FB280" s="1"/>
      <c r="FC280" s="1"/>
      <c r="FD280" s="1"/>
      <c r="FE280" s="1"/>
      <c r="FF280" s="1"/>
      <c r="FG280" s="1"/>
      <c r="FH280" s="1"/>
      <c r="FI280" s="1"/>
      <c r="FJ280" s="1"/>
      <c r="FK280" s="1"/>
      <c r="FL280" s="1"/>
      <c r="FM280" s="1"/>
      <c r="FN280" s="1"/>
      <c r="FO280" s="1"/>
      <c r="FP280" s="1"/>
      <c r="FQ280" s="1"/>
      <c r="FR280" s="1"/>
      <c r="FS280" s="1"/>
      <c r="FT280" s="1"/>
      <c r="FU280" s="1"/>
      <c r="FV280" s="1"/>
      <c r="FW280" s="1"/>
      <c r="FX280" s="1"/>
      <c r="FY280" s="1"/>
      <c r="FZ280" s="1"/>
      <c r="GA280" s="1"/>
      <c r="GB280" s="1"/>
      <c r="GC280" s="1"/>
      <c r="GD280" s="1"/>
      <c r="GE280" s="1"/>
      <c r="GF280" s="1"/>
      <c r="GG280" s="1"/>
      <c r="GH280" s="1"/>
      <c r="GI280" s="1"/>
      <c r="GJ280" s="1"/>
      <c r="GK280" s="1"/>
      <c r="GL280" s="1"/>
      <c r="GM280" s="1"/>
      <c r="GN280" s="1"/>
      <c r="GO280" s="1"/>
      <c r="GP280" s="1"/>
      <c r="GQ280" s="1"/>
      <c r="GR280" s="1"/>
      <c r="GS280" s="1"/>
      <c r="GT280" s="1"/>
      <c r="GU280" s="1"/>
      <c r="GV280" s="1"/>
      <c r="GW280" s="1"/>
      <c r="GX280" s="1"/>
      <c r="GY280" s="1"/>
      <c r="GZ280" s="1"/>
      <c r="HA280" s="1"/>
      <c r="HB280" s="1"/>
      <c r="HC280" s="1"/>
      <c r="HD280" s="1"/>
      <c r="HE280" s="1"/>
      <c r="HF280" s="1"/>
      <c r="HG280" s="1"/>
      <c r="HH280" s="1"/>
      <c r="HI280" s="1"/>
      <c r="HJ280" s="1"/>
      <c r="HK280" s="1"/>
      <c r="HL280" s="1"/>
      <c r="HM280" s="1"/>
      <c r="HN280" s="1"/>
      <c r="HO280" s="1"/>
      <c r="HP280" s="1"/>
      <c r="HQ280" s="1"/>
      <c r="HR280" s="1"/>
      <c r="HS280" s="1"/>
      <c r="HT280" s="1"/>
      <c r="HU280" s="1"/>
      <c r="HV280" s="1"/>
      <c r="HW280" s="1"/>
      <c r="HX280" s="1"/>
      <c r="HY280" s="1"/>
      <c r="HZ280" s="1"/>
      <c r="IA280" s="1"/>
      <c r="IB280" s="1"/>
      <c r="IC280" s="1"/>
      <c r="ID280" s="1"/>
      <c r="IE280" s="1"/>
      <c r="IF280" s="1"/>
      <c r="IG280" s="1"/>
      <c r="IH280" s="1"/>
      <c r="II280" s="1"/>
      <c r="IJ280" s="1"/>
      <c r="IK280" s="1"/>
      <c r="IL280" s="1"/>
      <c r="IM280" s="1"/>
      <c r="IN280" s="1"/>
      <c r="IO280" s="1"/>
      <c r="IP280" s="1"/>
      <c r="IQ280" s="1"/>
      <c r="IR280" s="1"/>
      <c r="IS280" s="1"/>
      <c r="IT280" s="1"/>
      <c r="IU280" s="1"/>
      <c r="IV280" s="1"/>
      <c r="IW280" s="1"/>
      <c r="IX280" s="1"/>
      <c r="IY280" s="1"/>
      <c r="IZ280" s="1"/>
      <c r="JA280" s="1"/>
      <c r="JB280" s="1"/>
      <c r="JC280" s="1"/>
      <c r="JD280" s="1"/>
      <c r="JE280" s="1"/>
      <c r="JF280" s="1"/>
      <c r="JG280" s="1"/>
      <c r="JH280" s="1"/>
      <c r="JI280" s="1"/>
      <c r="JJ280" s="1"/>
      <c r="JK280" s="1"/>
      <c r="JL280" s="1"/>
      <c r="JM280" s="1"/>
      <c r="JN280" s="1"/>
      <c r="JO280" s="1"/>
      <c r="JP280" s="1"/>
      <c r="JQ280" s="1"/>
      <c r="JR280" s="1"/>
      <c r="JS280" s="1"/>
      <c r="JT280" s="1"/>
      <c r="JU280" s="1"/>
      <c r="JV280" s="1"/>
      <c r="JW280" s="1"/>
      <c r="JX280" s="1"/>
      <c r="JY280" s="1"/>
      <c r="JZ280" s="1"/>
      <c r="KA280" s="1"/>
      <c r="KB280" s="1"/>
      <c r="KC280" s="1"/>
      <c r="KD280" s="1"/>
      <c r="KE280" s="1"/>
      <c r="KF280" s="1"/>
      <c r="KG280" s="1"/>
      <c r="KH280" s="1"/>
      <c r="KI280" s="1"/>
      <c r="KJ280" s="1"/>
      <c r="KK280" s="1"/>
      <c r="KL280" s="1"/>
      <c r="KM280" s="1"/>
      <c r="KN280" s="1"/>
      <c r="KO280" s="1"/>
      <c r="KP280" s="1"/>
      <c r="KQ280" s="1"/>
      <c r="KR280" s="1"/>
      <c r="KS280" s="1"/>
      <c r="KT280" s="1"/>
      <c r="KU280" s="1"/>
      <c r="KV280" s="1"/>
      <c r="KW280" s="1"/>
      <c r="KX280" s="1"/>
      <c r="KY280" s="1"/>
      <c r="KZ280" s="1"/>
      <c r="LA280" s="1"/>
      <c r="LB280" s="1"/>
      <c r="LC280" s="1"/>
      <c r="LD280" s="1"/>
      <c r="LE280" s="1"/>
      <c r="LF280" s="1"/>
      <c r="LG280" s="1"/>
      <c r="LH280" s="1"/>
      <c r="LI280" s="1"/>
      <c r="LJ280" s="1"/>
      <c r="LK280" s="1"/>
      <c r="LL280" s="1"/>
      <c r="LM280" s="1"/>
      <c r="LN280" s="1"/>
      <c r="LO280" s="1"/>
      <c r="LP280" s="1"/>
      <c r="LQ280" s="1"/>
      <c r="LR280" s="1"/>
      <c r="LS280" s="1"/>
    </row>
    <row r="281" spans="1:331" s="64" customFormat="1" x14ac:dyDescent="0.25">
      <c r="A281" s="64" t="s">
        <v>1061</v>
      </c>
      <c r="B281" s="66" t="s">
        <v>1062</v>
      </c>
      <c r="C281" s="94" t="s">
        <v>1651</v>
      </c>
      <c r="D281" s="64">
        <v>1</v>
      </c>
      <c r="E281" s="64" t="s">
        <v>1063</v>
      </c>
      <c r="H281" s="64" t="s">
        <v>1064</v>
      </c>
      <c r="I281" s="64" t="s">
        <v>1065</v>
      </c>
      <c r="J281" s="64" t="s">
        <v>1066</v>
      </c>
      <c r="K281" s="64" t="s">
        <v>1710</v>
      </c>
      <c r="L281" s="64">
        <v>0</v>
      </c>
      <c r="O281" s="64">
        <v>1</v>
      </c>
      <c r="Q281" s="96"/>
      <c r="R281" s="96" t="s">
        <v>1067</v>
      </c>
      <c r="S281" s="64">
        <v>10</v>
      </c>
      <c r="T281" s="64">
        <v>10</v>
      </c>
      <c r="V281" s="64">
        <v>15</v>
      </c>
      <c r="W281" s="96">
        <v>10</v>
      </c>
      <c r="X281" s="96"/>
      <c r="Y281" s="96"/>
      <c r="Z281" s="64">
        <v>12</v>
      </c>
      <c r="AA281" s="94" t="b">
        <v>1</v>
      </c>
      <c r="AB281" s="1" t="s">
        <v>1898</v>
      </c>
      <c r="AC281" s="57" t="s">
        <v>1396</v>
      </c>
      <c r="AD281" s="1"/>
      <c r="AE281" s="57"/>
      <c r="AF281" s="1"/>
      <c r="AG281" s="1"/>
      <c r="AH281" s="1"/>
      <c r="AI281" s="1"/>
      <c r="AJ281" s="1"/>
      <c r="AK281" s="1"/>
      <c r="AL281" s="1"/>
      <c r="AM281" s="1"/>
      <c r="AN281" s="1"/>
      <c r="AO281" s="1"/>
      <c r="AP281" s="1"/>
      <c r="AQ281" s="1"/>
      <c r="AR281" s="1"/>
      <c r="AS281" s="1"/>
      <c r="AT281" s="1"/>
      <c r="AU281" s="1"/>
      <c r="AV281" s="1"/>
      <c r="AW281" s="1"/>
      <c r="AX281" s="1"/>
      <c r="AY281" s="1"/>
      <c r="AZ281" s="1"/>
      <c r="BA281" s="1"/>
      <c r="BB281" s="1"/>
      <c r="BC281" s="1"/>
      <c r="BD281" s="1"/>
      <c r="BE281" s="1"/>
      <c r="BF281" s="1"/>
      <c r="BG281" s="1"/>
      <c r="BH281" s="1"/>
      <c r="BI281" s="1"/>
      <c r="BJ281" s="1"/>
      <c r="BK281" s="1"/>
      <c r="BL281" s="1"/>
      <c r="BM281" s="1"/>
      <c r="BN281" s="1"/>
      <c r="BO281" s="1"/>
      <c r="BP281" s="1"/>
      <c r="BQ281" s="1"/>
      <c r="BR281" s="1"/>
      <c r="BS281" s="1"/>
      <c r="BT281" s="1"/>
      <c r="BU281" s="1"/>
      <c r="BV281" s="1"/>
    </row>
    <row r="282" spans="1:331" s="49" customFormat="1" x14ac:dyDescent="0.25">
      <c r="A282" s="49" t="s">
        <v>1068</v>
      </c>
      <c r="B282" s="51" t="s">
        <v>1069</v>
      </c>
      <c r="C282" s="94" t="s">
        <v>1651</v>
      </c>
      <c r="D282" s="49">
        <v>0</v>
      </c>
      <c r="H282" s="49" t="s">
        <v>1047</v>
      </c>
      <c r="I282" s="49" t="s">
        <v>660</v>
      </c>
      <c r="J282" s="49" t="s">
        <v>1070</v>
      </c>
      <c r="K282" s="49" t="s">
        <v>1047</v>
      </c>
      <c r="L282" s="49">
        <v>0</v>
      </c>
      <c r="O282" s="49">
        <v>1</v>
      </c>
      <c r="Q282" s="96"/>
      <c r="R282" s="96" t="s">
        <v>1070</v>
      </c>
      <c r="S282" s="49">
        <v>14</v>
      </c>
      <c r="U282" s="49">
        <v>13</v>
      </c>
      <c r="W282" s="96">
        <v>14</v>
      </c>
      <c r="X282" s="96"/>
      <c r="Y282" s="96"/>
      <c r="Z282" s="49">
        <v>9</v>
      </c>
      <c r="AA282" s="94" t="b">
        <v>1</v>
      </c>
      <c r="AB282" s="1"/>
      <c r="AC282" s="57" t="s">
        <v>1440</v>
      </c>
      <c r="AD282" s="1"/>
      <c r="AE282" s="57"/>
      <c r="AF282" s="1"/>
      <c r="AG282" s="1"/>
      <c r="AH282" s="1"/>
      <c r="AI282" s="1"/>
      <c r="AJ282" s="1"/>
      <c r="AK282" s="1"/>
      <c r="AL282" s="1"/>
      <c r="AM282" s="1"/>
      <c r="AN282" s="1"/>
      <c r="AO282" s="1"/>
      <c r="AP282" s="1"/>
      <c r="AQ282" s="1"/>
      <c r="AR282" s="1"/>
      <c r="AS282" s="1"/>
      <c r="AT282" s="1"/>
      <c r="AU282" s="1"/>
      <c r="AV282" s="1"/>
      <c r="AW282" s="1"/>
      <c r="AX282" s="1"/>
      <c r="AY282" s="1"/>
      <c r="AZ282" s="1"/>
      <c r="BA282" s="1"/>
      <c r="BB282" s="1"/>
      <c r="BC282" s="1"/>
      <c r="BD282" s="1"/>
      <c r="BE282" s="1"/>
      <c r="BF282" s="1"/>
      <c r="BG282" s="1"/>
      <c r="BH282" s="1"/>
      <c r="BI282" s="1"/>
      <c r="BJ282" s="1"/>
      <c r="BK282" s="1"/>
      <c r="BL282" s="1"/>
      <c r="BM282" s="1"/>
      <c r="BN282" s="1"/>
      <c r="BO282" s="1"/>
      <c r="BP282" s="1"/>
      <c r="BQ282" s="1"/>
      <c r="BR282" s="1"/>
      <c r="BS282" s="1"/>
      <c r="BT282" s="1"/>
      <c r="BU282" s="1"/>
      <c r="BV282" s="1"/>
      <c r="BW282" s="1"/>
      <c r="BX282" s="1"/>
      <c r="BY282" s="1"/>
      <c r="BZ282" s="1"/>
      <c r="CA282" s="1"/>
      <c r="CB282" s="1"/>
      <c r="CC282" s="1"/>
      <c r="CD282" s="1"/>
      <c r="CE282" s="1"/>
      <c r="CF282" s="1"/>
      <c r="CG282" s="1"/>
      <c r="CH282" s="1"/>
      <c r="CI282" s="1"/>
      <c r="CJ282" s="1"/>
      <c r="CK282" s="1"/>
      <c r="CL282" s="1"/>
      <c r="CM282" s="1"/>
      <c r="CN282" s="1"/>
      <c r="CO282" s="1"/>
      <c r="CP282" s="1"/>
      <c r="CQ282" s="1"/>
      <c r="CR282" s="1"/>
      <c r="CS282" s="1"/>
      <c r="CT282" s="1"/>
      <c r="CU282" s="1"/>
      <c r="CV282" s="1"/>
      <c r="CW282" s="1"/>
      <c r="CX282" s="1"/>
      <c r="CY282" s="1"/>
      <c r="CZ282" s="1"/>
      <c r="DA282" s="1"/>
      <c r="DB282" s="1"/>
      <c r="DC282" s="1"/>
      <c r="DD282" s="1"/>
      <c r="DE282" s="1"/>
      <c r="DF282" s="1"/>
      <c r="DG282" s="1"/>
      <c r="DH282" s="1"/>
      <c r="DI282" s="1"/>
      <c r="DJ282" s="1"/>
      <c r="DK282" s="1"/>
      <c r="DL282" s="1"/>
      <c r="DM282" s="1"/>
      <c r="DN282" s="1"/>
      <c r="DO282" s="1"/>
      <c r="DP282" s="1"/>
      <c r="DQ282" s="1"/>
      <c r="DR282" s="1"/>
      <c r="DS282" s="1"/>
      <c r="DT282" s="1"/>
      <c r="DU282" s="1"/>
      <c r="DV282" s="1"/>
      <c r="DW282" s="1"/>
      <c r="DX282" s="1"/>
      <c r="DY282" s="1"/>
      <c r="DZ282" s="1"/>
      <c r="EA282" s="1"/>
      <c r="EB282" s="1"/>
      <c r="EC282" s="1"/>
      <c r="ED282" s="1"/>
      <c r="EE282" s="1"/>
      <c r="EF282" s="1"/>
      <c r="EG282" s="1"/>
      <c r="EH282" s="1"/>
      <c r="EI282" s="1"/>
      <c r="EJ282" s="1"/>
      <c r="EK282" s="1"/>
      <c r="EL282" s="1"/>
      <c r="EM282" s="1"/>
      <c r="EN282" s="1"/>
      <c r="EO282" s="1"/>
      <c r="EP282" s="1"/>
      <c r="EQ282" s="1"/>
      <c r="ER282" s="1"/>
      <c r="ES282" s="1"/>
      <c r="ET282" s="1"/>
      <c r="EU282" s="1"/>
      <c r="EV282" s="1"/>
      <c r="EW282" s="1"/>
      <c r="EX282" s="1"/>
      <c r="EY282" s="1"/>
      <c r="EZ282" s="1"/>
      <c r="FA282" s="1"/>
      <c r="FB282" s="1"/>
      <c r="FC282" s="1"/>
      <c r="FD282" s="1"/>
      <c r="FE282" s="1"/>
      <c r="FF282" s="1"/>
      <c r="FG282" s="1"/>
      <c r="FH282" s="1"/>
      <c r="FI282" s="1"/>
      <c r="FJ282" s="1"/>
      <c r="FK282" s="1"/>
      <c r="FL282" s="1"/>
      <c r="FM282" s="1"/>
      <c r="FN282" s="1"/>
      <c r="FO282" s="1"/>
      <c r="FP282" s="1"/>
      <c r="FQ282" s="1"/>
      <c r="FR282" s="1"/>
      <c r="FS282" s="1"/>
      <c r="FT282" s="1"/>
      <c r="FU282" s="1"/>
      <c r="FV282" s="1"/>
      <c r="FW282" s="1"/>
      <c r="FX282" s="1"/>
      <c r="FY282" s="1"/>
      <c r="FZ282" s="1"/>
      <c r="GA282" s="1"/>
      <c r="GB282" s="1"/>
      <c r="GC282" s="1"/>
      <c r="GD282" s="1"/>
      <c r="GE282" s="1"/>
      <c r="GF282" s="1"/>
      <c r="GG282" s="1"/>
      <c r="GH282" s="1"/>
      <c r="GI282" s="1"/>
      <c r="GJ282" s="1"/>
      <c r="GK282" s="1"/>
      <c r="GL282" s="1"/>
      <c r="GM282" s="1"/>
      <c r="GN282" s="1"/>
      <c r="GO282" s="1"/>
      <c r="GP282" s="1"/>
      <c r="GQ282" s="1"/>
      <c r="GR282" s="1"/>
      <c r="GS282" s="1"/>
      <c r="GT282" s="1"/>
      <c r="GU282" s="1"/>
      <c r="GV282" s="1"/>
      <c r="GW282" s="1"/>
      <c r="GX282" s="1"/>
      <c r="GY282" s="1"/>
      <c r="GZ282" s="1"/>
      <c r="HA282" s="1"/>
      <c r="HB282" s="1"/>
      <c r="HC282" s="1"/>
      <c r="HD282" s="1"/>
      <c r="HE282" s="1"/>
      <c r="HF282" s="1"/>
      <c r="HG282" s="1"/>
      <c r="HH282" s="1"/>
      <c r="HI282" s="1"/>
      <c r="HJ282" s="1"/>
      <c r="HK282" s="1"/>
      <c r="HL282" s="1"/>
      <c r="HM282" s="1"/>
      <c r="HN282" s="1"/>
      <c r="HO282" s="1"/>
      <c r="HP282" s="1"/>
      <c r="HQ282" s="1"/>
      <c r="HR282" s="1"/>
      <c r="HS282" s="1"/>
      <c r="HT282" s="1"/>
      <c r="HU282" s="1"/>
      <c r="HV282" s="1"/>
      <c r="HW282" s="1"/>
      <c r="HX282" s="1"/>
      <c r="HY282" s="1"/>
      <c r="HZ282" s="1"/>
      <c r="IA282" s="1"/>
      <c r="IB282" s="1"/>
      <c r="IC282" s="1"/>
      <c r="ID282" s="1"/>
      <c r="IE282" s="1"/>
      <c r="IF282" s="1"/>
      <c r="IG282" s="1"/>
      <c r="IH282" s="1"/>
      <c r="II282" s="1"/>
      <c r="IJ282" s="1"/>
      <c r="IK282" s="1"/>
      <c r="IL282" s="1"/>
      <c r="IM282" s="1"/>
      <c r="IN282" s="1"/>
      <c r="IO282" s="1"/>
      <c r="IP282" s="1"/>
      <c r="IQ282" s="1"/>
      <c r="IR282" s="1"/>
      <c r="IS282" s="1"/>
      <c r="IT282" s="1"/>
      <c r="IU282" s="1"/>
      <c r="IV282" s="1"/>
      <c r="IW282" s="1"/>
      <c r="IX282" s="1"/>
      <c r="IY282" s="1"/>
      <c r="IZ282" s="1"/>
      <c r="JA282" s="1"/>
      <c r="JB282" s="1"/>
      <c r="JC282" s="1"/>
      <c r="JD282" s="1"/>
      <c r="JE282" s="1"/>
      <c r="JF282" s="1"/>
      <c r="JG282" s="1"/>
      <c r="JH282" s="1"/>
      <c r="JI282" s="1"/>
      <c r="JJ282" s="1"/>
      <c r="JK282" s="1"/>
      <c r="JL282" s="1"/>
      <c r="JM282" s="1"/>
      <c r="JN282" s="1"/>
      <c r="JO282" s="1"/>
      <c r="JP282" s="1"/>
      <c r="JQ282" s="1"/>
      <c r="JR282" s="1"/>
      <c r="JS282" s="1"/>
      <c r="JT282" s="1"/>
      <c r="JU282" s="1"/>
      <c r="JV282" s="1"/>
      <c r="JW282" s="1"/>
      <c r="JX282" s="1"/>
      <c r="JY282" s="1"/>
      <c r="JZ282" s="1"/>
      <c r="KA282" s="1"/>
      <c r="KB282" s="1"/>
      <c r="KC282" s="1"/>
      <c r="KD282" s="1"/>
      <c r="KE282" s="1"/>
      <c r="KF282" s="1"/>
      <c r="KG282" s="1"/>
      <c r="KH282" s="1"/>
      <c r="KI282" s="1"/>
      <c r="KJ282" s="1"/>
      <c r="KK282" s="1"/>
      <c r="KL282" s="1"/>
      <c r="KM282" s="1"/>
      <c r="KN282" s="1"/>
      <c r="KO282" s="1"/>
      <c r="KP282" s="1"/>
      <c r="KQ282" s="1"/>
      <c r="KR282" s="1"/>
      <c r="KS282" s="1"/>
      <c r="KT282" s="1"/>
      <c r="KU282" s="1"/>
      <c r="KV282" s="1"/>
      <c r="KW282" s="1"/>
      <c r="KX282" s="1"/>
      <c r="KY282" s="1"/>
      <c r="KZ282" s="1"/>
      <c r="LA282" s="1"/>
      <c r="LB282" s="1"/>
      <c r="LC282" s="1"/>
      <c r="LD282" s="1"/>
      <c r="LE282" s="1"/>
      <c r="LF282" s="1"/>
      <c r="LG282" s="1"/>
      <c r="LH282" s="1"/>
      <c r="LI282" s="1"/>
      <c r="LJ282" s="1"/>
      <c r="LK282" s="1"/>
      <c r="LL282" s="1"/>
      <c r="LM282" s="1"/>
      <c r="LN282" s="1"/>
      <c r="LO282" s="1"/>
      <c r="LP282" s="1"/>
      <c r="LQ282" s="1"/>
      <c r="LR282" s="1"/>
      <c r="LS282" s="1"/>
    </row>
    <row r="283" spans="1:331" s="64" customFormat="1" x14ac:dyDescent="0.25">
      <c r="A283" s="64" t="s">
        <v>1071</v>
      </c>
      <c r="B283" s="66" t="s">
        <v>1072</v>
      </c>
      <c r="C283" s="94" t="s">
        <v>1651</v>
      </c>
      <c r="D283" s="64">
        <v>1</v>
      </c>
      <c r="E283" s="64" t="s">
        <v>1073</v>
      </c>
      <c r="H283" s="64" t="s">
        <v>1074</v>
      </c>
      <c r="I283" s="64" t="s">
        <v>1073</v>
      </c>
      <c r="J283" s="64" t="s">
        <v>1074</v>
      </c>
      <c r="K283" s="64" t="s">
        <v>1711</v>
      </c>
      <c r="L283" s="64">
        <v>0</v>
      </c>
      <c r="O283" s="64">
        <v>1</v>
      </c>
      <c r="Q283" s="96"/>
      <c r="R283" s="94" t="s">
        <v>1796</v>
      </c>
      <c r="S283" s="64">
        <v>16</v>
      </c>
      <c r="U283" s="64">
        <v>16</v>
      </c>
      <c r="W283" s="96">
        <v>16</v>
      </c>
      <c r="X283" s="96"/>
      <c r="Y283" s="96"/>
      <c r="Z283" s="64">
        <v>12</v>
      </c>
      <c r="AA283" s="94" t="b">
        <v>1</v>
      </c>
      <c r="AB283" s="1"/>
      <c r="AC283" s="57" t="s">
        <v>1638</v>
      </c>
      <c r="AD283" s="1"/>
      <c r="AE283" s="57"/>
      <c r="AF283" s="1"/>
      <c r="AG283" s="1"/>
      <c r="AH283" s="1"/>
      <c r="AI283" s="1"/>
      <c r="AJ283" s="1"/>
      <c r="AK283" s="1"/>
      <c r="AL283" s="1"/>
      <c r="AM283" s="1"/>
      <c r="AN283" s="1"/>
      <c r="AO283" s="1"/>
      <c r="AP283" s="1"/>
      <c r="AQ283" s="1"/>
      <c r="AR283" s="1"/>
      <c r="AS283" s="1"/>
      <c r="AT283" s="1"/>
      <c r="AU283" s="1"/>
      <c r="AV283" s="1"/>
      <c r="AW283" s="1"/>
      <c r="AX283" s="1"/>
      <c r="AY283" s="1"/>
      <c r="AZ283" s="1"/>
      <c r="BA283" s="1"/>
      <c r="BB283" s="1"/>
      <c r="BC283" s="1"/>
      <c r="BD283" s="1"/>
      <c r="BE283" s="1"/>
      <c r="BF283" s="1"/>
      <c r="BG283" s="1"/>
      <c r="BH283" s="1"/>
      <c r="BI283" s="1"/>
      <c r="BJ283" s="1"/>
      <c r="BK283" s="1"/>
      <c r="BL283" s="1"/>
      <c r="BM283" s="1"/>
      <c r="BN283" s="1"/>
      <c r="BO283" s="1"/>
      <c r="BP283" s="1"/>
      <c r="BQ283" s="1"/>
      <c r="BR283" s="1"/>
      <c r="BS283" s="1"/>
      <c r="BT283" s="1"/>
      <c r="BU283" s="1"/>
      <c r="BV283" s="1"/>
    </row>
    <row r="284" spans="1:331" s="45" customFormat="1" x14ac:dyDescent="0.25">
      <c r="A284" s="45" t="s">
        <v>1075</v>
      </c>
      <c r="C284" s="96" t="s">
        <v>1651</v>
      </c>
      <c r="D284" s="45">
        <v>0</v>
      </c>
      <c r="H284" s="45" t="s">
        <v>1076</v>
      </c>
      <c r="I284" s="45" t="s">
        <v>1076</v>
      </c>
      <c r="J284" s="45" t="s">
        <v>1077</v>
      </c>
      <c r="K284" s="45" t="s">
        <v>1076</v>
      </c>
      <c r="L284" s="45">
        <v>0</v>
      </c>
      <c r="O284" s="45">
        <v>1</v>
      </c>
      <c r="P284" s="45" t="s">
        <v>1078</v>
      </c>
      <c r="Q284" s="96" t="s">
        <v>1604</v>
      </c>
      <c r="R284" s="96"/>
      <c r="S284" s="45">
        <v>7</v>
      </c>
      <c r="W284" s="96"/>
      <c r="X284" s="96"/>
      <c r="Y284" s="96"/>
      <c r="Z284" s="45">
        <v>-1</v>
      </c>
      <c r="AA284" s="94" t="b">
        <v>0</v>
      </c>
      <c r="AB284" s="1"/>
      <c r="AC284" s="57" t="s">
        <v>1300</v>
      </c>
      <c r="AD284" s="1"/>
      <c r="AE284" t="s">
        <v>1889</v>
      </c>
      <c r="AF284" s="1"/>
      <c r="AG284" s="1"/>
      <c r="AH284" s="1"/>
      <c r="AI284" s="1"/>
      <c r="AJ284" s="1"/>
      <c r="AK284" s="1"/>
      <c r="AL284" s="1"/>
      <c r="AM284" s="1"/>
      <c r="AN284" s="1"/>
      <c r="AO284" s="1"/>
      <c r="AP284" s="1"/>
      <c r="AQ284" s="1"/>
      <c r="AR284" s="1"/>
      <c r="AS284" s="1"/>
      <c r="AT284" s="1"/>
      <c r="AU284" s="1"/>
      <c r="AV284" s="1"/>
      <c r="AW284" s="1"/>
      <c r="AX284" s="1"/>
      <c r="AY284" s="1"/>
      <c r="AZ284" s="1"/>
      <c r="BA284" s="1"/>
      <c r="BB284" s="1"/>
      <c r="BC284" s="1"/>
      <c r="BD284" s="1"/>
      <c r="BE284" s="1"/>
      <c r="BF284" s="1"/>
      <c r="BG284" s="1"/>
      <c r="BH284" s="1"/>
      <c r="BI284" s="1"/>
      <c r="BJ284" s="1"/>
      <c r="BK284" s="1"/>
      <c r="BL284" s="1"/>
      <c r="BM284" s="1"/>
      <c r="BN284" s="1"/>
      <c r="BO284" s="1"/>
      <c r="BP284" s="1"/>
      <c r="BQ284" s="1"/>
      <c r="BR284" s="1"/>
      <c r="BS284" s="1"/>
      <c r="BT284" s="1"/>
      <c r="BU284" s="1"/>
      <c r="BV284" s="1"/>
      <c r="BW284" s="1"/>
      <c r="BX284" s="1"/>
      <c r="BY284" s="1"/>
      <c r="BZ284" s="1"/>
      <c r="CA284" s="1"/>
      <c r="CB284" s="1"/>
      <c r="CC284" s="1"/>
      <c r="CD284" s="1"/>
      <c r="CE284" s="1"/>
      <c r="CF284" s="1"/>
      <c r="CG284" s="1"/>
      <c r="CH284" s="1"/>
      <c r="CI284" s="1"/>
      <c r="CJ284" s="1"/>
      <c r="CK284" s="1"/>
      <c r="CL284" s="1"/>
      <c r="CM284" s="1"/>
      <c r="CN284" s="1"/>
      <c r="CO284" s="1"/>
      <c r="CP284" s="1"/>
      <c r="CQ284" s="1"/>
      <c r="CR284" s="1"/>
      <c r="CS284" s="1"/>
      <c r="CT284" s="1"/>
      <c r="CU284" s="1"/>
      <c r="CV284" s="1"/>
      <c r="CW284" s="1"/>
      <c r="CX284" s="1"/>
      <c r="CY284" s="1"/>
      <c r="CZ284" s="1"/>
      <c r="DA284" s="1"/>
      <c r="DB284" s="1"/>
      <c r="DC284" s="1"/>
      <c r="DD284" s="1"/>
      <c r="DE284" s="1"/>
      <c r="DF284" s="1"/>
      <c r="DG284" s="1"/>
      <c r="DH284" s="1"/>
      <c r="DI284" s="1"/>
      <c r="DJ284" s="1"/>
      <c r="DK284" s="1"/>
      <c r="DL284" s="1"/>
      <c r="DM284" s="1"/>
      <c r="DN284" s="1"/>
      <c r="DO284" s="1"/>
      <c r="DP284" s="1"/>
      <c r="DQ284" s="1"/>
      <c r="DR284" s="1"/>
      <c r="DS284" s="1"/>
      <c r="DT284" s="1"/>
      <c r="DU284" s="1"/>
      <c r="DV284" s="1"/>
      <c r="DW284" s="1"/>
      <c r="DX284" s="1"/>
      <c r="DY284" s="1"/>
      <c r="DZ284" s="1"/>
      <c r="EA284" s="1"/>
      <c r="EB284" s="1"/>
      <c r="EC284" s="1"/>
      <c r="ED284" s="1"/>
      <c r="EE284" s="1"/>
      <c r="EF284" s="1"/>
      <c r="EG284" s="1"/>
      <c r="EH284" s="1"/>
      <c r="EI284" s="1"/>
      <c r="EJ284" s="1"/>
      <c r="EK284" s="1"/>
      <c r="EL284" s="1"/>
      <c r="EM284" s="1"/>
      <c r="EN284" s="1"/>
      <c r="EO284" s="1"/>
      <c r="EP284" s="1"/>
      <c r="EQ284" s="1"/>
      <c r="ER284" s="1"/>
      <c r="ES284" s="1"/>
      <c r="ET284" s="1"/>
      <c r="EU284" s="1"/>
      <c r="EV284" s="1"/>
      <c r="EW284" s="1"/>
      <c r="EX284" s="1"/>
      <c r="EY284" s="1"/>
      <c r="EZ284" s="1"/>
      <c r="FA284" s="1"/>
      <c r="FB284" s="1"/>
      <c r="FC284" s="1"/>
      <c r="FD284" s="1"/>
      <c r="FE284" s="1"/>
      <c r="FF284" s="1"/>
      <c r="FG284" s="1"/>
      <c r="FH284" s="1"/>
      <c r="FI284" s="1"/>
      <c r="FJ284" s="1"/>
      <c r="FK284" s="1"/>
      <c r="FL284" s="1"/>
      <c r="FM284" s="1"/>
      <c r="FN284" s="1"/>
      <c r="FO284" s="1"/>
      <c r="FP284" s="1"/>
      <c r="FQ284" s="1"/>
      <c r="FR284" s="1"/>
      <c r="FS284" s="1"/>
      <c r="FT284" s="1"/>
      <c r="FU284" s="1"/>
      <c r="FV284" s="1"/>
      <c r="FW284" s="1"/>
      <c r="FX284" s="1"/>
      <c r="FY284" s="1"/>
      <c r="FZ284" s="1"/>
      <c r="GA284" s="1"/>
      <c r="GB284" s="1"/>
      <c r="GC284" s="1"/>
      <c r="GD284" s="1"/>
      <c r="GE284" s="1"/>
      <c r="GF284" s="1"/>
      <c r="GG284" s="1"/>
      <c r="GH284" s="1"/>
      <c r="GI284" s="1"/>
      <c r="GJ284" s="1"/>
      <c r="GK284" s="1"/>
      <c r="GL284" s="1"/>
      <c r="GM284" s="1"/>
      <c r="GN284" s="1"/>
      <c r="GO284" s="1"/>
      <c r="GP284" s="1"/>
      <c r="GQ284" s="1"/>
      <c r="GR284" s="1"/>
      <c r="GS284" s="1"/>
      <c r="GT284" s="1"/>
      <c r="GU284" s="1"/>
      <c r="GV284" s="1"/>
      <c r="GW284" s="1"/>
      <c r="GX284" s="1"/>
      <c r="GY284" s="1"/>
      <c r="GZ284" s="1"/>
      <c r="HA284" s="1"/>
      <c r="HB284" s="1"/>
      <c r="HC284" s="1"/>
      <c r="HD284" s="1"/>
      <c r="HE284" s="1"/>
      <c r="HF284" s="1"/>
      <c r="HG284" s="1"/>
      <c r="HH284" s="1"/>
      <c r="HI284" s="1"/>
      <c r="HJ284" s="1"/>
      <c r="HK284" s="1"/>
      <c r="HL284" s="1"/>
      <c r="HM284" s="1"/>
      <c r="HN284" s="1"/>
      <c r="HO284" s="1"/>
      <c r="HP284" s="1"/>
      <c r="HQ284" s="1"/>
      <c r="HR284" s="1"/>
      <c r="HS284" s="1"/>
      <c r="HT284" s="1"/>
      <c r="HU284" s="1"/>
      <c r="HV284" s="1"/>
      <c r="HW284" s="1"/>
      <c r="HX284" s="1"/>
      <c r="HY284" s="1"/>
      <c r="HZ284" s="1"/>
      <c r="IA284" s="1"/>
      <c r="IB284" s="1"/>
      <c r="IC284" s="1"/>
      <c r="ID284" s="1"/>
      <c r="IE284" s="1"/>
      <c r="IF284" s="1"/>
      <c r="IG284" s="1"/>
      <c r="IH284" s="1"/>
      <c r="II284" s="1"/>
      <c r="IJ284" s="1"/>
      <c r="IK284" s="1"/>
      <c r="IL284" s="1"/>
      <c r="IM284" s="1"/>
      <c r="IN284" s="1"/>
      <c r="IO284" s="1"/>
      <c r="IP284" s="1"/>
      <c r="IQ284" s="1"/>
      <c r="IR284" s="1"/>
      <c r="IS284" s="1"/>
      <c r="IT284" s="1"/>
      <c r="IU284" s="1"/>
      <c r="IV284" s="1"/>
      <c r="IW284" s="1"/>
      <c r="IX284" s="1"/>
      <c r="IY284" s="1"/>
      <c r="IZ284" s="1"/>
      <c r="JA284" s="1"/>
      <c r="JB284" s="1"/>
      <c r="JC284" s="1"/>
      <c r="JD284" s="1"/>
      <c r="JE284" s="1"/>
      <c r="JF284" s="1"/>
      <c r="JG284" s="1"/>
      <c r="JH284" s="1"/>
      <c r="JI284" s="1"/>
      <c r="JJ284" s="1"/>
      <c r="JK284" s="1"/>
      <c r="JL284" s="1"/>
      <c r="JM284" s="1"/>
      <c r="JN284" s="1"/>
      <c r="JO284" s="1"/>
      <c r="JP284" s="1"/>
      <c r="JQ284" s="1"/>
      <c r="JR284" s="1"/>
      <c r="JS284" s="1"/>
      <c r="JT284" s="1"/>
      <c r="JU284" s="1"/>
      <c r="JV284" s="1"/>
      <c r="JW284" s="1"/>
      <c r="JX284" s="1"/>
      <c r="JY284" s="1"/>
      <c r="JZ284" s="1"/>
      <c r="KA284" s="1"/>
      <c r="KB284" s="1"/>
      <c r="KC284" s="1"/>
      <c r="KD284" s="1"/>
      <c r="KE284" s="1"/>
      <c r="KF284" s="1"/>
      <c r="KG284" s="1"/>
      <c r="KH284" s="1"/>
      <c r="KI284" s="1"/>
      <c r="KJ284" s="1"/>
      <c r="KK284" s="1"/>
      <c r="KL284" s="1"/>
      <c r="KM284" s="1"/>
      <c r="KN284" s="1"/>
      <c r="KO284" s="1"/>
      <c r="KP284" s="1"/>
      <c r="KQ284" s="1"/>
      <c r="KR284" s="1"/>
      <c r="KS284" s="1"/>
      <c r="KT284" s="1"/>
      <c r="KU284" s="1"/>
      <c r="KV284" s="1"/>
      <c r="KW284" s="1"/>
      <c r="KX284" s="1"/>
      <c r="KY284" s="1"/>
      <c r="KZ284" s="1"/>
      <c r="LA284" s="1"/>
      <c r="LB284" s="1"/>
      <c r="LC284" s="1"/>
      <c r="LD284" s="1"/>
      <c r="LE284" s="1"/>
      <c r="LF284" s="1"/>
      <c r="LG284" s="1"/>
      <c r="LH284" s="1"/>
      <c r="LI284" s="1"/>
      <c r="LJ284" s="1"/>
      <c r="LK284" s="1"/>
      <c r="LL284" s="1"/>
      <c r="LM284" s="1"/>
      <c r="LN284" s="1"/>
      <c r="LO284" s="1"/>
      <c r="LP284" s="1"/>
      <c r="LQ284" s="1"/>
      <c r="LR284" s="1"/>
      <c r="LS284" s="1"/>
    </row>
    <row r="285" spans="1:331" s="25" customFormat="1" x14ac:dyDescent="0.25">
      <c r="A285" s="25" t="s">
        <v>1079</v>
      </c>
      <c r="B285" s="29" t="s">
        <v>1080</v>
      </c>
      <c r="C285" s="94" t="s">
        <v>1651</v>
      </c>
      <c r="D285" s="25">
        <v>0</v>
      </c>
      <c r="H285" s="25" t="s">
        <v>1081</v>
      </c>
      <c r="I285" s="25" t="s">
        <v>1082</v>
      </c>
      <c r="J285" s="25" t="s">
        <v>1081</v>
      </c>
      <c r="K285" s="25" t="s">
        <v>1081</v>
      </c>
      <c r="L285" s="25">
        <v>0</v>
      </c>
      <c r="O285" s="25">
        <v>0</v>
      </c>
      <c r="Q285" s="96" t="s">
        <v>1605</v>
      </c>
      <c r="R285" s="96"/>
      <c r="S285" s="25">
        <v>10</v>
      </c>
      <c r="U285" s="25">
        <v>8</v>
      </c>
      <c r="W285" s="96">
        <v>10</v>
      </c>
      <c r="X285" s="96"/>
      <c r="Y285" s="96"/>
      <c r="Z285" s="25">
        <v>5</v>
      </c>
      <c r="AA285" s="94" t="b">
        <v>1</v>
      </c>
      <c r="AB285" s="1"/>
      <c r="AC285" s="57" t="s">
        <v>1350</v>
      </c>
      <c r="AD285" s="1"/>
      <c r="AE285" s="57"/>
      <c r="AF285" s="1"/>
      <c r="AG285" s="1"/>
      <c r="AH285" s="1"/>
      <c r="AI285" s="1"/>
      <c r="AJ285" s="1"/>
      <c r="AK285" s="1"/>
      <c r="AL285" s="1"/>
      <c r="AM285" s="1"/>
      <c r="AN285" s="1"/>
      <c r="AO285" s="1"/>
      <c r="AP285" s="1"/>
      <c r="AQ285" s="1"/>
      <c r="AR285" s="1"/>
      <c r="AS285" s="1"/>
      <c r="AT285" s="1"/>
      <c r="AU285" s="1"/>
      <c r="AV285" s="1"/>
      <c r="AW285" s="1"/>
      <c r="AX285" s="1"/>
      <c r="AY285" s="1"/>
      <c r="AZ285" s="1"/>
      <c r="BA285" s="1"/>
      <c r="BB285" s="1"/>
      <c r="BC285" s="1"/>
      <c r="BD285" s="1"/>
      <c r="BE285" s="1"/>
      <c r="BF285" s="1"/>
      <c r="BG285" s="1"/>
      <c r="BH285" s="1"/>
      <c r="BI285" s="1"/>
      <c r="BJ285" s="1"/>
      <c r="BK285" s="1"/>
      <c r="BL285" s="1"/>
      <c r="BM285" s="1"/>
      <c r="BN285" s="1"/>
      <c r="BO285" s="1"/>
      <c r="BP285" s="1"/>
      <c r="BQ285" s="1"/>
      <c r="BR285" s="1"/>
      <c r="BS285" s="1"/>
      <c r="BT285" s="1"/>
      <c r="BU285" s="1"/>
      <c r="BV285" s="1"/>
      <c r="BW285" s="1"/>
      <c r="BX285" s="1"/>
      <c r="BY285" s="1"/>
      <c r="BZ285" s="1"/>
      <c r="CA285" s="1"/>
      <c r="CB285" s="1"/>
      <c r="CC285" s="1"/>
      <c r="CD285" s="1"/>
      <c r="CE285" s="1"/>
      <c r="CF285" s="1"/>
      <c r="CG285" s="1"/>
      <c r="CH285" s="1"/>
      <c r="CI285" s="1"/>
      <c r="CJ285" s="1"/>
      <c r="CK285" s="1"/>
      <c r="CL285" s="1"/>
      <c r="CM285" s="1"/>
      <c r="CN285" s="1"/>
      <c r="CO285" s="1"/>
      <c r="CP285" s="1"/>
      <c r="CQ285" s="1"/>
      <c r="CR285" s="1"/>
      <c r="CS285" s="1"/>
      <c r="CT285" s="1"/>
      <c r="CU285" s="1"/>
      <c r="CV285" s="1"/>
      <c r="CW285" s="1"/>
      <c r="CX285" s="1"/>
      <c r="CY285" s="1"/>
      <c r="CZ285" s="1"/>
      <c r="DA285" s="1"/>
      <c r="DB285" s="1"/>
      <c r="DC285" s="1"/>
      <c r="DD285" s="1"/>
      <c r="DE285" s="1"/>
      <c r="DF285" s="1"/>
      <c r="DG285" s="1"/>
      <c r="DH285" s="1"/>
      <c r="DI285" s="1"/>
      <c r="DJ285" s="1"/>
      <c r="DK285" s="1"/>
      <c r="DL285" s="1"/>
      <c r="DM285" s="1"/>
      <c r="DN285" s="1"/>
      <c r="DO285" s="1"/>
      <c r="DP285" s="1"/>
      <c r="DQ285" s="1"/>
      <c r="DR285" s="1"/>
      <c r="DS285" s="1"/>
      <c r="DT285" s="1"/>
      <c r="DU285" s="1"/>
      <c r="DV285" s="1"/>
      <c r="DW285" s="1"/>
      <c r="DX285" s="1"/>
      <c r="DY285" s="1"/>
      <c r="DZ285" s="1"/>
      <c r="EA285" s="1"/>
      <c r="EB285" s="1"/>
      <c r="EC285" s="1"/>
      <c r="ED285" s="1"/>
      <c r="EE285" s="1"/>
      <c r="EF285" s="1"/>
      <c r="EG285" s="1"/>
      <c r="EH285" s="1"/>
      <c r="EI285" s="1"/>
      <c r="EJ285" s="1"/>
      <c r="EK285" s="1"/>
      <c r="EL285" s="1"/>
      <c r="EM285" s="1"/>
      <c r="EN285" s="1"/>
      <c r="EO285" s="1"/>
      <c r="EP285" s="1"/>
      <c r="EQ285" s="1"/>
      <c r="ER285" s="1"/>
      <c r="ES285" s="1"/>
      <c r="ET285" s="1"/>
      <c r="EU285" s="1"/>
      <c r="EV285" s="1"/>
      <c r="EW285" s="1"/>
      <c r="EX285" s="1"/>
      <c r="EY285" s="1"/>
      <c r="EZ285" s="1"/>
      <c r="FA285" s="1"/>
      <c r="FB285" s="1"/>
      <c r="FC285" s="1"/>
      <c r="FD285" s="1"/>
      <c r="FE285" s="1"/>
      <c r="FF285" s="1"/>
      <c r="FG285" s="1"/>
      <c r="FH285" s="1"/>
      <c r="FI285" s="1"/>
      <c r="FJ285" s="1"/>
      <c r="FK285" s="1"/>
      <c r="FL285" s="1"/>
      <c r="FM285" s="1"/>
      <c r="FN285" s="1"/>
      <c r="FO285" s="1"/>
      <c r="FP285" s="1"/>
      <c r="FQ285" s="1"/>
      <c r="FR285" s="1"/>
      <c r="FS285" s="1"/>
      <c r="FT285" s="1"/>
      <c r="FU285" s="1"/>
      <c r="FV285" s="1"/>
      <c r="FW285" s="1"/>
      <c r="FX285" s="1"/>
      <c r="FY285" s="1"/>
      <c r="FZ285" s="1"/>
      <c r="GA285" s="1"/>
      <c r="GB285" s="1"/>
      <c r="GC285" s="1"/>
      <c r="GD285" s="1"/>
      <c r="GE285" s="1"/>
      <c r="GF285" s="1"/>
      <c r="GG285" s="1"/>
      <c r="GH285" s="1"/>
      <c r="GI285" s="1"/>
      <c r="GJ285" s="1"/>
      <c r="GK285" s="1"/>
      <c r="GL285" s="1"/>
      <c r="GM285" s="1"/>
      <c r="GN285" s="1"/>
      <c r="GO285" s="1"/>
      <c r="GP285" s="1"/>
      <c r="GQ285" s="1"/>
      <c r="GR285" s="1"/>
      <c r="GS285" s="1"/>
      <c r="GT285" s="1"/>
      <c r="GU285" s="1"/>
      <c r="GV285" s="1"/>
      <c r="GW285" s="1"/>
      <c r="GX285" s="1"/>
      <c r="GY285" s="1"/>
      <c r="GZ285" s="1"/>
      <c r="HA285" s="1"/>
      <c r="HB285" s="1"/>
      <c r="HC285" s="1"/>
      <c r="HD285" s="1"/>
      <c r="HE285" s="1"/>
      <c r="HF285" s="1"/>
      <c r="HG285" s="1"/>
      <c r="HH285" s="1"/>
      <c r="HI285" s="1"/>
      <c r="HJ285" s="1"/>
      <c r="HK285" s="1"/>
      <c r="HL285" s="1"/>
      <c r="HM285" s="1"/>
      <c r="HN285" s="1"/>
      <c r="HO285" s="1"/>
      <c r="HP285" s="1"/>
      <c r="HQ285" s="1"/>
      <c r="HR285" s="1"/>
      <c r="HS285" s="1"/>
      <c r="HT285" s="1"/>
      <c r="HU285" s="1"/>
      <c r="HV285" s="1"/>
      <c r="HW285" s="1"/>
      <c r="HX285" s="1"/>
      <c r="HY285" s="1"/>
      <c r="HZ285" s="1"/>
      <c r="IA285" s="1"/>
      <c r="IB285" s="1"/>
      <c r="IC285" s="1"/>
      <c r="ID285" s="1"/>
      <c r="IE285" s="1"/>
      <c r="IF285" s="1"/>
      <c r="IG285" s="1"/>
      <c r="IH285" s="1"/>
      <c r="II285" s="1"/>
      <c r="IJ285" s="1"/>
      <c r="IK285" s="1"/>
      <c r="IL285" s="1"/>
      <c r="IM285" s="1"/>
      <c r="IN285" s="1"/>
      <c r="IO285" s="1"/>
      <c r="IP285" s="1"/>
      <c r="IQ285" s="1"/>
      <c r="IR285" s="1"/>
      <c r="IS285" s="1"/>
      <c r="IT285" s="1"/>
      <c r="IU285" s="1"/>
      <c r="IV285" s="1"/>
      <c r="IW285" s="1"/>
      <c r="IX285" s="1"/>
      <c r="IY285" s="1"/>
      <c r="IZ285" s="1"/>
      <c r="JA285" s="1"/>
      <c r="JB285" s="1"/>
      <c r="JC285" s="1"/>
      <c r="JD285" s="1"/>
      <c r="JE285" s="1"/>
      <c r="JF285" s="1"/>
      <c r="JG285" s="1"/>
      <c r="JH285" s="1"/>
      <c r="JI285" s="1"/>
      <c r="JJ285" s="1"/>
      <c r="JK285" s="1"/>
      <c r="JL285" s="1"/>
      <c r="JM285" s="1"/>
      <c r="JN285" s="1"/>
      <c r="JO285" s="1"/>
      <c r="JP285" s="1"/>
      <c r="JQ285" s="1"/>
      <c r="JR285" s="1"/>
      <c r="JS285" s="1"/>
      <c r="JT285" s="1"/>
      <c r="JU285" s="1"/>
      <c r="JV285" s="1"/>
      <c r="JW285" s="1"/>
      <c r="JX285" s="1"/>
      <c r="JY285" s="1"/>
      <c r="JZ285" s="1"/>
      <c r="KA285" s="1"/>
      <c r="KB285" s="1"/>
      <c r="KC285" s="1"/>
      <c r="KD285" s="1"/>
      <c r="KE285" s="1"/>
      <c r="KF285" s="1"/>
      <c r="KG285" s="1"/>
      <c r="KH285" s="1"/>
      <c r="KI285" s="1"/>
      <c r="KJ285" s="1"/>
      <c r="KK285" s="1"/>
      <c r="KL285" s="1"/>
      <c r="KM285" s="1"/>
      <c r="KN285" s="1"/>
      <c r="KO285" s="1"/>
      <c r="KP285" s="1"/>
      <c r="KQ285" s="1"/>
      <c r="KR285" s="1"/>
      <c r="KS285" s="1"/>
      <c r="KT285" s="1"/>
      <c r="KU285" s="1"/>
      <c r="KV285" s="1"/>
      <c r="KW285" s="1"/>
      <c r="KX285" s="1"/>
      <c r="KY285" s="1"/>
      <c r="KZ285" s="1"/>
      <c r="LA285" s="1"/>
      <c r="LB285" s="1"/>
      <c r="LC285" s="1"/>
      <c r="LD285" s="1"/>
      <c r="LE285" s="1"/>
      <c r="LF285" s="1"/>
      <c r="LG285" s="1"/>
      <c r="LH285" s="1"/>
      <c r="LI285" s="1"/>
      <c r="LJ285" s="1"/>
      <c r="LK285" s="1"/>
      <c r="LL285" s="1"/>
      <c r="LM285" s="1"/>
      <c r="LN285" s="1"/>
      <c r="LO285" s="1"/>
      <c r="LP285" s="1"/>
      <c r="LQ285" s="1"/>
      <c r="LR285" s="1"/>
      <c r="LS285" s="1"/>
    </row>
    <row r="286" spans="1:331" s="25" customFormat="1" x14ac:dyDescent="0.25">
      <c r="A286" s="25" t="s">
        <v>1083</v>
      </c>
      <c r="B286" s="29" t="s">
        <v>1084</v>
      </c>
      <c r="C286" s="94" t="s">
        <v>1651</v>
      </c>
      <c r="D286" s="25">
        <v>0</v>
      </c>
      <c r="H286" s="25" t="s">
        <v>1085</v>
      </c>
      <c r="I286" s="25" t="s">
        <v>1086</v>
      </c>
      <c r="J286" s="25" t="s">
        <v>1085</v>
      </c>
      <c r="K286" s="25" t="s">
        <v>1085</v>
      </c>
      <c r="L286" s="25">
        <v>0</v>
      </c>
      <c r="O286" s="25">
        <v>0</v>
      </c>
      <c r="Q286" s="96" t="s">
        <v>1606</v>
      </c>
      <c r="R286" s="96"/>
      <c r="T286" s="25">
        <v>7</v>
      </c>
      <c r="V286" s="25">
        <v>6</v>
      </c>
      <c r="W286" s="96">
        <v>7</v>
      </c>
      <c r="X286" s="96"/>
      <c r="Y286" s="96"/>
      <c r="Z286" s="25">
        <v>5</v>
      </c>
      <c r="AA286" s="94" t="b">
        <v>1</v>
      </c>
      <c r="AB286" s="1"/>
      <c r="AC286" s="57" t="s">
        <v>1351</v>
      </c>
      <c r="AD286" s="1"/>
      <c r="AE286" s="57"/>
      <c r="AF286" s="1"/>
      <c r="AG286" s="1"/>
      <c r="AH286" s="1"/>
      <c r="AI286" s="1"/>
      <c r="AJ286" s="1"/>
      <c r="AK286" s="1"/>
      <c r="AL286" s="1"/>
      <c r="AM286" s="1"/>
      <c r="AN286" s="1"/>
      <c r="AO286" s="1"/>
      <c r="AP286" s="1"/>
      <c r="AQ286" s="1"/>
      <c r="AR286" s="1"/>
      <c r="AS286" s="1"/>
      <c r="AT286" s="1"/>
      <c r="AU286" s="1"/>
      <c r="AV286" s="1"/>
      <c r="AW286" s="1"/>
      <c r="AX286" s="1"/>
      <c r="AY286" s="1"/>
      <c r="AZ286" s="1"/>
      <c r="BA286" s="1"/>
      <c r="BB286" s="1"/>
      <c r="BC286" s="1"/>
      <c r="BD286" s="1"/>
      <c r="BE286" s="1"/>
      <c r="BF286" s="1"/>
      <c r="BG286" s="1"/>
      <c r="BH286" s="1"/>
      <c r="BI286" s="1"/>
      <c r="BJ286" s="1"/>
      <c r="BK286" s="1"/>
      <c r="BL286" s="1"/>
      <c r="BM286" s="1"/>
      <c r="BN286" s="1"/>
      <c r="BO286" s="1"/>
      <c r="BP286" s="1"/>
      <c r="BQ286" s="1"/>
      <c r="BR286" s="1"/>
      <c r="BS286" s="1"/>
      <c r="BT286" s="1"/>
      <c r="BU286" s="1"/>
      <c r="BV286" s="1"/>
      <c r="BW286" s="1"/>
      <c r="BX286" s="1"/>
      <c r="BY286" s="1"/>
      <c r="BZ286" s="1"/>
      <c r="CA286" s="1"/>
      <c r="CB286" s="1"/>
      <c r="CC286" s="1"/>
      <c r="CD286" s="1"/>
      <c r="CE286" s="1"/>
      <c r="CF286" s="1"/>
      <c r="CG286" s="1"/>
      <c r="CH286" s="1"/>
      <c r="CI286" s="1"/>
      <c r="CJ286" s="1"/>
      <c r="CK286" s="1"/>
      <c r="CL286" s="1"/>
      <c r="CM286" s="1"/>
      <c r="CN286" s="1"/>
      <c r="CO286" s="1"/>
      <c r="CP286" s="1"/>
      <c r="CQ286" s="1"/>
      <c r="CR286" s="1"/>
      <c r="CS286" s="1"/>
      <c r="CT286" s="1"/>
      <c r="CU286" s="1"/>
      <c r="CV286" s="1"/>
      <c r="CW286" s="1"/>
      <c r="CX286" s="1"/>
      <c r="CY286" s="1"/>
      <c r="CZ286" s="1"/>
      <c r="DA286" s="1"/>
      <c r="DB286" s="1"/>
      <c r="DC286" s="1"/>
      <c r="DD286" s="1"/>
      <c r="DE286" s="1"/>
      <c r="DF286" s="1"/>
      <c r="DG286" s="1"/>
      <c r="DH286" s="1"/>
      <c r="DI286" s="1"/>
      <c r="DJ286" s="1"/>
      <c r="DK286" s="1"/>
      <c r="DL286" s="1"/>
      <c r="DM286" s="1"/>
      <c r="DN286" s="1"/>
      <c r="DO286" s="1"/>
      <c r="DP286" s="1"/>
      <c r="DQ286" s="1"/>
      <c r="DR286" s="1"/>
      <c r="DS286" s="1"/>
      <c r="DT286" s="1"/>
      <c r="DU286" s="1"/>
      <c r="DV286" s="1"/>
      <c r="DW286" s="1"/>
      <c r="DX286" s="1"/>
      <c r="DY286" s="1"/>
      <c r="DZ286" s="1"/>
      <c r="EA286" s="1"/>
      <c r="EB286" s="1"/>
      <c r="EC286" s="1"/>
      <c r="ED286" s="1"/>
      <c r="EE286" s="1"/>
      <c r="EF286" s="1"/>
      <c r="EG286" s="1"/>
      <c r="EH286" s="1"/>
      <c r="EI286" s="1"/>
      <c r="EJ286" s="1"/>
      <c r="EK286" s="1"/>
      <c r="EL286" s="1"/>
      <c r="EM286" s="1"/>
      <c r="EN286" s="1"/>
      <c r="EO286" s="1"/>
      <c r="EP286" s="1"/>
      <c r="EQ286" s="1"/>
      <c r="ER286" s="1"/>
      <c r="ES286" s="1"/>
      <c r="ET286" s="1"/>
      <c r="EU286" s="1"/>
      <c r="EV286" s="1"/>
      <c r="EW286" s="1"/>
      <c r="EX286" s="1"/>
      <c r="EY286" s="1"/>
      <c r="EZ286" s="1"/>
      <c r="FA286" s="1"/>
      <c r="FB286" s="1"/>
      <c r="FC286" s="1"/>
      <c r="FD286" s="1"/>
      <c r="FE286" s="1"/>
      <c r="FF286" s="1"/>
      <c r="FG286" s="1"/>
      <c r="FH286" s="1"/>
      <c r="FI286" s="1"/>
      <c r="FJ286" s="1"/>
      <c r="FK286" s="1"/>
      <c r="FL286" s="1"/>
      <c r="FM286" s="1"/>
      <c r="FN286" s="1"/>
      <c r="FO286" s="1"/>
      <c r="FP286" s="1"/>
      <c r="FQ286" s="1"/>
      <c r="FR286" s="1"/>
      <c r="FS286" s="1"/>
      <c r="FT286" s="1"/>
      <c r="FU286" s="1"/>
      <c r="FV286" s="1"/>
      <c r="FW286" s="1"/>
      <c r="FX286" s="1"/>
      <c r="FY286" s="1"/>
      <c r="FZ286" s="1"/>
      <c r="GA286" s="1"/>
      <c r="GB286" s="1"/>
      <c r="GC286" s="1"/>
      <c r="GD286" s="1"/>
      <c r="GE286" s="1"/>
      <c r="GF286" s="1"/>
      <c r="GG286" s="1"/>
      <c r="GH286" s="1"/>
      <c r="GI286" s="1"/>
      <c r="GJ286" s="1"/>
      <c r="GK286" s="1"/>
      <c r="GL286" s="1"/>
      <c r="GM286" s="1"/>
      <c r="GN286" s="1"/>
      <c r="GO286" s="1"/>
      <c r="GP286" s="1"/>
      <c r="GQ286" s="1"/>
      <c r="GR286" s="1"/>
      <c r="GS286" s="1"/>
      <c r="GT286" s="1"/>
      <c r="GU286" s="1"/>
      <c r="GV286" s="1"/>
      <c r="GW286" s="1"/>
      <c r="GX286" s="1"/>
      <c r="GY286" s="1"/>
      <c r="GZ286" s="1"/>
      <c r="HA286" s="1"/>
      <c r="HB286" s="1"/>
      <c r="HC286" s="1"/>
      <c r="HD286" s="1"/>
      <c r="HE286" s="1"/>
      <c r="HF286" s="1"/>
      <c r="HG286" s="1"/>
      <c r="HH286" s="1"/>
      <c r="HI286" s="1"/>
      <c r="HJ286" s="1"/>
      <c r="HK286" s="1"/>
      <c r="HL286" s="1"/>
      <c r="HM286" s="1"/>
      <c r="HN286" s="1"/>
      <c r="HO286" s="1"/>
      <c r="HP286" s="1"/>
      <c r="HQ286" s="1"/>
      <c r="HR286" s="1"/>
      <c r="HS286" s="1"/>
      <c r="HT286" s="1"/>
      <c r="HU286" s="1"/>
      <c r="HV286" s="1"/>
      <c r="HW286" s="1"/>
      <c r="HX286" s="1"/>
      <c r="HY286" s="1"/>
      <c r="HZ286" s="1"/>
      <c r="IA286" s="1"/>
      <c r="IB286" s="1"/>
      <c r="IC286" s="1"/>
      <c r="ID286" s="1"/>
      <c r="IE286" s="1"/>
      <c r="IF286" s="1"/>
      <c r="IG286" s="1"/>
      <c r="IH286" s="1"/>
      <c r="II286" s="1"/>
      <c r="IJ286" s="1"/>
      <c r="IK286" s="1"/>
      <c r="IL286" s="1"/>
      <c r="IM286" s="1"/>
      <c r="IN286" s="1"/>
      <c r="IO286" s="1"/>
      <c r="IP286" s="1"/>
      <c r="IQ286" s="1"/>
      <c r="IR286" s="1"/>
      <c r="IS286" s="1"/>
      <c r="IT286" s="1"/>
      <c r="IU286" s="1"/>
      <c r="IV286" s="1"/>
      <c r="IW286" s="1"/>
      <c r="IX286" s="1"/>
      <c r="IY286" s="1"/>
      <c r="IZ286" s="1"/>
      <c r="JA286" s="1"/>
      <c r="JB286" s="1"/>
      <c r="JC286" s="1"/>
      <c r="JD286" s="1"/>
      <c r="JE286" s="1"/>
      <c r="JF286" s="1"/>
      <c r="JG286" s="1"/>
      <c r="JH286" s="1"/>
      <c r="JI286" s="1"/>
      <c r="JJ286" s="1"/>
      <c r="JK286" s="1"/>
      <c r="JL286" s="1"/>
      <c r="JM286" s="1"/>
      <c r="JN286" s="1"/>
      <c r="JO286" s="1"/>
      <c r="JP286" s="1"/>
      <c r="JQ286" s="1"/>
      <c r="JR286" s="1"/>
      <c r="JS286" s="1"/>
      <c r="JT286" s="1"/>
      <c r="JU286" s="1"/>
      <c r="JV286" s="1"/>
      <c r="JW286" s="1"/>
      <c r="JX286" s="1"/>
      <c r="JY286" s="1"/>
      <c r="JZ286" s="1"/>
      <c r="KA286" s="1"/>
      <c r="KB286" s="1"/>
      <c r="KC286" s="1"/>
      <c r="KD286" s="1"/>
      <c r="KE286" s="1"/>
      <c r="KF286" s="1"/>
      <c r="KG286" s="1"/>
      <c r="KH286" s="1"/>
      <c r="KI286" s="1"/>
      <c r="KJ286" s="1"/>
      <c r="KK286" s="1"/>
      <c r="KL286" s="1"/>
      <c r="KM286" s="1"/>
      <c r="KN286" s="1"/>
      <c r="KO286" s="1"/>
      <c r="KP286" s="1"/>
      <c r="KQ286" s="1"/>
      <c r="KR286" s="1"/>
      <c r="KS286" s="1"/>
      <c r="KT286" s="1"/>
      <c r="KU286" s="1"/>
      <c r="KV286" s="1"/>
      <c r="KW286" s="1"/>
      <c r="KX286" s="1"/>
      <c r="KY286" s="1"/>
      <c r="KZ286" s="1"/>
      <c r="LA286" s="1"/>
      <c r="LB286" s="1"/>
      <c r="LC286" s="1"/>
      <c r="LD286" s="1"/>
      <c r="LE286" s="1"/>
      <c r="LF286" s="1"/>
      <c r="LG286" s="1"/>
      <c r="LH286" s="1"/>
      <c r="LI286" s="1"/>
      <c r="LJ286" s="1"/>
      <c r="LK286" s="1"/>
      <c r="LL286" s="1"/>
      <c r="LM286" s="1"/>
      <c r="LN286" s="1"/>
      <c r="LO286" s="1"/>
      <c r="LP286" s="1"/>
      <c r="LQ286" s="1"/>
      <c r="LR286" s="1"/>
      <c r="LS286" s="1"/>
    </row>
    <row r="287" spans="1:331" s="40" customFormat="1" x14ac:dyDescent="0.25">
      <c r="A287" s="40" t="s">
        <v>1087</v>
      </c>
      <c r="B287" s="44" t="s">
        <v>1088</v>
      </c>
      <c r="C287" s="94" t="s">
        <v>1651</v>
      </c>
      <c r="D287" s="40">
        <v>0</v>
      </c>
      <c r="H287" s="40" t="s">
        <v>1089</v>
      </c>
      <c r="I287" s="40" t="s">
        <v>1090</v>
      </c>
      <c r="J287" s="40" t="s">
        <v>1091</v>
      </c>
      <c r="K287" s="40" t="s">
        <v>1089</v>
      </c>
      <c r="L287" s="40">
        <v>0</v>
      </c>
      <c r="O287" s="40">
        <v>1</v>
      </c>
      <c r="P287" s="40" t="s">
        <v>1092</v>
      </c>
      <c r="Q287" s="96" t="s">
        <v>1607</v>
      </c>
      <c r="R287" s="96"/>
      <c r="T287" s="40">
        <v>8</v>
      </c>
      <c r="V287" s="40">
        <v>10</v>
      </c>
      <c r="W287" s="96">
        <v>8</v>
      </c>
      <c r="X287" s="96"/>
      <c r="Y287" s="96"/>
      <c r="Z287" s="40">
        <v>8</v>
      </c>
      <c r="AA287" s="94" t="b">
        <v>1</v>
      </c>
      <c r="AB287" s="1"/>
      <c r="AC287" s="57" t="s">
        <v>1441</v>
      </c>
      <c r="AD287" s="1"/>
      <c r="AE287" s="57"/>
      <c r="AF287" s="1"/>
      <c r="AG287" s="1"/>
      <c r="AH287" s="1"/>
      <c r="AI287" s="1"/>
      <c r="AJ287" s="1"/>
      <c r="AK287" s="1"/>
      <c r="AL287" s="1"/>
      <c r="AM287" s="1"/>
      <c r="AN287" s="1"/>
      <c r="AO287" s="1"/>
      <c r="AP287" s="1"/>
      <c r="AQ287" s="1"/>
      <c r="AR287" s="1"/>
      <c r="AS287" s="1"/>
      <c r="AT287" s="1"/>
      <c r="AU287" s="1"/>
      <c r="AV287" s="1"/>
      <c r="AW287" s="1"/>
      <c r="AX287" s="1"/>
      <c r="AY287" s="1"/>
      <c r="AZ287" s="1"/>
      <c r="BA287" s="1"/>
      <c r="BB287" s="1"/>
      <c r="BC287" s="1"/>
      <c r="BD287" s="1"/>
      <c r="BE287" s="1"/>
      <c r="BF287" s="1"/>
      <c r="BG287" s="1"/>
      <c r="BH287" s="1"/>
      <c r="BI287" s="1"/>
      <c r="BJ287" s="1"/>
      <c r="BK287" s="1"/>
      <c r="BL287" s="1"/>
      <c r="BM287" s="1"/>
      <c r="BN287" s="1"/>
      <c r="BO287" s="1"/>
      <c r="BP287" s="1"/>
      <c r="BQ287" s="1"/>
      <c r="BR287" s="1"/>
      <c r="BS287" s="1"/>
      <c r="BT287" s="1"/>
      <c r="BU287" s="1"/>
      <c r="BV287" s="1"/>
      <c r="BW287" s="1"/>
      <c r="BX287" s="1"/>
      <c r="BY287" s="1"/>
      <c r="BZ287" s="1"/>
      <c r="CA287" s="1"/>
      <c r="CB287" s="1"/>
      <c r="CC287" s="1"/>
      <c r="CD287" s="1"/>
      <c r="CE287" s="1"/>
      <c r="CF287" s="1"/>
      <c r="CG287" s="1"/>
      <c r="CH287" s="1"/>
      <c r="CI287" s="1"/>
      <c r="CJ287" s="1"/>
      <c r="CK287" s="1"/>
      <c r="CL287" s="1"/>
      <c r="CM287" s="1"/>
      <c r="CN287" s="1"/>
      <c r="CO287" s="1"/>
      <c r="CP287" s="1"/>
      <c r="CQ287" s="1"/>
      <c r="CR287" s="1"/>
      <c r="CS287" s="1"/>
      <c r="CT287" s="1"/>
      <c r="CU287" s="1"/>
      <c r="CV287" s="1"/>
      <c r="CW287" s="1"/>
      <c r="CX287" s="1"/>
      <c r="CY287" s="1"/>
      <c r="CZ287" s="1"/>
      <c r="DA287" s="1"/>
      <c r="DB287" s="1"/>
      <c r="DC287" s="1"/>
      <c r="DD287" s="1"/>
      <c r="DE287" s="1"/>
      <c r="DF287" s="1"/>
      <c r="DG287" s="1"/>
      <c r="DH287" s="1"/>
      <c r="DI287" s="1"/>
      <c r="DJ287" s="1"/>
      <c r="DK287" s="1"/>
      <c r="DL287" s="1"/>
      <c r="DM287" s="1"/>
      <c r="DN287" s="1"/>
      <c r="DO287" s="1"/>
      <c r="DP287" s="1"/>
      <c r="DQ287" s="1"/>
      <c r="DR287" s="1"/>
      <c r="DS287" s="1"/>
      <c r="DT287" s="1"/>
      <c r="DU287" s="1"/>
      <c r="DV287" s="1"/>
      <c r="DW287" s="1"/>
      <c r="DX287" s="1"/>
      <c r="DY287" s="1"/>
      <c r="DZ287" s="1"/>
      <c r="EA287" s="1"/>
      <c r="EB287" s="1"/>
      <c r="EC287" s="1"/>
      <c r="ED287" s="1"/>
      <c r="EE287" s="1"/>
      <c r="EF287" s="1"/>
      <c r="EG287" s="1"/>
      <c r="EH287" s="1"/>
      <c r="EI287" s="1"/>
      <c r="EJ287" s="1"/>
      <c r="EK287" s="1"/>
      <c r="EL287" s="1"/>
      <c r="EM287" s="1"/>
      <c r="EN287" s="1"/>
      <c r="EO287" s="1"/>
      <c r="EP287" s="1"/>
      <c r="EQ287" s="1"/>
      <c r="ER287" s="1"/>
      <c r="ES287" s="1"/>
      <c r="ET287" s="1"/>
      <c r="EU287" s="1"/>
      <c r="EV287" s="1"/>
      <c r="EW287" s="1"/>
      <c r="EX287" s="1"/>
      <c r="EY287" s="1"/>
      <c r="EZ287" s="1"/>
      <c r="FA287" s="1"/>
      <c r="FB287" s="1"/>
      <c r="FC287" s="1"/>
      <c r="FD287" s="1"/>
      <c r="FE287" s="1"/>
      <c r="FF287" s="1"/>
      <c r="FG287" s="1"/>
      <c r="FH287" s="1"/>
      <c r="FI287" s="1"/>
      <c r="FJ287" s="1"/>
      <c r="FK287" s="1"/>
      <c r="FL287" s="1"/>
      <c r="FM287" s="1"/>
      <c r="FN287" s="1"/>
      <c r="FO287" s="1"/>
      <c r="FP287" s="1"/>
      <c r="FQ287" s="1"/>
      <c r="FR287" s="1"/>
      <c r="FS287" s="1"/>
      <c r="FT287" s="1"/>
      <c r="FU287" s="1"/>
      <c r="FV287" s="1"/>
      <c r="FW287" s="1"/>
      <c r="FX287" s="1"/>
      <c r="FY287" s="1"/>
      <c r="FZ287" s="1"/>
      <c r="GA287" s="1"/>
      <c r="GB287" s="1"/>
      <c r="GC287" s="1"/>
      <c r="GD287" s="1"/>
      <c r="GE287" s="1"/>
      <c r="GF287" s="1"/>
      <c r="GG287" s="1"/>
      <c r="GH287" s="1"/>
      <c r="GI287" s="1"/>
      <c r="GJ287" s="1"/>
      <c r="GK287" s="1"/>
      <c r="GL287" s="1"/>
      <c r="GM287" s="1"/>
      <c r="GN287" s="1"/>
      <c r="GO287" s="1"/>
      <c r="GP287" s="1"/>
      <c r="GQ287" s="1"/>
      <c r="GR287" s="1"/>
      <c r="GS287" s="1"/>
      <c r="GT287" s="1"/>
      <c r="GU287" s="1"/>
      <c r="GV287" s="1"/>
      <c r="GW287" s="1"/>
      <c r="GX287" s="1"/>
      <c r="GY287" s="1"/>
      <c r="GZ287" s="1"/>
      <c r="HA287" s="1"/>
      <c r="HB287" s="1"/>
      <c r="HC287" s="1"/>
      <c r="HD287" s="1"/>
      <c r="HE287" s="1"/>
      <c r="HF287" s="1"/>
      <c r="HG287" s="1"/>
      <c r="HH287" s="1"/>
      <c r="HI287" s="1"/>
      <c r="HJ287" s="1"/>
      <c r="HK287" s="1"/>
      <c r="HL287" s="1"/>
      <c r="HM287" s="1"/>
      <c r="HN287" s="1"/>
      <c r="HO287" s="1"/>
      <c r="HP287" s="1"/>
      <c r="HQ287" s="1"/>
      <c r="HR287" s="1"/>
      <c r="HS287" s="1"/>
      <c r="HT287" s="1"/>
      <c r="HU287" s="1"/>
      <c r="HV287" s="1"/>
      <c r="HW287" s="1"/>
      <c r="HX287" s="1"/>
      <c r="HY287" s="1"/>
      <c r="HZ287" s="1"/>
      <c r="IA287" s="1"/>
      <c r="IB287" s="1"/>
      <c r="IC287" s="1"/>
      <c r="ID287" s="1"/>
      <c r="IE287" s="1"/>
      <c r="IF287" s="1"/>
      <c r="IG287" s="1"/>
      <c r="IH287" s="1"/>
      <c r="II287" s="1"/>
      <c r="IJ287" s="1"/>
      <c r="IK287" s="1"/>
      <c r="IL287" s="1"/>
      <c r="IM287" s="1"/>
      <c r="IN287" s="1"/>
      <c r="IO287" s="1"/>
      <c r="IP287" s="1"/>
      <c r="IQ287" s="1"/>
      <c r="IR287" s="1"/>
      <c r="IS287" s="1"/>
      <c r="IT287" s="1"/>
      <c r="IU287" s="1"/>
      <c r="IV287" s="1"/>
      <c r="IW287" s="1"/>
      <c r="IX287" s="1"/>
      <c r="IY287" s="1"/>
      <c r="IZ287" s="1"/>
      <c r="JA287" s="1"/>
      <c r="JB287" s="1"/>
      <c r="JC287" s="1"/>
      <c r="JD287" s="1"/>
      <c r="JE287" s="1"/>
      <c r="JF287" s="1"/>
      <c r="JG287" s="1"/>
      <c r="JH287" s="1"/>
      <c r="JI287" s="1"/>
      <c r="JJ287" s="1"/>
      <c r="JK287" s="1"/>
      <c r="JL287" s="1"/>
      <c r="JM287" s="1"/>
      <c r="JN287" s="1"/>
      <c r="JO287" s="1"/>
      <c r="JP287" s="1"/>
      <c r="JQ287" s="1"/>
      <c r="JR287" s="1"/>
      <c r="JS287" s="1"/>
      <c r="JT287" s="1"/>
      <c r="JU287" s="1"/>
      <c r="JV287" s="1"/>
      <c r="JW287" s="1"/>
      <c r="JX287" s="1"/>
      <c r="JY287" s="1"/>
      <c r="JZ287" s="1"/>
      <c r="KA287" s="1"/>
      <c r="KB287" s="1"/>
      <c r="KC287" s="1"/>
      <c r="KD287" s="1"/>
      <c r="KE287" s="1"/>
      <c r="KF287" s="1"/>
      <c r="KG287" s="1"/>
      <c r="KH287" s="1"/>
      <c r="KI287" s="1"/>
      <c r="KJ287" s="1"/>
      <c r="KK287" s="1"/>
      <c r="KL287" s="1"/>
      <c r="KM287" s="1"/>
      <c r="KN287" s="1"/>
      <c r="KO287" s="1"/>
      <c r="KP287" s="1"/>
      <c r="KQ287" s="1"/>
      <c r="KR287" s="1"/>
      <c r="KS287" s="1"/>
      <c r="KT287" s="1"/>
      <c r="KU287" s="1"/>
      <c r="KV287" s="1"/>
      <c r="KW287" s="1"/>
      <c r="KX287" s="1"/>
      <c r="KY287" s="1"/>
      <c r="KZ287" s="1"/>
      <c r="LA287" s="1"/>
      <c r="LB287" s="1"/>
      <c r="LC287" s="1"/>
      <c r="LD287" s="1"/>
      <c r="LE287" s="1"/>
      <c r="LF287" s="1"/>
      <c r="LG287" s="1"/>
      <c r="LH287" s="1"/>
      <c r="LI287" s="1"/>
      <c r="LJ287" s="1"/>
      <c r="LK287" s="1"/>
      <c r="LL287" s="1"/>
      <c r="LM287" s="1"/>
      <c r="LN287" s="1"/>
      <c r="LO287" s="1"/>
      <c r="LP287" s="1"/>
      <c r="LQ287" s="1"/>
      <c r="LR287" s="1"/>
      <c r="LS287" s="1"/>
    </row>
    <row r="288" spans="1:331" s="40" customFormat="1" x14ac:dyDescent="0.25">
      <c r="A288" s="40" t="s">
        <v>1093</v>
      </c>
      <c r="B288" s="44" t="s">
        <v>1094</v>
      </c>
      <c r="C288" s="94" t="s">
        <v>1651</v>
      </c>
      <c r="D288" s="40">
        <v>0</v>
      </c>
      <c r="H288" s="40" t="s">
        <v>552</v>
      </c>
      <c r="I288" s="40" t="s">
        <v>1095</v>
      </c>
      <c r="J288" s="40" t="s">
        <v>1096</v>
      </c>
      <c r="K288" s="40" t="s">
        <v>797</v>
      </c>
      <c r="L288" s="40">
        <v>0</v>
      </c>
      <c r="O288" s="40">
        <v>1</v>
      </c>
      <c r="P288" s="40" t="s">
        <v>147</v>
      </c>
      <c r="Q288" s="96" t="s">
        <v>1608</v>
      </c>
      <c r="R288" s="96"/>
      <c r="T288" s="40">
        <v>10</v>
      </c>
      <c r="V288" s="40">
        <v>10</v>
      </c>
      <c r="W288" s="96">
        <v>10</v>
      </c>
      <c r="X288" s="96"/>
      <c r="Y288" s="96"/>
      <c r="Z288" s="40">
        <v>8</v>
      </c>
      <c r="AA288" s="94" t="b">
        <v>1</v>
      </c>
      <c r="AB288" s="1"/>
      <c r="AC288" s="57" t="s">
        <v>1353</v>
      </c>
      <c r="AD288" s="1"/>
      <c r="AE288" s="57"/>
      <c r="AF288" s="1"/>
      <c r="AG288" s="1"/>
      <c r="AH288" s="1"/>
      <c r="AI288" s="1"/>
      <c r="AJ288" s="1"/>
      <c r="AK288" s="1"/>
      <c r="AL288" s="1"/>
      <c r="AM288" s="1"/>
      <c r="AN288" s="1"/>
      <c r="AO288" s="1"/>
      <c r="AP288" s="1"/>
      <c r="AQ288" s="1"/>
      <c r="AR288" s="1"/>
      <c r="AS288" s="1"/>
      <c r="AT288" s="1"/>
      <c r="AU288" s="1"/>
      <c r="AV288" s="1"/>
      <c r="AW288" s="1"/>
      <c r="AX288" s="1"/>
      <c r="AY288" s="1"/>
      <c r="AZ288" s="1"/>
      <c r="BA288" s="1"/>
      <c r="BB288" s="1"/>
      <c r="BC288" s="1"/>
      <c r="BD288" s="1"/>
      <c r="BE288" s="1"/>
      <c r="BF288" s="1"/>
      <c r="BG288" s="1"/>
      <c r="BH288" s="1"/>
      <c r="BI288" s="1"/>
      <c r="BJ288" s="1"/>
      <c r="BK288" s="1"/>
      <c r="BL288" s="1"/>
      <c r="BM288" s="1"/>
      <c r="BN288" s="1"/>
      <c r="BO288" s="1"/>
      <c r="BP288" s="1"/>
      <c r="BQ288" s="1"/>
      <c r="BR288" s="1"/>
      <c r="BS288" s="1"/>
      <c r="BT288" s="1"/>
      <c r="BU288" s="1"/>
      <c r="BV288" s="1"/>
      <c r="BW288" s="1"/>
      <c r="BX288" s="1"/>
      <c r="BY288" s="1"/>
      <c r="BZ288" s="1"/>
      <c r="CA288" s="1"/>
      <c r="CB288" s="1"/>
      <c r="CC288" s="1"/>
      <c r="CD288" s="1"/>
      <c r="CE288" s="1"/>
      <c r="CF288" s="1"/>
      <c r="CG288" s="1"/>
      <c r="CH288" s="1"/>
      <c r="CI288" s="1"/>
      <c r="CJ288" s="1"/>
      <c r="CK288" s="1"/>
      <c r="CL288" s="1"/>
      <c r="CM288" s="1"/>
      <c r="CN288" s="1"/>
      <c r="CO288" s="1"/>
      <c r="CP288" s="1"/>
      <c r="CQ288" s="1"/>
      <c r="CR288" s="1"/>
      <c r="CS288" s="1"/>
      <c r="CT288" s="1"/>
      <c r="CU288" s="1"/>
      <c r="CV288" s="1"/>
      <c r="CW288" s="1"/>
      <c r="CX288" s="1"/>
      <c r="CY288" s="1"/>
      <c r="CZ288" s="1"/>
      <c r="DA288" s="1"/>
      <c r="DB288" s="1"/>
      <c r="DC288" s="1"/>
      <c r="DD288" s="1"/>
      <c r="DE288" s="1"/>
      <c r="DF288" s="1"/>
      <c r="DG288" s="1"/>
      <c r="DH288" s="1"/>
      <c r="DI288" s="1"/>
      <c r="DJ288" s="1"/>
      <c r="DK288" s="1"/>
      <c r="DL288" s="1"/>
      <c r="DM288" s="1"/>
      <c r="DN288" s="1"/>
      <c r="DO288" s="1"/>
      <c r="DP288" s="1"/>
      <c r="DQ288" s="1"/>
      <c r="DR288" s="1"/>
      <c r="DS288" s="1"/>
      <c r="DT288" s="1"/>
      <c r="DU288" s="1"/>
      <c r="DV288" s="1"/>
      <c r="DW288" s="1"/>
      <c r="DX288" s="1"/>
      <c r="DY288" s="1"/>
      <c r="DZ288" s="1"/>
      <c r="EA288" s="1"/>
      <c r="EB288" s="1"/>
      <c r="EC288" s="1"/>
      <c r="ED288" s="1"/>
      <c r="EE288" s="1"/>
      <c r="EF288" s="1"/>
      <c r="EG288" s="1"/>
      <c r="EH288" s="1"/>
      <c r="EI288" s="1"/>
      <c r="EJ288" s="1"/>
      <c r="EK288" s="1"/>
      <c r="EL288" s="1"/>
      <c r="EM288" s="1"/>
      <c r="EN288" s="1"/>
      <c r="EO288" s="1"/>
      <c r="EP288" s="1"/>
      <c r="EQ288" s="1"/>
      <c r="ER288" s="1"/>
      <c r="ES288" s="1"/>
      <c r="ET288" s="1"/>
      <c r="EU288" s="1"/>
      <c r="EV288" s="1"/>
      <c r="EW288" s="1"/>
      <c r="EX288" s="1"/>
      <c r="EY288" s="1"/>
      <c r="EZ288" s="1"/>
      <c r="FA288" s="1"/>
      <c r="FB288" s="1"/>
      <c r="FC288" s="1"/>
      <c r="FD288" s="1"/>
      <c r="FE288" s="1"/>
      <c r="FF288" s="1"/>
      <c r="FG288" s="1"/>
      <c r="FH288" s="1"/>
      <c r="FI288" s="1"/>
      <c r="FJ288" s="1"/>
      <c r="FK288" s="1"/>
      <c r="FL288" s="1"/>
      <c r="FM288" s="1"/>
      <c r="FN288" s="1"/>
      <c r="FO288" s="1"/>
      <c r="FP288" s="1"/>
      <c r="FQ288" s="1"/>
      <c r="FR288" s="1"/>
      <c r="FS288" s="1"/>
      <c r="FT288" s="1"/>
      <c r="FU288" s="1"/>
      <c r="FV288" s="1"/>
      <c r="FW288" s="1"/>
      <c r="FX288" s="1"/>
      <c r="FY288" s="1"/>
      <c r="FZ288" s="1"/>
      <c r="GA288" s="1"/>
      <c r="GB288" s="1"/>
      <c r="GC288" s="1"/>
      <c r="GD288" s="1"/>
      <c r="GE288" s="1"/>
      <c r="GF288" s="1"/>
      <c r="GG288" s="1"/>
      <c r="GH288" s="1"/>
      <c r="GI288" s="1"/>
      <c r="GJ288" s="1"/>
      <c r="GK288" s="1"/>
      <c r="GL288" s="1"/>
      <c r="GM288" s="1"/>
      <c r="GN288" s="1"/>
      <c r="GO288" s="1"/>
      <c r="GP288" s="1"/>
      <c r="GQ288" s="1"/>
      <c r="GR288" s="1"/>
      <c r="GS288" s="1"/>
      <c r="GT288" s="1"/>
      <c r="GU288" s="1"/>
      <c r="GV288" s="1"/>
      <c r="GW288" s="1"/>
      <c r="GX288" s="1"/>
      <c r="GY288" s="1"/>
      <c r="GZ288" s="1"/>
      <c r="HA288" s="1"/>
      <c r="HB288" s="1"/>
      <c r="HC288" s="1"/>
      <c r="HD288" s="1"/>
      <c r="HE288" s="1"/>
      <c r="HF288" s="1"/>
      <c r="HG288" s="1"/>
      <c r="HH288" s="1"/>
      <c r="HI288" s="1"/>
      <c r="HJ288" s="1"/>
      <c r="HK288" s="1"/>
      <c r="HL288" s="1"/>
      <c r="HM288" s="1"/>
      <c r="HN288" s="1"/>
      <c r="HO288" s="1"/>
      <c r="HP288" s="1"/>
      <c r="HQ288" s="1"/>
      <c r="HR288" s="1"/>
      <c r="HS288" s="1"/>
      <c r="HT288" s="1"/>
      <c r="HU288" s="1"/>
      <c r="HV288" s="1"/>
      <c r="HW288" s="1"/>
      <c r="HX288" s="1"/>
      <c r="HY288" s="1"/>
      <c r="HZ288" s="1"/>
      <c r="IA288" s="1"/>
      <c r="IB288" s="1"/>
      <c r="IC288" s="1"/>
      <c r="ID288" s="1"/>
      <c r="IE288" s="1"/>
      <c r="IF288" s="1"/>
      <c r="IG288" s="1"/>
      <c r="IH288" s="1"/>
      <c r="II288" s="1"/>
      <c r="IJ288" s="1"/>
      <c r="IK288" s="1"/>
      <c r="IL288" s="1"/>
      <c r="IM288" s="1"/>
      <c r="IN288" s="1"/>
      <c r="IO288" s="1"/>
      <c r="IP288" s="1"/>
      <c r="IQ288" s="1"/>
      <c r="IR288" s="1"/>
      <c r="IS288" s="1"/>
      <c r="IT288" s="1"/>
      <c r="IU288" s="1"/>
      <c r="IV288" s="1"/>
      <c r="IW288" s="1"/>
      <c r="IX288" s="1"/>
      <c r="IY288" s="1"/>
      <c r="IZ288" s="1"/>
      <c r="JA288" s="1"/>
      <c r="JB288" s="1"/>
      <c r="JC288" s="1"/>
      <c r="JD288" s="1"/>
      <c r="JE288" s="1"/>
      <c r="JF288" s="1"/>
      <c r="JG288" s="1"/>
      <c r="JH288" s="1"/>
      <c r="JI288" s="1"/>
      <c r="JJ288" s="1"/>
      <c r="JK288" s="1"/>
      <c r="JL288" s="1"/>
      <c r="JM288" s="1"/>
      <c r="JN288" s="1"/>
      <c r="JO288" s="1"/>
      <c r="JP288" s="1"/>
      <c r="JQ288" s="1"/>
      <c r="JR288" s="1"/>
      <c r="JS288" s="1"/>
      <c r="JT288" s="1"/>
      <c r="JU288" s="1"/>
      <c r="JV288" s="1"/>
      <c r="JW288" s="1"/>
      <c r="JX288" s="1"/>
      <c r="JY288" s="1"/>
      <c r="JZ288" s="1"/>
      <c r="KA288" s="1"/>
      <c r="KB288" s="1"/>
      <c r="KC288" s="1"/>
      <c r="KD288" s="1"/>
      <c r="KE288" s="1"/>
      <c r="KF288" s="1"/>
      <c r="KG288" s="1"/>
      <c r="KH288" s="1"/>
      <c r="KI288" s="1"/>
      <c r="KJ288" s="1"/>
      <c r="KK288" s="1"/>
      <c r="KL288" s="1"/>
      <c r="KM288" s="1"/>
      <c r="KN288" s="1"/>
      <c r="KO288" s="1"/>
      <c r="KP288" s="1"/>
      <c r="KQ288" s="1"/>
      <c r="KR288" s="1"/>
      <c r="KS288" s="1"/>
      <c r="KT288" s="1"/>
      <c r="KU288" s="1"/>
      <c r="KV288" s="1"/>
      <c r="KW288" s="1"/>
      <c r="KX288" s="1"/>
      <c r="KY288" s="1"/>
      <c r="KZ288" s="1"/>
      <c r="LA288" s="1"/>
      <c r="LB288" s="1"/>
      <c r="LC288" s="1"/>
      <c r="LD288" s="1"/>
      <c r="LE288" s="1"/>
      <c r="LF288" s="1"/>
      <c r="LG288" s="1"/>
      <c r="LH288" s="1"/>
      <c r="LI288" s="1"/>
      <c r="LJ288" s="1"/>
      <c r="LK288" s="1"/>
      <c r="LL288" s="1"/>
      <c r="LM288" s="1"/>
      <c r="LN288" s="1"/>
      <c r="LO288" s="1"/>
      <c r="LP288" s="1"/>
      <c r="LQ288" s="1"/>
      <c r="LR288" s="1"/>
      <c r="LS288" s="1"/>
    </row>
    <row r="289" spans="1:331" s="59" customFormat="1" x14ac:dyDescent="0.25">
      <c r="A289" s="59" t="s">
        <v>1097</v>
      </c>
      <c r="B289" s="61" t="s">
        <v>1098</v>
      </c>
      <c r="C289" s="94" t="s">
        <v>1651</v>
      </c>
      <c r="D289" s="59">
        <v>0</v>
      </c>
      <c r="H289" s="59" t="s">
        <v>847</v>
      </c>
      <c r="I289" s="59" t="s">
        <v>598</v>
      </c>
      <c r="J289" s="59" t="s">
        <v>847</v>
      </c>
      <c r="K289" s="59" t="s">
        <v>598</v>
      </c>
      <c r="L289" s="59">
        <v>1</v>
      </c>
      <c r="M289" s="59" t="s">
        <v>1099</v>
      </c>
      <c r="O289" s="59">
        <v>1</v>
      </c>
      <c r="Q289" s="96"/>
      <c r="R289" s="96" t="s">
        <v>1100</v>
      </c>
      <c r="T289" s="59">
        <v>19</v>
      </c>
      <c r="V289" s="59">
        <v>18</v>
      </c>
      <c r="W289" s="96">
        <v>19</v>
      </c>
      <c r="X289" s="96"/>
      <c r="Y289" s="96"/>
      <c r="Z289" s="59">
        <v>11</v>
      </c>
      <c r="AA289" s="94" t="b">
        <v>1</v>
      </c>
      <c r="AB289" s="1"/>
      <c r="AC289" s="57" t="s">
        <v>1374</v>
      </c>
      <c r="AD289" s="1"/>
      <c r="AE289" s="57"/>
      <c r="AF289" s="1"/>
      <c r="AG289" s="1"/>
      <c r="AH289" s="1"/>
      <c r="AI289" s="1"/>
      <c r="AJ289" s="1"/>
      <c r="AK289" s="1"/>
      <c r="AL289" s="1"/>
      <c r="AM289" s="1"/>
      <c r="AN289" s="1"/>
      <c r="AO289" s="1"/>
      <c r="AP289" s="1"/>
      <c r="AQ289" s="1"/>
      <c r="AR289" s="1"/>
      <c r="AS289" s="1"/>
      <c r="AT289" s="1"/>
      <c r="AU289" s="1"/>
      <c r="AV289" s="1"/>
      <c r="AW289" s="1"/>
      <c r="AX289" s="1"/>
      <c r="AY289" s="1"/>
      <c r="AZ289" s="1"/>
      <c r="BA289" s="1"/>
      <c r="BB289" s="1"/>
      <c r="BC289" s="1"/>
      <c r="BD289" s="1"/>
      <c r="BE289" s="1"/>
      <c r="BF289" s="1"/>
      <c r="BG289" s="1"/>
      <c r="BH289" s="1"/>
      <c r="BI289" s="1"/>
      <c r="BJ289" s="1"/>
      <c r="BK289" s="1"/>
      <c r="BL289" s="1"/>
      <c r="BM289" s="1"/>
      <c r="BN289" s="1"/>
      <c r="BO289" s="1"/>
      <c r="BP289" s="1"/>
      <c r="BQ289" s="1"/>
      <c r="BR289" s="1"/>
      <c r="BS289" s="1"/>
      <c r="BT289" s="1"/>
      <c r="BU289" s="1"/>
      <c r="BV289" s="1"/>
      <c r="BW289" s="1"/>
      <c r="BX289" s="1"/>
      <c r="BY289" s="1"/>
      <c r="BZ289" s="1"/>
      <c r="CA289" s="1"/>
      <c r="CB289" s="1"/>
      <c r="CC289" s="1"/>
      <c r="CD289" s="1"/>
      <c r="CE289" s="1"/>
      <c r="CF289" s="1"/>
      <c r="CG289" s="1"/>
      <c r="CH289" s="1"/>
      <c r="CI289" s="1"/>
      <c r="CJ289" s="1"/>
      <c r="CK289" s="1"/>
      <c r="CL289" s="1"/>
      <c r="CM289" s="1"/>
      <c r="CN289" s="1"/>
      <c r="CO289" s="1"/>
      <c r="CP289" s="1"/>
      <c r="CQ289" s="1"/>
      <c r="CR289" s="1"/>
      <c r="CS289" s="1"/>
      <c r="CT289" s="1"/>
      <c r="CU289" s="1"/>
      <c r="CV289" s="1"/>
      <c r="CW289" s="1"/>
      <c r="CX289" s="1"/>
      <c r="CY289" s="1"/>
      <c r="CZ289" s="1"/>
      <c r="DA289" s="1"/>
      <c r="DB289" s="1"/>
      <c r="DC289" s="1"/>
      <c r="DD289" s="1"/>
      <c r="DE289" s="1"/>
      <c r="DF289" s="1"/>
      <c r="DG289" s="1"/>
      <c r="DH289" s="1"/>
      <c r="DI289" s="1"/>
      <c r="DJ289" s="1"/>
      <c r="DK289" s="1"/>
      <c r="DL289" s="1"/>
      <c r="DM289" s="1"/>
      <c r="DN289" s="1"/>
      <c r="DO289" s="1"/>
      <c r="DP289" s="1"/>
      <c r="DQ289" s="1"/>
      <c r="DR289" s="1"/>
      <c r="DS289" s="1"/>
      <c r="DT289" s="1"/>
      <c r="DU289" s="1"/>
      <c r="DV289" s="1"/>
      <c r="DW289" s="1"/>
      <c r="DX289" s="1"/>
      <c r="DY289" s="1"/>
      <c r="DZ289" s="1"/>
      <c r="EA289" s="1"/>
      <c r="EB289" s="1"/>
      <c r="EC289" s="1"/>
      <c r="ED289" s="1"/>
      <c r="EE289" s="1"/>
      <c r="EF289" s="1"/>
      <c r="EG289" s="1"/>
      <c r="EH289" s="1"/>
      <c r="EI289" s="1"/>
      <c r="EJ289" s="1"/>
      <c r="EK289" s="1"/>
      <c r="EL289" s="1"/>
      <c r="EM289" s="1"/>
      <c r="EN289" s="1"/>
      <c r="EO289" s="1"/>
      <c r="EP289" s="1"/>
      <c r="EQ289" s="1"/>
      <c r="ER289" s="1"/>
      <c r="ES289" s="1"/>
      <c r="ET289" s="1"/>
      <c r="EU289" s="1"/>
      <c r="EV289" s="1"/>
      <c r="EW289" s="1"/>
      <c r="EX289" s="1"/>
      <c r="EY289" s="1"/>
      <c r="EZ289" s="1"/>
      <c r="FA289" s="1"/>
      <c r="FB289" s="1"/>
      <c r="FC289" s="1"/>
      <c r="FD289" s="1"/>
      <c r="FE289" s="1"/>
      <c r="FF289" s="1"/>
      <c r="FG289" s="1"/>
      <c r="FH289" s="1"/>
      <c r="FI289" s="1"/>
      <c r="FJ289" s="1"/>
      <c r="FK289" s="1"/>
      <c r="FL289" s="1"/>
      <c r="FM289" s="1"/>
      <c r="FN289" s="1"/>
      <c r="FO289" s="1"/>
      <c r="FP289" s="1"/>
      <c r="FQ289" s="1"/>
      <c r="FR289" s="1"/>
      <c r="FS289" s="1"/>
      <c r="FT289" s="1"/>
      <c r="FU289" s="1"/>
      <c r="FV289" s="1"/>
      <c r="FW289" s="1"/>
      <c r="FX289" s="1"/>
      <c r="FY289" s="1"/>
      <c r="FZ289" s="1"/>
      <c r="GA289" s="1"/>
      <c r="GB289" s="1"/>
      <c r="GC289" s="1"/>
      <c r="GD289" s="1"/>
      <c r="GE289" s="1"/>
      <c r="GF289" s="1"/>
      <c r="GG289" s="1"/>
      <c r="GH289" s="1"/>
      <c r="GI289" s="1"/>
      <c r="GJ289" s="1"/>
      <c r="GK289" s="1"/>
      <c r="GL289" s="1"/>
      <c r="GM289" s="1"/>
      <c r="GN289" s="1"/>
      <c r="GO289" s="1"/>
      <c r="GP289" s="1"/>
      <c r="GQ289" s="1"/>
      <c r="GR289" s="1"/>
      <c r="GS289" s="1"/>
      <c r="GT289" s="1"/>
      <c r="GU289" s="1"/>
      <c r="GV289" s="1"/>
      <c r="GW289" s="1"/>
      <c r="GX289" s="1"/>
      <c r="GY289" s="1"/>
      <c r="GZ289" s="1"/>
      <c r="HA289" s="1"/>
      <c r="HB289" s="1"/>
      <c r="HC289" s="1"/>
      <c r="HD289" s="1"/>
      <c r="HE289" s="1"/>
      <c r="HF289" s="1"/>
      <c r="HG289" s="1"/>
      <c r="HH289" s="1"/>
      <c r="HI289" s="1"/>
      <c r="HJ289" s="1"/>
      <c r="HK289" s="1"/>
      <c r="HL289" s="1"/>
      <c r="HM289" s="1"/>
      <c r="HN289" s="1"/>
      <c r="HO289" s="1"/>
      <c r="HP289" s="1"/>
      <c r="HQ289" s="1"/>
      <c r="HR289" s="1"/>
      <c r="HS289" s="1"/>
      <c r="HT289" s="1"/>
      <c r="HU289" s="1"/>
      <c r="HV289" s="1"/>
      <c r="HW289" s="1"/>
      <c r="HX289" s="1"/>
      <c r="HY289" s="1"/>
      <c r="HZ289" s="1"/>
      <c r="IA289" s="1"/>
      <c r="IB289" s="1"/>
      <c r="IC289" s="1"/>
      <c r="ID289" s="1"/>
      <c r="IE289" s="1"/>
      <c r="IF289" s="1"/>
      <c r="IG289" s="1"/>
      <c r="IH289" s="1"/>
      <c r="II289" s="1"/>
      <c r="IJ289" s="1"/>
      <c r="IK289" s="1"/>
      <c r="IL289" s="1"/>
      <c r="IM289" s="1"/>
      <c r="IN289" s="1"/>
      <c r="IO289" s="1"/>
      <c r="IP289" s="1"/>
      <c r="IQ289" s="1"/>
      <c r="IR289" s="1"/>
      <c r="IS289" s="1"/>
      <c r="IT289" s="1"/>
      <c r="IU289" s="1"/>
      <c r="IV289" s="1"/>
      <c r="IW289" s="1"/>
      <c r="IX289" s="1"/>
      <c r="IY289" s="1"/>
      <c r="IZ289" s="1"/>
      <c r="JA289" s="1"/>
      <c r="JB289" s="1"/>
      <c r="JC289" s="1"/>
      <c r="JD289" s="1"/>
      <c r="JE289" s="1"/>
      <c r="JF289" s="1"/>
      <c r="JG289" s="1"/>
      <c r="JH289" s="1"/>
      <c r="JI289" s="1"/>
      <c r="JJ289" s="1"/>
      <c r="JK289" s="1"/>
      <c r="JL289" s="1"/>
      <c r="JM289" s="1"/>
      <c r="JN289" s="1"/>
      <c r="JO289" s="1"/>
      <c r="JP289" s="1"/>
      <c r="JQ289" s="1"/>
      <c r="JR289" s="1"/>
      <c r="JS289" s="1"/>
      <c r="JT289" s="1"/>
      <c r="JU289" s="1"/>
      <c r="JV289" s="1"/>
      <c r="JW289" s="1"/>
      <c r="JX289" s="1"/>
      <c r="JY289" s="1"/>
      <c r="JZ289" s="1"/>
      <c r="KA289" s="1"/>
      <c r="KB289" s="1"/>
      <c r="KC289" s="1"/>
      <c r="KD289" s="1"/>
      <c r="KE289" s="1"/>
      <c r="KF289" s="1"/>
      <c r="KG289" s="1"/>
      <c r="KH289" s="1"/>
      <c r="KI289" s="1"/>
      <c r="KJ289" s="1"/>
      <c r="KK289" s="1"/>
      <c r="KL289" s="1"/>
      <c r="KM289" s="1"/>
      <c r="KN289" s="1"/>
      <c r="KO289" s="1"/>
      <c r="KP289" s="1"/>
      <c r="KQ289" s="1"/>
      <c r="KR289" s="1"/>
      <c r="KS289" s="1"/>
      <c r="KT289" s="1"/>
      <c r="KU289" s="1"/>
      <c r="KV289" s="1"/>
      <c r="KW289" s="1"/>
      <c r="KX289" s="1"/>
      <c r="KY289" s="1"/>
      <c r="KZ289" s="1"/>
      <c r="LA289" s="1"/>
      <c r="LB289" s="1"/>
      <c r="LC289" s="1"/>
      <c r="LD289" s="1"/>
      <c r="LE289" s="1"/>
      <c r="LF289" s="1"/>
      <c r="LG289" s="1"/>
      <c r="LH289" s="1"/>
      <c r="LI289" s="1"/>
      <c r="LJ289" s="1"/>
      <c r="LK289" s="1"/>
      <c r="LL289" s="1"/>
      <c r="LM289" s="1"/>
      <c r="LN289" s="1"/>
      <c r="LO289" s="1"/>
      <c r="LP289" s="1"/>
      <c r="LQ289" s="1"/>
      <c r="LR289" s="1"/>
      <c r="LS289" s="1"/>
    </row>
    <row r="290" spans="1:331" s="49" customFormat="1" x14ac:dyDescent="0.25">
      <c r="A290" s="49" t="s">
        <v>1101</v>
      </c>
      <c r="B290" s="51" t="s">
        <v>1102</v>
      </c>
      <c r="C290" s="94" t="s">
        <v>1651</v>
      </c>
      <c r="D290" s="49">
        <v>0</v>
      </c>
      <c r="H290" s="49" t="s">
        <v>1103</v>
      </c>
      <c r="I290" s="49" t="s">
        <v>1104</v>
      </c>
      <c r="J290" s="49" t="s">
        <v>1103</v>
      </c>
      <c r="K290" s="49" t="s">
        <v>1104</v>
      </c>
      <c r="L290" s="49">
        <v>0</v>
      </c>
      <c r="O290" s="49">
        <v>1</v>
      </c>
      <c r="Q290" s="96"/>
      <c r="R290" s="96" t="s">
        <v>1105</v>
      </c>
      <c r="S290" s="49">
        <v>24</v>
      </c>
      <c r="U290" s="49">
        <v>26</v>
      </c>
      <c r="W290" s="96">
        <v>24</v>
      </c>
      <c r="X290" s="96"/>
      <c r="Y290" s="96"/>
      <c r="Z290" s="49">
        <v>9</v>
      </c>
      <c r="AA290" s="94" t="b">
        <v>1</v>
      </c>
      <c r="AB290" s="1"/>
      <c r="AC290" s="57" t="s">
        <v>1394</v>
      </c>
      <c r="AD290" s="1"/>
      <c r="AE290" s="57"/>
      <c r="AF290" s="1"/>
      <c r="AG290" s="1"/>
      <c r="AH290" s="1"/>
      <c r="AI290" s="1"/>
      <c r="AJ290" s="1"/>
      <c r="AK290" s="1"/>
      <c r="AL290" s="1"/>
      <c r="AM290" s="1"/>
      <c r="AN290" s="1"/>
      <c r="AO290" s="1"/>
      <c r="AP290" s="1"/>
      <c r="AQ290" s="1"/>
      <c r="AR290" s="1"/>
      <c r="AS290" s="1"/>
      <c r="AT290" s="1"/>
      <c r="AU290" s="1"/>
      <c r="AV290" s="1"/>
      <c r="AW290" s="1"/>
      <c r="AX290" s="1"/>
      <c r="AY290" s="1"/>
      <c r="AZ290" s="1"/>
      <c r="BA290" s="1"/>
      <c r="BB290" s="1"/>
      <c r="BC290" s="1"/>
      <c r="BD290" s="1"/>
      <c r="BE290" s="1"/>
      <c r="BF290" s="1"/>
      <c r="BG290" s="1"/>
      <c r="BH290" s="1"/>
      <c r="BI290" s="1"/>
      <c r="BJ290" s="1"/>
      <c r="BK290" s="1"/>
      <c r="BL290" s="1"/>
      <c r="BM290" s="1"/>
      <c r="BN290" s="1"/>
      <c r="BO290" s="1"/>
      <c r="BP290" s="1"/>
      <c r="BQ290" s="1"/>
      <c r="BR290" s="1"/>
      <c r="BS290" s="1"/>
      <c r="BT290" s="1"/>
      <c r="BU290" s="1"/>
      <c r="BV290" s="1"/>
      <c r="BW290" s="1"/>
      <c r="BX290" s="1"/>
      <c r="BY290" s="1"/>
      <c r="BZ290" s="1"/>
      <c r="CA290" s="1"/>
      <c r="CB290" s="1"/>
      <c r="CC290" s="1"/>
      <c r="CD290" s="1"/>
      <c r="CE290" s="1"/>
      <c r="CF290" s="1"/>
      <c r="CG290" s="1"/>
      <c r="CH290" s="1"/>
      <c r="CI290" s="1"/>
      <c r="CJ290" s="1"/>
      <c r="CK290" s="1"/>
      <c r="CL290" s="1"/>
      <c r="CM290" s="1"/>
      <c r="CN290" s="1"/>
      <c r="CO290" s="1"/>
      <c r="CP290" s="1"/>
      <c r="CQ290" s="1"/>
      <c r="CR290" s="1"/>
      <c r="CS290" s="1"/>
      <c r="CT290" s="1"/>
      <c r="CU290" s="1"/>
      <c r="CV290" s="1"/>
      <c r="CW290" s="1"/>
      <c r="CX290" s="1"/>
      <c r="CY290" s="1"/>
      <c r="CZ290" s="1"/>
      <c r="DA290" s="1"/>
      <c r="DB290" s="1"/>
      <c r="DC290" s="1"/>
      <c r="DD290" s="1"/>
      <c r="DE290" s="1"/>
      <c r="DF290" s="1"/>
      <c r="DG290" s="1"/>
      <c r="DH290" s="1"/>
      <c r="DI290" s="1"/>
      <c r="DJ290" s="1"/>
      <c r="DK290" s="1"/>
      <c r="DL290" s="1"/>
      <c r="DM290" s="1"/>
      <c r="DN290" s="1"/>
      <c r="DO290" s="1"/>
      <c r="DP290" s="1"/>
      <c r="DQ290" s="1"/>
      <c r="DR290" s="1"/>
      <c r="DS290" s="1"/>
      <c r="DT290" s="1"/>
      <c r="DU290" s="1"/>
      <c r="DV290" s="1"/>
      <c r="DW290" s="1"/>
      <c r="DX290" s="1"/>
      <c r="DY290" s="1"/>
      <c r="DZ290" s="1"/>
      <c r="EA290" s="1"/>
      <c r="EB290" s="1"/>
      <c r="EC290" s="1"/>
      <c r="ED290" s="1"/>
      <c r="EE290" s="1"/>
      <c r="EF290" s="1"/>
      <c r="EG290" s="1"/>
      <c r="EH290" s="1"/>
      <c r="EI290" s="1"/>
      <c r="EJ290" s="1"/>
      <c r="EK290" s="1"/>
      <c r="EL290" s="1"/>
      <c r="EM290" s="1"/>
      <c r="EN290" s="1"/>
      <c r="EO290" s="1"/>
      <c r="EP290" s="1"/>
      <c r="EQ290" s="1"/>
      <c r="ER290" s="1"/>
      <c r="ES290" s="1"/>
      <c r="ET290" s="1"/>
      <c r="EU290" s="1"/>
      <c r="EV290" s="1"/>
      <c r="EW290" s="1"/>
      <c r="EX290" s="1"/>
      <c r="EY290" s="1"/>
      <c r="EZ290" s="1"/>
      <c r="FA290" s="1"/>
      <c r="FB290" s="1"/>
      <c r="FC290" s="1"/>
      <c r="FD290" s="1"/>
      <c r="FE290" s="1"/>
      <c r="FF290" s="1"/>
      <c r="FG290" s="1"/>
      <c r="FH290" s="1"/>
      <c r="FI290" s="1"/>
      <c r="FJ290" s="1"/>
      <c r="FK290" s="1"/>
      <c r="FL290" s="1"/>
      <c r="FM290" s="1"/>
      <c r="FN290" s="1"/>
      <c r="FO290" s="1"/>
      <c r="FP290" s="1"/>
      <c r="FQ290" s="1"/>
      <c r="FR290" s="1"/>
      <c r="FS290" s="1"/>
      <c r="FT290" s="1"/>
      <c r="FU290" s="1"/>
      <c r="FV290" s="1"/>
      <c r="FW290" s="1"/>
      <c r="FX290" s="1"/>
      <c r="FY290" s="1"/>
      <c r="FZ290" s="1"/>
      <c r="GA290" s="1"/>
      <c r="GB290" s="1"/>
      <c r="GC290" s="1"/>
      <c r="GD290" s="1"/>
      <c r="GE290" s="1"/>
      <c r="GF290" s="1"/>
      <c r="GG290" s="1"/>
      <c r="GH290" s="1"/>
      <c r="GI290" s="1"/>
      <c r="GJ290" s="1"/>
      <c r="GK290" s="1"/>
      <c r="GL290" s="1"/>
      <c r="GM290" s="1"/>
      <c r="GN290" s="1"/>
      <c r="GO290" s="1"/>
      <c r="GP290" s="1"/>
      <c r="GQ290" s="1"/>
      <c r="GR290" s="1"/>
      <c r="GS290" s="1"/>
      <c r="GT290" s="1"/>
      <c r="GU290" s="1"/>
      <c r="GV290" s="1"/>
      <c r="GW290" s="1"/>
      <c r="GX290" s="1"/>
      <c r="GY290" s="1"/>
      <c r="GZ290" s="1"/>
      <c r="HA290" s="1"/>
      <c r="HB290" s="1"/>
      <c r="HC290" s="1"/>
      <c r="HD290" s="1"/>
      <c r="HE290" s="1"/>
      <c r="HF290" s="1"/>
      <c r="HG290" s="1"/>
      <c r="HH290" s="1"/>
      <c r="HI290" s="1"/>
      <c r="HJ290" s="1"/>
      <c r="HK290" s="1"/>
      <c r="HL290" s="1"/>
      <c r="HM290" s="1"/>
      <c r="HN290" s="1"/>
      <c r="HO290" s="1"/>
      <c r="HP290" s="1"/>
      <c r="HQ290" s="1"/>
      <c r="HR290" s="1"/>
      <c r="HS290" s="1"/>
      <c r="HT290" s="1"/>
      <c r="HU290" s="1"/>
      <c r="HV290" s="1"/>
      <c r="HW290" s="1"/>
      <c r="HX290" s="1"/>
      <c r="HY290" s="1"/>
      <c r="HZ290" s="1"/>
      <c r="IA290" s="1"/>
      <c r="IB290" s="1"/>
      <c r="IC290" s="1"/>
      <c r="ID290" s="1"/>
      <c r="IE290" s="1"/>
      <c r="IF290" s="1"/>
      <c r="IG290" s="1"/>
      <c r="IH290" s="1"/>
      <c r="II290" s="1"/>
      <c r="IJ290" s="1"/>
      <c r="IK290" s="1"/>
      <c r="IL290" s="1"/>
      <c r="IM290" s="1"/>
      <c r="IN290" s="1"/>
      <c r="IO290" s="1"/>
      <c r="IP290" s="1"/>
      <c r="IQ290" s="1"/>
      <c r="IR290" s="1"/>
      <c r="IS290" s="1"/>
      <c r="IT290" s="1"/>
      <c r="IU290" s="1"/>
      <c r="IV290" s="1"/>
      <c r="IW290" s="1"/>
      <c r="IX290" s="1"/>
      <c r="IY290" s="1"/>
      <c r="IZ290" s="1"/>
      <c r="JA290" s="1"/>
      <c r="JB290" s="1"/>
      <c r="JC290" s="1"/>
      <c r="JD290" s="1"/>
      <c r="JE290" s="1"/>
      <c r="JF290" s="1"/>
      <c r="JG290" s="1"/>
      <c r="JH290" s="1"/>
      <c r="JI290" s="1"/>
      <c r="JJ290" s="1"/>
      <c r="JK290" s="1"/>
      <c r="JL290" s="1"/>
      <c r="JM290" s="1"/>
      <c r="JN290" s="1"/>
      <c r="JO290" s="1"/>
      <c r="JP290" s="1"/>
      <c r="JQ290" s="1"/>
      <c r="JR290" s="1"/>
      <c r="JS290" s="1"/>
      <c r="JT290" s="1"/>
      <c r="JU290" s="1"/>
      <c r="JV290" s="1"/>
      <c r="JW290" s="1"/>
      <c r="JX290" s="1"/>
      <c r="JY290" s="1"/>
      <c r="JZ290" s="1"/>
      <c r="KA290" s="1"/>
      <c r="KB290" s="1"/>
      <c r="KC290" s="1"/>
      <c r="KD290" s="1"/>
      <c r="KE290" s="1"/>
      <c r="KF290" s="1"/>
      <c r="KG290" s="1"/>
      <c r="KH290" s="1"/>
      <c r="KI290" s="1"/>
      <c r="KJ290" s="1"/>
      <c r="KK290" s="1"/>
      <c r="KL290" s="1"/>
      <c r="KM290" s="1"/>
      <c r="KN290" s="1"/>
      <c r="KO290" s="1"/>
      <c r="KP290" s="1"/>
      <c r="KQ290" s="1"/>
      <c r="KR290" s="1"/>
      <c r="KS290" s="1"/>
      <c r="KT290" s="1"/>
      <c r="KU290" s="1"/>
      <c r="KV290" s="1"/>
      <c r="KW290" s="1"/>
      <c r="KX290" s="1"/>
      <c r="KY290" s="1"/>
      <c r="KZ290" s="1"/>
      <c r="LA290" s="1"/>
      <c r="LB290" s="1"/>
      <c r="LC290" s="1"/>
      <c r="LD290" s="1"/>
      <c r="LE290" s="1"/>
      <c r="LF290" s="1"/>
      <c r="LG290" s="1"/>
      <c r="LH290" s="1"/>
      <c r="LI290" s="1"/>
      <c r="LJ290" s="1"/>
      <c r="LK290" s="1"/>
      <c r="LL290" s="1"/>
      <c r="LM290" s="1"/>
      <c r="LN290" s="1"/>
      <c r="LO290" s="1"/>
      <c r="LP290" s="1"/>
      <c r="LQ290" s="1"/>
      <c r="LR290" s="1"/>
      <c r="LS290" s="1"/>
    </row>
    <row r="291" spans="1:331" s="49" customFormat="1" x14ac:dyDescent="0.25">
      <c r="A291" s="49" t="s">
        <v>1106</v>
      </c>
      <c r="B291" s="51" t="s">
        <v>1107</v>
      </c>
      <c r="C291" s="94" t="s">
        <v>1651</v>
      </c>
      <c r="D291" s="49">
        <v>0</v>
      </c>
      <c r="H291" s="49" t="s">
        <v>1108</v>
      </c>
      <c r="I291" s="49" t="s">
        <v>1109</v>
      </c>
      <c r="J291" s="49" t="s">
        <v>1110</v>
      </c>
      <c r="K291" s="49" t="s">
        <v>1108</v>
      </c>
      <c r="L291" s="49">
        <v>0</v>
      </c>
      <c r="O291" s="49">
        <v>0</v>
      </c>
      <c r="Q291" s="96"/>
      <c r="R291" s="96" t="s">
        <v>581</v>
      </c>
      <c r="T291" s="49">
        <v>7</v>
      </c>
      <c r="V291" s="49">
        <v>10</v>
      </c>
      <c r="W291" s="96">
        <v>7</v>
      </c>
      <c r="X291" s="96"/>
      <c r="Y291" s="96"/>
      <c r="Z291" s="49">
        <v>9</v>
      </c>
      <c r="AA291" s="94" t="b">
        <v>1</v>
      </c>
      <c r="AB291" s="1"/>
      <c r="AC291" s="57" t="s">
        <v>1413</v>
      </c>
      <c r="AD291" s="1"/>
      <c r="AE291" s="57"/>
      <c r="AF291" s="1"/>
      <c r="AG291" s="1"/>
      <c r="AH291" s="1"/>
      <c r="AI291" s="1"/>
      <c r="AJ291" s="1"/>
      <c r="AK291" s="1"/>
      <c r="AL291" s="1"/>
      <c r="AM291" s="1"/>
      <c r="AN291" s="1"/>
      <c r="AO291" s="1"/>
      <c r="AP291" s="1"/>
      <c r="AQ291" s="1"/>
      <c r="AR291" s="1"/>
      <c r="AS291" s="1"/>
      <c r="AT291" s="1"/>
      <c r="AU291" s="1"/>
      <c r="AV291" s="1"/>
      <c r="AW291" s="1"/>
      <c r="AX291" s="1"/>
      <c r="AY291" s="1"/>
      <c r="AZ291" s="1"/>
      <c r="BA291" s="1"/>
      <c r="BB291" s="1"/>
      <c r="BC291" s="1"/>
      <c r="BD291" s="1"/>
      <c r="BE291" s="1"/>
      <c r="BF291" s="1"/>
      <c r="BG291" s="1"/>
      <c r="BH291" s="1"/>
      <c r="BI291" s="1"/>
      <c r="BJ291" s="1"/>
      <c r="BK291" s="1"/>
      <c r="BL291" s="1"/>
      <c r="BM291" s="1"/>
      <c r="BN291" s="1"/>
      <c r="BO291" s="1"/>
      <c r="BP291" s="1"/>
      <c r="BQ291" s="1"/>
      <c r="BR291" s="1"/>
      <c r="BS291" s="1"/>
      <c r="BT291" s="1"/>
      <c r="BU291" s="1"/>
      <c r="BV291" s="1"/>
      <c r="BW291" s="1"/>
      <c r="BX291" s="1"/>
      <c r="BY291" s="1"/>
      <c r="BZ291" s="1"/>
      <c r="CA291" s="1"/>
      <c r="CB291" s="1"/>
      <c r="CC291" s="1"/>
      <c r="CD291" s="1"/>
      <c r="CE291" s="1"/>
      <c r="CF291" s="1"/>
      <c r="CG291" s="1"/>
      <c r="CH291" s="1"/>
      <c r="CI291" s="1"/>
      <c r="CJ291" s="1"/>
      <c r="CK291" s="1"/>
      <c r="CL291" s="1"/>
      <c r="CM291" s="1"/>
      <c r="CN291" s="1"/>
      <c r="CO291" s="1"/>
      <c r="CP291" s="1"/>
      <c r="CQ291" s="1"/>
      <c r="CR291" s="1"/>
      <c r="CS291" s="1"/>
      <c r="CT291" s="1"/>
      <c r="CU291" s="1"/>
      <c r="CV291" s="1"/>
      <c r="CW291" s="1"/>
      <c r="CX291" s="1"/>
      <c r="CY291" s="1"/>
      <c r="CZ291" s="1"/>
      <c r="DA291" s="1"/>
      <c r="DB291" s="1"/>
      <c r="DC291" s="1"/>
      <c r="DD291" s="1"/>
      <c r="DE291" s="1"/>
      <c r="DF291" s="1"/>
      <c r="DG291" s="1"/>
      <c r="DH291" s="1"/>
      <c r="DI291" s="1"/>
      <c r="DJ291" s="1"/>
      <c r="DK291" s="1"/>
      <c r="DL291" s="1"/>
      <c r="DM291" s="1"/>
      <c r="DN291" s="1"/>
      <c r="DO291" s="1"/>
      <c r="DP291" s="1"/>
      <c r="DQ291" s="1"/>
      <c r="DR291" s="1"/>
      <c r="DS291" s="1"/>
      <c r="DT291" s="1"/>
      <c r="DU291" s="1"/>
      <c r="DV291" s="1"/>
      <c r="DW291" s="1"/>
      <c r="DX291" s="1"/>
      <c r="DY291" s="1"/>
      <c r="DZ291" s="1"/>
      <c r="EA291" s="1"/>
      <c r="EB291" s="1"/>
      <c r="EC291" s="1"/>
      <c r="ED291" s="1"/>
      <c r="EE291" s="1"/>
      <c r="EF291" s="1"/>
      <c r="EG291" s="1"/>
      <c r="EH291" s="1"/>
      <c r="EI291" s="1"/>
      <c r="EJ291" s="1"/>
      <c r="EK291" s="1"/>
      <c r="EL291" s="1"/>
      <c r="EM291" s="1"/>
      <c r="EN291" s="1"/>
      <c r="EO291" s="1"/>
      <c r="EP291" s="1"/>
      <c r="EQ291" s="1"/>
      <c r="ER291" s="1"/>
      <c r="ES291" s="1"/>
      <c r="ET291" s="1"/>
      <c r="EU291" s="1"/>
      <c r="EV291" s="1"/>
      <c r="EW291" s="1"/>
      <c r="EX291" s="1"/>
      <c r="EY291" s="1"/>
      <c r="EZ291" s="1"/>
      <c r="FA291" s="1"/>
      <c r="FB291" s="1"/>
      <c r="FC291" s="1"/>
      <c r="FD291" s="1"/>
      <c r="FE291" s="1"/>
      <c r="FF291" s="1"/>
      <c r="FG291" s="1"/>
      <c r="FH291" s="1"/>
      <c r="FI291" s="1"/>
      <c r="FJ291" s="1"/>
      <c r="FK291" s="1"/>
      <c r="FL291" s="1"/>
      <c r="FM291" s="1"/>
      <c r="FN291" s="1"/>
      <c r="FO291" s="1"/>
      <c r="FP291" s="1"/>
      <c r="FQ291" s="1"/>
      <c r="FR291" s="1"/>
      <c r="FS291" s="1"/>
      <c r="FT291" s="1"/>
      <c r="FU291" s="1"/>
      <c r="FV291" s="1"/>
      <c r="FW291" s="1"/>
      <c r="FX291" s="1"/>
      <c r="FY291" s="1"/>
      <c r="FZ291" s="1"/>
      <c r="GA291" s="1"/>
      <c r="GB291" s="1"/>
      <c r="GC291" s="1"/>
      <c r="GD291" s="1"/>
      <c r="GE291" s="1"/>
      <c r="GF291" s="1"/>
      <c r="GG291" s="1"/>
      <c r="GH291" s="1"/>
      <c r="GI291" s="1"/>
      <c r="GJ291" s="1"/>
      <c r="GK291" s="1"/>
      <c r="GL291" s="1"/>
      <c r="GM291" s="1"/>
      <c r="GN291" s="1"/>
      <c r="GO291" s="1"/>
      <c r="GP291" s="1"/>
      <c r="GQ291" s="1"/>
      <c r="GR291" s="1"/>
      <c r="GS291" s="1"/>
      <c r="GT291" s="1"/>
      <c r="GU291" s="1"/>
      <c r="GV291" s="1"/>
      <c r="GW291" s="1"/>
      <c r="GX291" s="1"/>
      <c r="GY291" s="1"/>
      <c r="GZ291" s="1"/>
      <c r="HA291" s="1"/>
      <c r="HB291" s="1"/>
      <c r="HC291" s="1"/>
      <c r="HD291" s="1"/>
      <c r="HE291" s="1"/>
      <c r="HF291" s="1"/>
      <c r="HG291" s="1"/>
      <c r="HH291" s="1"/>
      <c r="HI291" s="1"/>
      <c r="HJ291" s="1"/>
      <c r="HK291" s="1"/>
      <c r="HL291" s="1"/>
      <c r="HM291" s="1"/>
      <c r="HN291" s="1"/>
      <c r="HO291" s="1"/>
      <c r="HP291" s="1"/>
      <c r="HQ291" s="1"/>
      <c r="HR291" s="1"/>
      <c r="HS291" s="1"/>
      <c r="HT291" s="1"/>
      <c r="HU291" s="1"/>
      <c r="HV291" s="1"/>
      <c r="HW291" s="1"/>
      <c r="HX291" s="1"/>
      <c r="HY291" s="1"/>
      <c r="HZ291" s="1"/>
      <c r="IA291" s="1"/>
      <c r="IB291" s="1"/>
      <c r="IC291" s="1"/>
      <c r="ID291" s="1"/>
      <c r="IE291" s="1"/>
      <c r="IF291" s="1"/>
      <c r="IG291" s="1"/>
      <c r="IH291" s="1"/>
      <c r="II291" s="1"/>
      <c r="IJ291" s="1"/>
      <c r="IK291" s="1"/>
      <c r="IL291" s="1"/>
      <c r="IM291" s="1"/>
      <c r="IN291" s="1"/>
      <c r="IO291" s="1"/>
      <c r="IP291" s="1"/>
      <c r="IQ291" s="1"/>
      <c r="IR291" s="1"/>
      <c r="IS291" s="1"/>
      <c r="IT291" s="1"/>
      <c r="IU291" s="1"/>
      <c r="IV291" s="1"/>
      <c r="IW291" s="1"/>
      <c r="IX291" s="1"/>
      <c r="IY291" s="1"/>
      <c r="IZ291" s="1"/>
      <c r="JA291" s="1"/>
      <c r="JB291" s="1"/>
      <c r="JC291" s="1"/>
      <c r="JD291" s="1"/>
      <c r="JE291" s="1"/>
      <c r="JF291" s="1"/>
      <c r="JG291" s="1"/>
      <c r="JH291" s="1"/>
      <c r="JI291" s="1"/>
      <c r="JJ291" s="1"/>
      <c r="JK291" s="1"/>
      <c r="JL291" s="1"/>
      <c r="JM291" s="1"/>
      <c r="JN291" s="1"/>
      <c r="JO291" s="1"/>
      <c r="JP291" s="1"/>
      <c r="JQ291" s="1"/>
      <c r="JR291" s="1"/>
      <c r="JS291" s="1"/>
      <c r="JT291" s="1"/>
      <c r="JU291" s="1"/>
      <c r="JV291" s="1"/>
      <c r="JW291" s="1"/>
      <c r="JX291" s="1"/>
      <c r="JY291" s="1"/>
      <c r="JZ291" s="1"/>
      <c r="KA291" s="1"/>
      <c r="KB291" s="1"/>
      <c r="KC291" s="1"/>
      <c r="KD291" s="1"/>
      <c r="KE291" s="1"/>
      <c r="KF291" s="1"/>
      <c r="KG291" s="1"/>
      <c r="KH291" s="1"/>
      <c r="KI291" s="1"/>
      <c r="KJ291" s="1"/>
      <c r="KK291" s="1"/>
      <c r="KL291" s="1"/>
      <c r="KM291" s="1"/>
      <c r="KN291" s="1"/>
      <c r="KO291" s="1"/>
      <c r="KP291" s="1"/>
      <c r="KQ291" s="1"/>
      <c r="KR291" s="1"/>
      <c r="KS291" s="1"/>
      <c r="KT291" s="1"/>
      <c r="KU291" s="1"/>
      <c r="KV291" s="1"/>
      <c r="KW291" s="1"/>
      <c r="KX291" s="1"/>
      <c r="KY291" s="1"/>
      <c r="KZ291" s="1"/>
      <c r="LA291" s="1"/>
      <c r="LB291" s="1"/>
      <c r="LC291" s="1"/>
      <c r="LD291" s="1"/>
      <c r="LE291" s="1"/>
      <c r="LF291" s="1"/>
      <c r="LG291" s="1"/>
      <c r="LH291" s="1"/>
      <c r="LI291" s="1"/>
      <c r="LJ291" s="1"/>
      <c r="LK291" s="1"/>
      <c r="LL291" s="1"/>
      <c r="LM291" s="1"/>
      <c r="LN291" s="1"/>
      <c r="LO291" s="1"/>
      <c r="LP291" s="1"/>
      <c r="LQ291" s="1"/>
      <c r="LR291" s="1"/>
      <c r="LS291" s="1"/>
    </row>
    <row r="292" spans="1:331" s="45" customFormat="1" x14ac:dyDescent="0.25">
      <c r="A292" s="45" t="s">
        <v>1111</v>
      </c>
      <c r="B292" s="45" t="s">
        <v>1112</v>
      </c>
      <c r="C292" s="96" t="s">
        <v>1651</v>
      </c>
      <c r="D292" s="45">
        <v>0</v>
      </c>
      <c r="H292" s="45" t="s">
        <v>1113</v>
      </c>
      <c r="I292" s="45" t="s">
        <v>1113</v>
      </c>
      <c r="J292" s="45" t="s">
        <v>1113</v>
      </c>
      <c r="K292" s="45" t="s">
        <v>1113</v>
      </c>
      <c r="L292" s="45">
        <v>0</v>
      </c>
      <c r="O292" s="45">
        <v>1</v>
      </c>
      <c r="P292" s="45" t="s">
        <v>844</v>
      </c>
      <c r="Q292" s="96" t="s">
        <v>1609</v>
      </c>
      <c r="R292" s="96"/>
      <c r="S292" s="45">
        <v>12</v>
      </c>
      <c r="W292" s="96"/>
      <c r="X292" s="96"/>
      <c r="Y292" s="96"/>
      <c r="Z292" s="45">
        <v>-1</v>
      </c>
      <c r="AA292" s="94" t="b">
        <v>0</v>
      </c>
      <c r="AB292" s="17" t="s">
        <v>1890</v>
      </c>
      <c r="AC292" s="57" t="s">
        <v>1938</v>
      </c>
      <c r="AD292" s="1"/>
      <c r="AE292" s="57"/>
      <c r="AF292" s="1"/>
      <c r="AG292" s="1"/>
      <c r="AH292" s="1"/>
      <c r="AI292" s="1"/>
      <c r="AJ292" s="1"/>
      <c r="AK292" s="1"/>
      <c r="AL292" s="1"/>
      <c r="AM292" s="1"/>
      <c r="AN292" s="1"/>
      <c r="AO292" s="1"/>
      <c r="AP292" s="1"/>
      <c r="AQ292" s="1"/>
      <c r="AR292" s="1"/>
      <c r="AS292" s="1"/>
      <c r="AT292" s="1"/>
      <c r="AU292" s="1"/>
      <c r="AV292" s="1"/>
      <c r="AW292" s="1"/>
      <c r="AX292" s="1"/>
      <c r="AY292" s="1"/>
      <c r="AZ292" s="1"/>
      <c r="BA292" s="1"/>
      <c r="BB292" s="1"/>
      <c r="BC292" s="1"/>
      <c r="BD292" s="1"/>
      <c r="BE292" s="1"/>
      <c r="BF292" s="1"/>
      <c r="BG292" s="1"/>
      <c r="BH292" s="1"/>
      <c r="BI292" s="1"/>
      <c r="BJ292" s="1"/>
      <c r="BK292" s="1"/>
      <c r="BL292" s="1"/>
      <c r="BM292" s="1"/>
      <c r="BN292" s="1"/>
      <c r="BO292" s="1"/>
      <c r="BP292" s="1"/>
      <c r="BQ292" s="1"/>
      <c r="BR292" s="1"/>
      <c r="BS292" s="1"/>
      <c r="BT292" s="1"/>
      <c r="BU292" s="1"/>
      <c r="BV292" s="1"/>
      <c r="BW292" s="1"/>
      <c r="BX292" s="1"/>
      <c r="BY292" s="1"/>
      <c r="BZ292" s="1"/>
      <c r="CA292" s="1"/>
      <c r="CB292" s="1"/>
      <c r="CC292" s="1"/>
      <c r="CD292" s="1"/>
      <c r="CE292" s="1"/>
      <c r="CF292" s="1"/>
      <c r="CG292" s="1"/>
      <c r="CH292" s="1"/>
      <c r="CI292" s="1"/>
      <c r="CJ292" s="1"/>
      <c r="CK292" s="1"/>
      <c r="CL292" s="1"/>
      <c r="CM292" s="1"/>
      <c r="CN292" s="1"/>
      <c r="CO292" s="1"/>
      <c r="CP292" s="1"/>
      <c r="CQ292" s="1"/>
      <c r="CR292" s="1"/>
      <c r="CS292" s="1"/>
      <c r="CT292" s="1"/>
      <c r="CU292" s="1"/>
      <c r="CV292" s="1"/>
      <c r="CW292" s="1"/>
      <c r="CX292" s="1"/>
      <c r="CY292" s="1"/>
      <c r="CZ292" s="1"/>
      <c r="DA292" s="1"/>
      <c r="DB292" s="1"/>
      <c r="DC292" s="1"/>
      <c r="DD292" s="1"/>
      <c r="DE292" s="1"/>
      <c r="DF292" s="1"/>
      <c r="DG292" s="1"/>
      <c r="DH292" s="1"/>
      <c r="DI292" s="1"/>
      <c r="DJ292" s="1"/>
      <c r="DK292" s="1"/>
      <c r="DL292" s="1"/>
      <c r="DM292" s="1"/>
      <c r="DN292" s="1"/>
      <c r="DO292" s="1"/>
      <c r="DP292" s="1"/>
      <c r="DQ292" s="1"/>
      <c r="DR292" s="1"/>
      <c r="DS292" s="1"/>
      <c r="DT292" s="1"/>
      <c r="DU292" s="1"/>
      <c r="DV292" s="1"/>
      <c r="DW292" s="1"/>
      <c r="DX292" s="1"/>
      <c r="DY292" s="1"/>
      <c r="DZ292" s="1"/>
      <c r="EA292" s="1"/>
      <c r="EB292" s="1"/>
      <c r="EC292" s="1"/>
      <c r="ED292" s="1"/>
      <c r="EE292" s="1"/>
      <c r="EF292" s="1"/>
      <c r="EG292" s="1"/>
      <c r="EH292" s="1"/>
      <c r="EI292" s="1"/>
      <c r="EJ292" s="1"/>
      <c r="EK292" s="1"/>
      <c r="EL292" s="1"/>
      <c r="EM292" s="1"/>
      <c r="EN292" s="1"/>
      <c r="EO292" s="1"/>
      <c r="EP292" s="1"/>
      <c r="EQ292" s="1"/>
      <c r="ER292" s="1"/>
      <c r="ES292" s="1"/>
      <c r="ET292" s="1"/>
      <c r="EU292" s="1"/>
      <c r="EV292" s="1"/>
      <c r="EW292" s="1"/>
      <c r="EX292" s="1"/>
      <c r="EY292" s="1"/>
      <c r="EZ292" s="1"/>
      <c r="FA292" s="1"/>
      <c r="FB292" s="1"/>
      <c r="FC292" s="1"/>
      <c r="FD292" s="1"/>
      <c r="FE292" s="1"/>
      <c r="FF292" s="1"/>
      <c r="FG292" s="1"/>
      <c r="FH292" s="1"/>
      <c r="FI292" s="1"/>
      <c r="FJ292" s="1"/>
      <c r="FK292" s="1"/>
      <c r="FL292" s="1"/>
      <c r="FM292" s="1"/>
      <c r="FN292" s="1"/>
      <c r="FO292" s="1"/>
      <c r="FP292" s="1"/>
      <c r="FQ292" s="1"/>
      <c r="FR292" s="1"/>
      <c r="FS292" s="1"/>
      <c r="FT292" s="1"/>
      <c r="FU292" s="1"/>
      <c r="FV292" s="1"/>
      <c r="FW292" s="1"/>
      <c r="FX292" s="1"/>
      <c r="FY292" s="1"/>
      <c r="FZ292" s="1"/>
      <c r="GA292" s="1"/>
      <c r="GB292" s="1"/>
      <c r="GC292" s="1"/>
      <c r="GD292" s="1"/>
      <c r="GE292" s="1"/>
      <c r="GF292" s="1"/>
      <c r="GG292" s="1"/>
      <c r="GH292" s="1"/>
      <c r="GI292" s="1"/>
      <c r="GJ292" s="1"/>
      <c r="GK292" s="1"/>
      <c r="GL292" s="1"/>
      <c r="GM292" s="1"/>
      <c r="GN292" s="1"/>
      <c r="GO292" s="1"/>
      <c r="GP292" s="1"/>
      <c r="GQ292" s="1"/>
      <c r="GR292" s="1"/>
      <c r="GS292" s="1"/>
      <c r="GT292" s="1"/>
      <c r="GU292" s="1"/>
      <c r="GV292" s="1"/>
      <c r="GW292" s="1"/>
      <c r="GX292" s="1"/>
      <c r="GY292" s="1"/>
      <c r="GZ292" s="1"/>
      <c r="HA292" s="1"/>
      <c r="HB292" s="1"/>
      <c r="HC292" s="1"/>
      <c r="HD292" s="1"/>
      <c r="HE292" s="1"/>
      <c r="HF292" s="1"/>
      <c r="HG292" s="1"/>
      <c r="HH292" s="1"/>
      <c r="HI292" s="1"/>
      <c r="HJ292" s="1"/>
      <c r="HK292" s="1"/>
      <c r="HL292" s="1"/>
      <c r="HM292" s="1"/>
      <c r="HN292" s="1"/>
      <c r="HO292" s="1"/>
      <c r="HP292" s="1"/>
      <c r="HQ292" s="1"/>
      <c r="HR292" s="1"/>
      <c r="HS292" s="1"/>
      <c r="HT292" s="1"/>
      <c r="HU292" s="1"/>
      <c r="HV292" s="1"/>
      <c r="HW292" s="1"/>
      <c r="HX292" s="1"/>
      <c r="HY292" s="1"/>
      <c r="HZ292" s="1"/>
      <c r="IA292" s="1"/>
      <c r="IB292" s="1"/>
      <c r="IC292" s="1"/>
      <c r="ID292" s="1"/>
      <c r="IE292" s="1"/>
      <c r="IF292" s="1"/>
      <c r="IG292" s="1"/>
      <c r="IH292" s="1"/>
      <c r="II292" s="1"/>
      <c r="IJ292" s="1"/>
      <c r="IK292" s="1"/>
      <c r="IL292" s="1"/>
      <c r="IM292" s="1"/>
      <c r="IN292" s="1"/>
      <c r="IO292" s="1"/>
      <c r="IP292" s="1"/>
      <c r="IQ292" s="1"/>
      <c r="IR292" s="1"/>
      <c r="IS292" s="1"/>
      <c r="IT292" s="1"/>
      <c r="IU292" s="1"/>
      <c r="IV292" s="1"/>
      <c r="IW292" s="1"/>
      <c r="IX292" s="1"/>
      <c r="IY292" s="1"/>
      <c r="IZ292" s="1"/>
      <c r="JA292" s="1"/>
      <c r="JB292" s="1"/>
      <c r="JC292" s="1"/>
      <c r="JD292" s="1"/>
      <c r="JE292" s="1"/>
      <c r="JF292" s="1"/>
      <c r="JG292" s="1"/>
      <c r="JH292" s="1"/>
      <c r="JI292" s="1"/>
      <c r="JJ292" s="1"/>
      <c r="JK292" s="1"/>
      <c r="JL292" s="1"/>
      <c r="JM292" s="1"/>
      <c r="JN292" s="1"/>
      <c r="JO292" s="1"/>
      <c r="JP292" s="1"/>
      <c r="JQ292" s="1"/>
      <c r="JR292" s="1"/>
      <c r="JS292" s="1"/>
      <c r="JT292" s="1"/>
      <c r="JU292" s="1"/>
      <c r="JV292" s="1"/>
      <c r="JW292" s="1"/>
      <c r="JX292" s="1"/>
      <c r="JY292" s="1"/>
      <c r="JZ292" s="1"/>
      <c r="KA292" s="1"/>
      <c r="KB292" s="1"/>
      <c r="KC292" s="1"/>
      <c r="KD292" s="1"/>
      <c r="KE292" s="1"/>
      <c r="KF292" s="1"/>
      <c r="KG292" s="1"/>
      <c r="KH292" s="1"/>
      <c r="KI292" s="1"/>
      <c r="KJ292" s="1"/>
      <c r="KK292" s="1"/>
      <c r="KL292" s="1"/>
      <c r="KM292" s="1"/>
      <c r="KN292" s="1"/>
      <c r="KO292" s="1"/>
      <c r="KP292" s="1"/>
      <c r="KQ292" s="1"/>
      <c r="KR292" s="1"/>
      <c r="KS292" s="1"/>
      <c r="KT292" s="1"/>
      <c r="KU292" s="1"/>
      <c r="KV292" s="1"/>
      <c r="KW292" s="1"/>
      <c r="KX292" s="1"/>
      <c r="KY292" s="1"/>
      <c r="KZ292" s="1"/>
      <c r="LA292" s="1"/>
      <c r="LB292" s="1"/>
      <c r="LC292" s="1"/>
      <c r="LD292" s="1"/>
      <c r="LE292" s="1"/>
      <c r="LF292" s="1"/>
      <c r="LG292" s="1"/>
      <c r="LH292" s="1"/>
      <c r="LI292" s="1"/>
      <c r="LJ292" s="1"/>
      <c r="LK292" s="1"/>
      <c r="LL292" s="1"/>
      <c r="LM292" s="1"/>
      <c r="LN292" s="1"/>
      <c r="LO292" s="1"/>
      <c r="LP292" s="1"/>
      <c r="LQ292" s="1"/>
      <c r="LR292" s="1"/>
      <c r="LS292" s="1"/>
    </row>
    <row r="293" spans="1:331" s="3" customFormat="1" x14ac:dyDescent="0.25">
      <c r="A293" s="3" t="s">
        <v>1114</v>
      </c>
      <c r="B293" s="5" t="s">
        <v>1115</v>
      </c>
      <c r="C293" s="94" t="s">
        <v>1651</v>
      </c>
      <c r="D293" s="3">
        <v>0</v>
      </c>
      <c r="H293" s="3" t="s">
        <v>1116</v>
      </c>
      <c r="I293" s="3" t="s">
        <v>1116</v>
      </c>
      <c r="J293" s="3" t="s">
        <v>834</v>
      </c>
      <c r="K293" s="3" t="s">
        <v>1116</v>
      </c>
      <c r="L293" s="3">
        <v>1</v>
      </c>
      <c r="M293" s="3" t="s">
        <v>1117</v>
      </c>
      <c r="O293" s="3">
        <v>1</v>
      </c>
      <c r="P293" s="3" t="s">
        <v>835</v>
      </c>
      <c r="Q293" s="96" t="s">
        <v>1610</v>
      </c>
      <c r="R293" s="96"/>
      <c r="T293" s="3">
        <v>22</v>
      </c>
      <c r="V293" s="3">
        <v>6</v>
      </c>
      <c r="W293" s="96">
        <v>22</v>
      </c>
      <c r="X293" s="96"/>
      <c r="Y293" s="96"/>
      <c r="Z293" s="3">
        <v>1</v>
      </c>
      <c r="AA293" s="94" t="b">
        <v>1</v>
      </c>
      <c r="AB293" s="17" t="s">
        <v>1890</v>
      </c>
      <c r="AC293" s="57" t="s">
        <v>1375</v>
      </c>
      <c r="AD293" s="1"/>
      <c r="AE293" s="57"/>
      <c r="AF293" s="1"/>
      <c r="AG293" s="1"/>
      <c r="AH293" s="1"/>
      <c r="AI293" s="1"/>
      <c r="AJ293" s="1"/>
      <c r="AK293" s="1"/>
      <c r="AL293" s="1"/>
      <c r="AM293" s="1"/>
      <c r="AN293" s="1"/>
      <c r="AO293" s="1"/>
      <c r="AP293" s="1"/>
      <c r="AQ293" s="1"/>
      <c r="AR293" s="1"/>
      <c r="AS293" s="1"/>
      <c r="AT293" s="1"/>
      <c r="AU293" s="1"/>
      <c r="AV293" s="1"/>
      <c r="AW293" s="1"/>
      <c r="AX293" s="1"/>
      <c r="AY293" s="1"/>
      <c r="AZ293" s="1"/>
      <c r="BA293" s="1"/>
      <c r="BB293" s="1"/>
      <c r="BC293" s="1"/>
      <c r="BD293" s="1"/>
      <c r="BE293" s="1"/>
      <c r="BF293" s="1"/>
      <c r="BG293" s="1"/>
      <c r="BH293" s="1"/>
      <c r="BI293" s="1"/>
      <c r="BJ293" s="1"/>
      <c r="BK293" s="1"/>
      <c r="BL293" s="1"/>
      <c r="BM293" s="1"/>
      <c r="BN293" s="1"/>
      <c r="BO293" s="1"/>
      <c r="BP293" s="1"/>
      <c r="BQ293" s="1"/>
      <c r="BR293" s="1"/>
      <c r="BS293" s="1"/>
      <c r="BT293" s="1"/>
      <c r="BU293" s="1"/>
      <c r="BV293" s="1"/>
      <c r="BW293" s="1"/>
      <c r="BX293" s="1"/>
      <c r="BY293" s="1"/>
      <c r="BZ293" s="1"/>
      <c r="CA293" s="1"/>
      <c r="CB293" s="1"/>
      <c r="CC293" s="1"/>
      <c r="CD293" s="1"/>
      <c r="CE293" s="1"/>
      <c r="CF293" s="1"/>
      <c r="CG293" s="1"/>
      <c r="CH293" s="1"/>
      <c r="CI293" s="1"/>
      <c r="CJ293" s="1"/>
      <c r="CK293" s="1"/>
      <c r="CL293" s="1"/>
      <c r="CM293" s="1"/>
      <c r="CN293" s="1"/>
      <c r="CO293" s="1"/>
      <c r="CP293" s="1"/>
      <c r="CQ293" s="1"/>
      <c r="CR293" s="1"/>
      <c r="CS293" s="1"/>
      <c r="CT293" s="1"/>
      <c r="CU293" s="1"/>
      <c r="CV293" s="1"/>
      <c r="CW293" s="1"/>
      <c r="CX293" s="1"/>
      <c r="CY293" s="1"/>
      <c r="CZ293" s="1"/>
      <c r="DA293" s="1"/>
      <c r="DB293" s="1"/>
      <c r="DC293" s="1"/>
      <c r="DD293" s="1"/>
      <c r="DE293" s="1"/>
      <c r="DF293" s="1"/>
      <c r="DG293" s="1"/>
      <c r="DH293" s="1"/>
      <c r="DI293" s="1"/>
      <c r="DJ293" s="1"/>
      <c r="DK293" s="1"/>
      <c r="DL293" s="1"/>
      <c r="DM293" s="1"/>
      <c r="DN293" s="1"/>
      <c r="DO293" s="1"/>
      <c r="DP293" s="1"/>
      <c r="DQ293" s="1"/>
      <c r="DR293" s="1"/>
      <c r="DS293" s="1"/>
      <c r="DT293" s="1"/>
      <c r="DU293" s="1"/>
      <c r="DV293" s="1"/>
      <c r="DW293" s="1"/>
      <c r="DX293" s="1"/>
      <c r="DY293" s="1"/>
      <c r="DZ293" s="1"/>
      <c r="EA293" s="1"/>
      <c r="EB293" s="1"/>
      <c r="EC293" s="1"/>
      <c r="ED293" s="1"/>
      <c r="EE293" s="1"/>
      <c r="EF293" s="1"/>
      <c r="EG293" s="1"/>
      <c r="EH293" s="1"/>
      <c r="EI293" s="1"/>
      <c r="EJ293" s="1"/>
      <c r="EK293" s="1"/>
      <c r="EL293" s="1"/>
      <c r="EM293" s="1"/>
      <c r="EN293" s="1"/>
      <c r="EO293" s="1"/>
      <c r="EP293" s="1"/>
      <c r="EQ293" s="1"/>
      <c r="ER293" s="1"/>
      <c r="ES293" s="1"/>
      <c r="ET293" s="1"/>
      <c r="EU293" s="1"/>
      <c r="EV293" s="1"/>
      <c r="EW293" s="1"/>
      <c r="EX293" s="1"/>
      <c r="EY293" s="1"/>
      <c r="EZ293" s="1"/>
      <c r="FA293" s="1"/>
      <c r="FB293" s="1"/>
      <c r="FC293" s="1"/>
      <c r="FD293" s="1"/>
      <c r="FE293" s="1"/>
      <c r="FF293" s="1"/>
      <c r="FG293" s="1"/>
      <c r="FH293" s="1"/>
      <c r="FI293" s="1"/>
      <c r="FJ293" s="1"/>
      <c r="FK293" s="1"/>
      <c r="FL293" s="1"/>
      <c r="FM293" s="1"/>
      <c r="FN293" s="1"/>
      <c r="FO293" s="1"/>
      <c r="FP293" s="1"/>
      <c r="FQ293" s="1"/>
      <c r="FR293" s="1"/>
      <c r="FS293" s="1"/>
      <c r="FT293" s="1"/>
      <c r="FU293" s="1"/>
      <c r="FV293" s="1"/>
      <c r="FW293" s="1"/>
      <c r="FX293" s="1"/>
      <c r="FY293" s="1"/>
      <c r="FZ293" s="1"/>
      <c r="GA293" s="1"/>
      <c r="GB293" s="1"/>
      <c r="GC293" s="1"/>
      <c r="GD293" s="1"/>
      <c r="GE293" s="1"/>
      <c r="GF293" s="1"/>
      <c r="GG293" s="1"/>
      <c r="GH293" s="1"/>
      <c r="GI293" s="1"/>
      <c r="GJ293" s="1"/>
      <c r="GK293" s="1"/>
      <c r="GL293" s="1"/>
      <c r="GM293" s="1"/>
      <c r="GN293" s="1"/>
      <c r="GO293" s="1"/>
      <c r="GP293" s="1"/>
      <c r="GQ293" s="1"/>
      <c r="GR293" s="1"/>
      <c r="GS293" s="1"/>
      <c r="GT293" s="1"/>
      <c r="GU293" s="1"/>
      <c r="GV293" s="1"/>
      <c r="GW293" s="1"/>
      <c r="GX293" s="1"/>
      <c r="GY293" s="1"/>
      <c r="GZ293" s="1"/>
      <c r="HA293" s="1"/>
      <c r="HB293" s="1"/>
      <c r="HC293" s="1"/>
      <c r="HD293" s="1"/>
      <c r="HE293" s="1"/>
      <c r="HF293" s="1"/>
      <c r="HG293" s="1"/>
      <c r="HH293" s="1"/>
      <c r="HI293" s="1"/>
      <c r="HJ293" s="1"/>
      <c r="HK293" s="1"/>
      <c r="HL293" s="1"/>
      <c r="HM293" s="1"/>
      <c r="HN293" s="1"/>
      <c r="HO293" s="1"/>
      <c r="HP293" s="1"/>
      <c r="HQ293" s="1"/>
      <c r="HR293" s="1"/>
      <c r="HS293" s="1"/>
      <c r="HT293" s="1"/>
      <c r="HU293" s="1"/>
      <c r="HV293" s="1"/>
      <c r="HW293" s="1"/>
      <c r="HX293" s="1"/>
      <c r="HY293" s="1"/>
      <c r="HZ293" s="1"/>
      <c r="IA293" s="1"/>
      <c r="IB293" s="1"/>
      <c r="IC293" s="1"/>
      <c r="ID293" s="1"/>
      <c r="IE293" s="1"/>
      <c r="IF293" s="1"/>
      <c r="IG293" s="1"/>
      <c r="IH293" s="1"/>
      <c r="II293" s="1"/>
      <c r="IJ293" s="1"/>
      <c r="IK293" s="1"/>
      <c r="IL293" s="1"/>
      <c r="IM293" s="1"/>
      <c r="IN293" s="1"/>
      <c r="IO293" s="1"/>
      <c r="IP293" s="1"/>
      <c r="IQ293" s="1"/>
      <c r="IR293" s="1"/>
      <c r="IS293" s="1"/>
      <c r="IT293" s="1"/>
      <c r="IU293" s="1"/>
      <c r="IV293" s="1"/>
      <c r="IW293" s="1"/>
      <c r="IX293" s="1"/>
      <c r="IY293" s="1"/>
      <c r="IZ293" s="1"/>
      <c r="JA293" s="1"/>
      <c r="JB293" s="1"/>
      <c r="JC293" s="1"/>
      <c r="JD293" s="1"/>
      <c r="JE293" s="1"/>
      <c r="JF293" s="1"/>
      <c r="JG293" s="1"/>
      <c r="JH293" s="1"/>
      <c r="JI293" s="1"/>
      <c r="JJ293" s="1"/>
      <c r="JK293" s="1"/>
      <c r="JL293" s="1"/>
      <c r="JM293" s="1"/>
      <c r="JN293" s="1"/>
      <c r="JO293" s="1"/>
      <c r="JP293" s="1"/>
      <c r="JQ293" s="1"/>
      <c r="JR293" s="1"/>
      <c r="JS293" s="1"/>
      <c r="JT293" s="1"/>
      <c r="JU293" s="1"/>
      <c r="JV293" s="1"/>
      <c r="JW293" s="1"/>
      <c r="JX293" s="1"/>
      <c r="JY293" s="1"/>
      <c r="JZ293" s="1"/>
      <c r="KA293" s="1"/>
      <c r="KB293" s="1"/>
      <c r="KC293" s="1"/>
      <c r="KD293" s="1"/>
      <c r="KE293" s="1"/>
      <c r="KF293" s="1"/>
      <c r="KG293" s="1"/>
      <c r="KH293" s="1"/>
      <c r="KI293" s="1"/>
      <c r="KJ293" s="1"/>
      <c r="KK293" s="1"/>
      <c r="KL293" s="1"/>
      <c r="KM293" s="1"/>
      <c r="KN293" s="1"/>
      <c r="KO293" s="1"/>
      <c r="KP293" s="1"/>
      <c r="KQ293" s="1"/>
      <c r="KR293" s="1"/>
      <c r="KS293" s="1"/>
      <c r="KT293" s="1"/>
      <c r="KU293" s="1"/>
      <c r="KV293" s="1"/>
      <c r="KW293" s="1"/>
      <c r="KX293" s="1"/>
      <c r="KY293" s="1"/>
      <c r="KZ293" s="1"/>
      <c r="LA293" s="1"/>
      <c r="LB293" s="1"/>
      <c r="LC293" s="1"/>
      <c r="LD293" s="1"/>
      <c r="LE293" s="1"/>
      <c r="LF293" s="1"/>
      <c r="LG293" s="1"/>
      <c r="LH293" s="1"/>
      <c r="LI293" s="1"/>
      <c r="LJ293" s="1"/>
      <c r="LK293" s="1"/>
      <c r="LL293" s="1"/>
      <c r="LM293" s="1"/>
      <c r="LN293" s="1"/>
      <c r="LO293" s="1"/>
      <c r="LP293" s="1"/>
      <c r="LQ293" s="1"/>
      <c r="LR293" s="1"/>
      <c r="LS293" s="1"/>
    </row>
    <row r="294" spans="1:331" s="3" customFormat="1" x14ac:dyDescent="0.25">
      <c r="A294" s="3" t="s">
        <v>1118</v>
      </c>
      <c r="B294" s="5" t="s">
        <v>1119</v>
      </c>
      <c r="C294" s="94" t="s">
        <v>1651</v>
      </c>
      <c r="D294" s="3">
        <v>0</v>
      </c>
      <c r="H294" s="3" t="s">
        <v>1120</v>
      </c>
      <c r="I294" s="3" t="s">
        <v>1120</v>
      </c>
      <c r="J294" s="3" t="s">
        <v>1120</v>
      </c>
      <c r="K294" s="3" t="s">
        <v>1120</v>
      </c>
      <c r="L294" s="3">
        <v>3</v>
      </c>
      <c r="M294" s="3" t="s">
        <v>1121</v>
      </c>
      <c r="N294" s="3" t="s">
        <v>1121</v>
      </c>
      <c r="O294" s="3">
        <v>1</v>
      </c>
      <c r="P294" s="3" t="s">
        <v>1122</v>
      </c>
      <c r="Q294" s="96" t="s">
        <v>1611</v>
      </c>
      <c r="R294" s="96"/>
      <c r="T294" s="3">
        <v>10</v>
      </c>
      <c r="V294" s="3">
        <v>32</v>
      </c>
      <c r="W294" s="96">
        <v>10</v>
      </c>
      <c r="X294" s="96"/>
      <c r="Y294" s="96"/>
      <c r="Z294" s="3">
        <v>1</v>
      </c>
      <c r="AA294" s="94" t="b">
        <v>1</v>
      </c>
      <c r="AB294" s="17" t="s">
        <v>1890</v>
      </c>
      <c r="AC294" s="57" t="s">
        <v>1376</v>
      </c>
      <c r="AD294" s="1"/>
      <c r="AE294" s="57"/>
      <c r="AF294" s="1"/>
      <c r="AG294" s="1"/>
      <c r="AH294" s="1"/>
      <c r="AI294" s="1"/>
      <c r="AJ294" s="1"/>
      <c r="AK294" s="1"/>
      <c r="AL294" s="1"/>
      <c r="AM294" s="1"/>
      <c r="AN294" s="1"/>
      <c r="AO294" s="1"/>
      <c r="AP294" s="1"/>
      <c r="AQ294" s="1"/>
      <c r="AR294" s="1"/>
      <c r="AS294" s="1"/>
      <c r="AT294" s="1"/>
      <c r="AU294" s="1"/>
      <c r="AV294" s="1"/>
      <c r="AW294" s="1"/>
      <c r="AX294" s="1"/>
      <c r="AY294" s="1"/>
      <c r="AZ294" s="1"/>
      <c r="BA294" s="1"/>
      <c r="BB294" s="1"/>
      <c r="BC294" s="1"/>
      <c r="BD294" s="1"/>
      <c r="BE294" s="1"/>
      <c r="BF294" s="1"/>
      <c r="BG294" s="1"/>
      <c r="BH294" s="1"/>
      <c r="BI294" s="1"/>
      <c r="BJ294" s="1"/>
      <c r="BK294" s="1"/>
      <c r="BL294" s="1"/>
      <c r="BM294" s="1"/>
      <c r="BN294" s="1"/>
      <c r="BO294" s="1"/>
      <c r="BP294" s="1"/>
      <c r="BQ294" s="1"/>
      <c r="BR294" s="1"/>
      <c r="BS294" s="1"/>
      <c r="BT294" s="1"/>
      <c r="BU294" s="1"/>
      <c r="BV294" s="1"/>
      <c r="BW294" s="1"/>
      <c r="BX294" s="1"/>
      <c r="BY294" s="1"/>
      <c r="BZ294" s="1"/>
      <c r="CA294" s="1"/>
      <c r="CB294" s="1"/>
      <c r="CC294" s="1"/>
      <c r="CD294" s="1"/>
      <c r="CE294" s="1"/>
      <c r="CF294" s="1"/>
      <c r="CG294" s="1"/>
      <c r="CH294" s="1"/>
      <c r="CI294" s="1"/>
      <c r="CJ294" s="1"/>
      <c r="CK294" s="1"/>
      <c r="CL294" s="1"/>
      <c r="CM294" s="1"/>
      <c r="CN294" s="1"/>
      <c r="CO294" s="1"/>
      <c r="CP294" s="1"/>
      <c r="CQ294" s="1"/>
      <c r="CR294" s="1"/>
      <c r="CS294" s="1"/>
      <c r="CT294" s="1"/>
      <c r="CU294" s="1"/>
      <c r="CV294" s="1"/>
      <c r="CW294" s="1"/>
      <c r="CX294" s="1"/>
      <c r="CY294" s="1"/>
      <c r="CZ294" s="1"/>
      <c r="DA294" s="1"/>
      <c r="DB294" s="1"/>
      <c r="DC294" s="1"/>
      <c r="DD294" s="1"/>
      <c r="DE294" s="1"/>
      <c r="DF294" s="1"/>
      <c r="DG294" s="1"/>
      <c r="DH294" s="1"/>
      <c r="DI294" s="1"/>
      <c r="DJ294" s="1"/>
      <c r="DK294" s="1"/>
      <c r="DL294" s="1"/>
      <c r="DM294" s="1"/>
      <c r="DN294" s="1"/>
      <c r="DO294" s="1"/>
      <c r="DP294" s="1"/>
      <c r="DQ294" s="1"/>
      <c r="DR294" s="1"/>
      <c r="DS294" s="1"/>
      <c r="DT294" s="1"/>
      <c r="DU294" s="1"/>
      <c r="DV294" s="1"/>
      <c r="DW294" s="1"/>
      <c r="DX294" s="1"/>
      <c r="DY294" s="1"/>
      <c r="DZ294" s="1"/>
      <c r="EA294" s="1"/>
      <c r="EB294" s="1"/>
      <c r="EC294" s="1"/>
      <c r="ED294" s="1"/>
      <c r="EE294" s="1"/>
      <c r="EF294" s="1"/>
      <c r="EG294" s="1"/>
      <c r="EH294" s="1"/>
      <c r="EI294" s="1"/>
      <c r="EJ294" s="1"/>
      <c r="EK294" s="1"/>
      <c r="EL294" s="1"/>
      <c r="EM294" s="1"/>
      <c r="EN294" s="1"/>
      <c r="EO294" s="1"/>
      <c r="EP294" s="1"/>
      <c r="EQ294" s="1"/>
      <c r="ER294" s="1"/>
      <c r="ES294" s="1"/>
      <c r="ET294" s="1"/>
      <c r="EU294" s="1"/>
      <c r="EV294" s="1"/>
      <c r="EW294" s="1"/>
      <c r="EX294" s="1"/>
      <c r="EY294" s="1"/>
      <c r="EZ294" s="1"/>
      <c r="FA294" s="1"/>
      <c r="FB294" s="1"/>
      <c r="FC294" s="1"/>
      <c r="FD294" s="1"/>
      <c r="FE294" s="1"/>
      <c r="FF294" s="1"/>
      <c r="FG294" s="1"/>
      <c r="FH294" s="1"/>
      <c r="FI294" s="1"/>
      <c r="FJ294" s="1"/>
      <c r="FK294" s="1"/>
      <c r="FL294" s="1"/>
      <c r="FM294" s="1"/>
      <c r="FN294" s="1"/>
      <c r="FO294" s="1"/>
      <c r="FP294" s="1"/>
      <c r="FQ294" s="1"/>
      <c r="FR294" s="1"/>
      <c r="FS294" s="1"/>
      <c r="FT294" s="1"/>
      <c r="FU294" s="1"/>
      <c r="FV294" s="1"/>
      <c r="FW294" s="1"/>
      <c r="FX294" s="1"/>
      <c r="FY294" s="1"/>
      <c r="FZ294" s="1"/>
      <c r="GA294" s="1"/>
      <c r="GB294" s="1"/>
      <c r="GC294" s="1"/>
      <c r="GD294" s="1"/>
      <c r="GE294" s="1"/>
      <c r="GF294" s="1"/>
      <c r="GG294" s="1"/>
      <c r="GH294" s="1"/>
      <c r="GI294" s="1"/>
      <c r="GJ294" s="1"/>
      <c r="GK294" s="1"/>
      <c r="GL294" s="1"/>
      <c r="GM294" s="1"/>
      <c r="GN294" s="1"/>
      <c r="GO294" s="1"/>
      <c r="GP294" s="1"/>
      <c r="GQ294" s="1"/>
      <c r="GR294" s="1"/>
      <c r="GS294" s="1"/>
      <c r="GT294" s="1"/>
      <c r="GU294" s="1"/>
      <c r="GV294" s="1"/>
      <c r="GW294" s="1"/>
      <c r="GX294" s="1"/>
      <c r="GY294" s="1"/>
      <c r="GZ294" s="1"/>
      <c r="HA294" s="1"/>
      <c r="HB294" s="1"/>
      <c r="HC294" s="1"/>
      <c r="HD294" s="1"/>
      <c r="HE294" s="1"/>
      <c r="HF294" s="1"/>
      <c r="HG294" s="1"/>
      <c r="HH294" s="1"/>
      <c r="HI294" s="1"/>
      <c r="HJ294" s="1"/>
      <c r="HK294" s="1"/>
      <c r="HL294" s="1"/>
      <c r="HM294" s="1"/>
      <c r="HN294" s="1"/>
      <c r="HO294" s="1"/>
      <c r="HP294" s="1"/>
      <c r="HQ294" s="1"/>
      <c r="HR294" s="1"/>
      <c r="HS294" s="1"/>
      <c r="HT294" s="1"/>
      <c r="HU294" s="1"/>
      <c r="HV294" s="1"/>
      <c r="HW294" s="1"/>
      <c r="HX294" s="1"/>
      <c r="HY294" s="1"/>
      <c r="HZ294" s="1"/>
      <c r="IA294" s="1"/>
      <c r="IB294" s="1"/>
      <c r="IC294" s="1"/>
      <c r="ID294" s="1"/>
      <c r="IE294" s="1"/>
      <c r="IF294" s="1"/>
      <c r="IG294" s="1"/>
      <c r="IH294" s="1"/>
      <c r="II294" s="1"/>
      <c r="IJ294" s="1"/>
      <c r="IK294" s="1"/>
      <c r="IL294" s="1"/>
      <c r="IM294" s="1"/>
      <c r="IN294" s="1"/>
      <c r="IO294" s="1"/>
      <c r="IP294" s="1"/>
      <c r="IQ294" s="1"/>
      <c r="IR294" s="1"/>
      <c r="IS294" s="1"/>
      <c r="IT294" s="1"/>
      <c r="IU294" s="1"/>
      <c r="IV294" s="1"/>
      <c r="IW294" s="1"/>
      <c r="IX294" s="1"/>
      <c r="IY294" s="1"/>
      <c r="IZ294" s="1"/>
      <c r="JA294" s="1"/>
      <c r="JB294" s="1"/>
      <c r="JC294" s="1"/>
      <c r="JD294" s="1"/>
      <c r="JE294" s="1"/>
      <c r="JF294" s="1"/>
      <c r="JG294" s="1"/>
      <c r="JH294" s="1"/>
      <c r="JI294" s="1"/>
      <c r="JJ294" s="1"/>
      <c r="JK294" s="1"/>
      <c r="JL294" s="1"/>
      <c r="JM294" s="1"/>
      <c r="JN294" s="1"/>
      <c r="JO294" s="1"/>
      <c r="JP294" s="1"/>
      <c r="JQ294" s="1"/>
      <c r="JR294" s="1"/>
      <c r="JS294" s="1"/>
      <c r="JT294" s="1"/>
      <c r="JU294" s="1"/>
      <c r="JV294" s="1"/>
      <c r="JW294" s="1"/>
      <c r="JX294" s="1"/>
      <c r="JY294" s="1"/>
      <c r="JZ294" s="1"/>
      <c r="KA294" s="1"/>
      <c r="KB294" s="1"/>
      <c r="KC294" s="1"/>
      <c r="KD294" s="1"/>
      <c r="KE294" s="1"/>
      <c r="KF294" s="1"/>
      <c r="KG294" s="1"/>
      <c r="KH294" s="1"/>
      <c r="KI294" s="1"/>
      <c r="KJ294" s="1"/>
      <c r="KK294" s="1"/>
      <c r="KL294" s="1"/>
      <c r="KM294" s="1"/>
      <c r="KN294" s="1"/>
      <c r="KO294" s="1"/>
      <c r="KP294" s="1"/>
      <c r="KQ294" s="1"/>
      <c r="KR294" s="1"/>
      <c r="KS294" s="1"/>
      <c r="KT294" s="1"/>
      <c r="KU294" s="1"/>
      <c r="KV294" s="1"/>
      <c r="KW294" s="1"/>
      <c r="KX294" s="1"/>
      <c r="KY294" s="1"/>
      <c r="KZ294" s="1"/>
      <c r="LA294" s="1"/>
      <c r="LB294" s="1"/>
      <c r="LC294" s="1"/>
      <c r="LD294" s="1"/>
      <c r="LE294" s="1"/>
      <c r="LF294" s="1"/>
      <c r="LG294" s="1"/>
      <c r="LH294" s="1"/>
      <c r="LI294" s="1"/>
      <c r="LJ294" s="1"/>
      <c r="LK294" s="1"/>
      <c r="LL294" s="1"/>
      <c r="LM294" s="1"/>
      <c r="LN294" s="1"/>
      <c r="LO294" s="1"/>
      <c r="LP294" s="1"/>
      <c r="LQ294" s="1"/>
      <c r="LR294" s="1"/>
      <c r="LS294" s="1"/>
    </row>
    <row r="295" spans="1:331" s="25" customFormat="1" x14ac:dyDescent="0.25">
      <c r="A295" s="25" t="s">
        <v>1123</v>
      </c>
      <c r="B295" s="29" t="s">
        <v>1124</v>
      </c>
      <c r="C295" s="94" t="s">
        <v>1651</v>
      </c>
      <c r="D295" s="25">
        <v>0</v>
      </c>
      <c r="H295" s="25" t="s">
        <v>1125</v>
      </c>
      <c r="I295" s="25" t="s">
        <v>1125</v>
      </c>
      <c r="J295" s="25" t="s">
        <v>1126</v>
      </c>
      <c r="K295" s="25" t="s">
        <v>1125</v>
      </c>
      <c r="L295" s="25">
        <v>0</v>
      </c>
      <c r="O295" s="25">
        <v>0</v>
      </c>
      <c r="Q295" s="96" t="s">
        <v>1612</v>
      </c>
      <c r="R295" s="96"/>
      <c r="T295" s="25">
        <v>6</v>
      </c>
      <c r="W295" s="96">
        <v>6</v>
      </c>
      <c r="X295" s="96"/>
      <c r="Y295" s="96"/>
      <c r="Z295" s="25">
        <v>5</v>
      </c>
      <c r="AA295" s="94" t="b">
        <v>1</v>
      </c>
      <c r="AB295" s="1"/>
      <c r="AC295" s="57" t="s">
        <v>1349</v>
      </c>
      <c r="AD295" s="1"/>
      <c r="AE295" t="s">
        <v>1864</v>
      </c>
      <c r="AF295" s="1"/>
      <c r="AG295" s="1"/>
      <c r="AH295" s="1"/>
      <c r="AI295" s="1"/>
      <c r="AJ295" s="1"/>
      <c r="AK295" s="1"/>
      <c r="AL295" s="1"/>
      <c r="AM295" s="1"/>
      <c r="AN295" s="1"/>
      <c r="AO295" s="1"/>
      <c r="AP295" s="1"/>
      <c r="AQ295" s="1"/>
      <c r="AR295" s="1"/>
      <c r="AS295" s="1"/>
      <c r="AT295" s="1"/>
      <c r="AU295" s="1"/>
      <c r="AV295" s="1"/>
      <c r="AW295" s="1"/>
      <c r="AX295" s="1"/>
      <c r="AY295" s="1"/>
      <c r="AZ295" s="1"/>
      <c r="BA295" s="1"/>
      <c r="BB295" s="1"/>
      <c r="BC295" s="1"/>
      <c r="BD295" s="1"/>
      <c r="BE295" s="1"/>
      <c r="BF295" s="1"/>
      <c r="BG295" s="1"/>
      <c r="BH295" s="1"/>
      <c r="BI295" s="1"/>
      <c r="BJ295" s="1"/>
      <c r="BK295" s="1"/>
      <c r="BL295" s="1"/>
      <c r="BM295" s="1"/>
      <c r="BN295" s="1"/>
      <c r="BO295" s="1"/>
      <c r="BP295" s="1"/>
      <c r="BQ295" s="1"/>
      <c r="BR295" s="1"/>
      <c r="BS295" s="1"/>
      <c r="BT295" s="1"/>
      <c r="BU295" s="1"/>
      <c r="BV295" s="1"/>
      <c r="BW295" s="1"/>
      <c r="BX295" s="1"/>
      <c r="BY295" s="1"/>
      <c r="BZ295" s="1"/>
      <c r="CA295" s="1"/>
      <c r="CB295" s="1"/>
      <c r="CC295" s="1"/>
      <c r="CD295" s="1"/>
      <c r="CE295" s="1"/>
      <c r="CF295" s="1"/>
      <c r="CG295" s="1"/>
      <c r="CH295" s="1"/>
      <c r="CI295" s="1"/>
      <c r="CJ295" s="1"/>
      <c r="CK295" s="1"/>
      <c r="CL295" s="1"/>
      <c r="CM295" s="1"/>
      <c r="CN295" s="1"/>
      <c r="CO295" s="1"/>
      <c r="CP295" s="1"/>
      <c r="CQ295" s="1"/>
      <c r="CR295" s="1"/>
      <c r="CS295" s="1"/>
      <c r="CT295" s="1"/>
      <c r="CU295" s="1"/>
      <c r="CV295" s="1"/>
      <c r="CW295" s="1"/>
      <c r="CX295" s="1"/>
      <c r="CY295" s="1"/>
      <c r="CZ295" s="1"/>
      <c r="DA295" s="1"/>
      <c r="DB295" s="1"/>
      <c r="DC295" s="1"/>
      <c r="DD295" s="1"/>
      <c r="DE295" s="1"/>
      <c r="DF295" s="1"/>
      <c r="DG295" s="1"/>
      <c r="DH295" s="1"/>
      <c r="DI295" s="1"/>
      <c r="DJ295" s="1"/>
      <c r="DK295" s="1"/>
      <c r="DL295" s="1"/>
      <c r="DM295" s="1"/>
      <c r="DN295" s="1"/>
      <c r="DO295" s="1"/>
      <c r="DP295" s="1"/>
      <c r="DQ295" s="1"/>
      <c r="DR295" s="1"/>
      <c r="DS295" s="1"/>
      <c r="DT295" s="1"/>
      <c r="DU295" s="1"/>
      <c r="DV295" s="1"/>
      <c r="DW295" s="1"/>
      <c r="DX295" s="1"/>
      <c r="DY295" s="1"/>
      <c r="DZ295" s="1"/>
      <c r="EA295" s="1"/>
      <c r="EB295" s="1"/>
      <c r="EC295" s="1"/>
      <c r="ED295" s="1"/>
      <c r="EE295" s="1"/>
      <c r="EF295" s="1"/>
      <c r="EG295" s="1"/>
      <c r="EH295" s="1"/>
      <c r="EI295" s="1"/>
      <c r="EJ295" s="1"/>
      <c r="EK295" s="1"/>
      <c r="EL295" s="1"/>
      <c r="EM295" s="1"/>
      <c r="EN295" s="1"/>
      <c r="EO295" s="1"/>
      <c r="EP295" s="1"/>
      <c r="EQ295" s="1"/>
      <c r="ER295" s="1"/>
      <c r="ES295" s="1"/>
      <c r="ET295" s="1"/>
      <c r="EU295" s="1"/>
      <c r="EV295" s="1"/>
      <c r="EW295" s="1"/>
      <c r="EX295" s="1"/>
      <c r="EY295" s="1"/>
      <c r="EZ295" s="1"/>
      <c r="FA295" s="1"/>
      <c r="FB295" s="1"/>
      <c r="FC295" s="1"/>
      <c r="FD295" s="1"/>
      <c r="FE295" s="1"/>
      <c r="FF295" s="1"/>
      <c r="FG295" s="1"/>
      <c r="FH295" s="1"/>
      <c r="FI295" s="1"/>
      <c r="FJ295" s="1"/>
      <c r="FK295" s="1"/>
      <c r="FL295" s="1"/>
      <c r="FM295" s="1"/>
      <c r="FN295" s="1"/>
      <c r="FO295" s="1"/>
      <c r="FP295" s="1"/>
      <c r="FQ295" s="1"/>
      <c r="FR295" s="1"/>
      <c r="FS295" s="1"/>
      <c r="FT295" s="1"/>
      <c r="FU295" s="1"/>
      <c r="FV295" s="1"/>
      <c r="FW295" s="1"/>
      <c r="FX295" s="1"/>
      <c r="FY295" s="1"/>
      <c r="FZ295" s="1"/>
      <c r="GA295" s="1"/>
      <c r="GB295" s="1"/>
      <c r="GC295" s="1"/>
      <c r="GD295" s="1"/>
      <c r="GE295" s="1"/>
      <c r="GF295" s="1"/>
      <c r="GG295" s="1"/>
      <c r="GH295" s="1"/>
      <c r="GI295" s="1"/>
      <c r="GJ295" s="1"/>
      <c r="GK295" s="1"/>
      <c r="GL295" s="1"/>
      <c r="GM295" s="1"/>
      <c r="GN295" s="1"/>
      <c r="GO295" s="1"/>
      <c r="GP295" s="1"/>
      <c r="GQ295" s="1"/>
      <c r="GR295" s="1"/>
      <c r="GS295" s="1"/>
      <c r="GT295" s="1"/>
      <c r="GU295" s="1"/>
      <c r="GV295" s="1"/>
      <c r="GW295" s="1"/>
      <c r="GX295" s="1"/>
      <c r="GY295" s="1"/>
      <c r="GZ295" s="1"/>
      <c r="HA295" s="1"/>
      <c r="HB295" s="1"/>
      <c r="HC295" s="1"/>
      <c r="HD295" s="1"/>
      <c r="HE295" s="1"/>
      <c r="HF295" s="1"/>
      <c r="HG295" s="1"/>
      <c r="HH295" s="1"/>
      <c r="HI295" s="1"/>
      <c r="HJ295" s="1"/>
      <c r="HK295" s="1"/>
      <c r="HL295" s="1"/>
      <c r="HM295" s="1"/>
      <c r="HN295" s="1"/>
      <c r="HO295" s="1"/>
      <c r="HP295" s="1"/>
      <c r="HQ295" s="1"/>
      <c r="HR295" s="1"/>
      <c r="HS295" s="1"/>
      <c r="HT295" s="1"/>
      <c r="HU295" s="1"/>
      <c r="HV295" s="1"/>
      <c r="HW295" s="1"/>
      <c r="HX295" s="1"/>
      <c r="HY295" s="1"/>
      <c r="HZ295" s="1"/>
      <c r="IA295" s="1"/>
      <c r="IB295" s="1"/>
      <c r="IC295" s="1"/>
      <c r="ID295" s="1"/>
      <c r="IE295" s="1"/>
      <c r="IF295" s="1"/>
      <c r="IG295" s="1"/>
      <c r="IH295" s="1"/>
      <c r="II295" s="1"/>
      <c r="IJ295" s="1"/>
      <c r="IK295" s="1"/>
      <c r="IL295" s="1"/>
      <c r="IM295" s="1"/>
      <c r="IN295" s="1"/>
      <c r="IO295" s="1"/>
      <c r="IP295" s="1"/>
      <c r="IQ295" s="1"/>
      <c r="IR295" s="1"/>
      <c r="IS295" s="1"/>
      <c r="IT295" s="1"/>
      <c r="IU295" s="1"/>
      <c r="IV295" s="1"/>
      <c r="IW295" s="1"/>
      <c r="IX295" s="1"/>
      <c r="IY295" s="1"/>
      <c r="IZ295" s="1"/>
      <c r="JA295" s="1"/>
      <c r="JB295" s="1"/>
      <c r="JC295" s="1"/>
      <c r="JD295" s="1"/>
      <c r="JE295" s="1"/>
      <c r="JF295" s="1"/>
      <c r="JG295" s="1"/>
      <c r="JH295" s="1"/>
      <c r="JI295" s="1"/>
      <c r="JJ295" s="1"/>
      <c r="JK295" s="1"/>
      <c r="JL295" s="1"/>
      <c r="JM295" s="1"/>
      <c r="JN295" s="1"/>
      <c r="JO295" s="1"/>
      <c r="JP295" s="1"/>
      <c r="JQ295" s="1"/>
      <c r="JR295" s="1"/>
      <c r="JS295" s="1"/>
      <c r="JT295" s="1"/>
      <c r="JU295" s="1"/>
      <c r="JV295" s="1"/>
      <c r="JW295" s="1"/>
      <c r="JX295" s="1"/>
      <c r="JY295" s="1"/>
      <c r="JZ295" s="1"/>
      <c r="KA295" s="1"/>
      <c r="KB295" s="1"/>
      <c r="KC295" s="1"/>
      <c r="KD295" s="1"/>
      <c r="KE295" s="1"/>
      <c r="KF295" s="1"/>
      <c r="KG295" s="1"/>
      <c r="KH295" s="1"/>
      <c r="KI295" s="1"/>
      <c r="KJ295" s="1"/>
      <c r="KK295" s="1"/>
      <c r="KL295" s="1"/>
      <c r="KM295" s="1"/>
      <c r="KN295" s="1"/>
      <c r="KO295" s="1"/>
      <c r="KP295" s="1"/>
      <c r="KQ295" s="1"/>
      <c r="KR295" s="1"/>
      <c r="KS295" s="1"/>
      <c r="KT295" s="1"/>
      <c r="KU295" s="1"/>
      <c r="KV295" s="1"/>
      <c r="KW295" s="1"/>
      <c r="KX295" s="1"/>
      <c r="KY295" s="1"/>
      <c r="KZ295" s="1"/>
      <c r="LA295" s="1"/>
      <c r="LB295" s="1"/>
      <c r="LC295" s="1"/>
      <c r="LD295" s="1"/>
      <c r="LE295" s="1"/>
      <c r="LF295" s="1"/>
      <c r="LG295" s="1"/>
      <c r="LH295" s="1"/>
      <c r="LI295" s="1"/>
      <c r="LJ295" s="1"/>
      <c r="LK295" s="1"/>
      <c r="LL295" s="1"/>
      <c r="LM295" s="1"/>
      <c r="LN295" s="1"/>
      <c r="LO295" s="1"/>
      <c r="LP295" s="1"/>
      <c r="LQ295" s="1"/>
      <c r="LR295" s="1"/>
      <c r="LS295" s="1"/>
    </row>
    <row r="296" spans="1:331" s="45" customFormat="1" x14ac:dyDescent="0.25">
      <c r="A296" s="45" t="s">
        <v>1127</v>
      </c>
      <c r="B296" s="45" t="s">
        <v>1128</v>
      </c>
      <c r="C296" s="96" t="s">
        <v>1651</v>
      </c>
      <c r="D296" s="45">
        <v>0</v>
      </c>
      <c r="H296" s="45" t="s">
        <v>1129</v>
      </c>
      <c r="I296" s="45" t="s">
        <v>1129</v>
      </c>
      <c r="J296" s="45" t="s">
        <v>1130</v>
      </c>
      <c r="K296" s="45" t="s">
        <v>1129</v>
      </c>
      <c r="L296" s="45">
        <v>0</v>
      </c>
      <c r="O296" s="45">
        <v>1</v>
      </c>
      <c r="P296" s="45" t="s">
        <v>1131</v>
      </c>
      <c r="Q296" s="96" t="s">
        <v>1613</v>
      </c>
      <c r="R296" s="96"/>
      <c r="S296" s="45">
        <v>8</v>
      </c>
      <c r="W296" s="96"/>
      <c r="X296" s="96"/>
      <c r="Y296" s="96"/>
      <c r="Z296" s="45">
        <v>-1</v>
      </c>
      <c r="AA296" s="94" t="b">
        <v>0</v>
      </c>
      <c r="AB296" s="1"/>
      <c r="AC296" s="57" t="s">
        <v>1424</v>
      </c>
      <c r="AD296" s="1"/>
      <c r="AE296" s="57"/>
      <c r="AF296" s="1"/>
      <c r="AG296" s="1"/>
      <c r="AH296" s="1"/>
      <c r="AI296" s="1"/>
      <c r="AJ296" s="1"/>
      <c r="AK296" s="1"/>
      <c r="AL296" s="1"/>
      <c r="AM296" s="1"/>
      <c r="AN296" s="1"/>
      <c r="AO296" s="1"/>
      <c r="AP296" s="1"/>
      <c r="AQ296" s="1"/>
      <c r="AR296" s="1"/>
      <c r="AS296" s="1"/>
      <c r="AT296" s="1"/>
      <c r="AU296" s="1"/>
      <c r="AV296" s="1"/>
      <c r="AW296" s="1"/>
      <c r="AX296" s="1"/>
      <c r="AY296" s="1"/>
      <c r="AZ296" s="1"/>
      <c r="BA296" s="1"/>
      <c r="BB296" s="1"/>
      <c r="BC296" s="1"/>
      <c r="BD296" s="1"/>
      <c r="BE296" s="1"/>
      <c r="BF296" s="1"/>
      <c r="BG296" s="1"/>
      <c r="BH296" s="1"/>
      <c r="BI296" s="1"/>
      <c r="BJ296" s="1"/>
      <c r="BK296" s="1"/>
      <c r="BL296" s="1"/>
      <c r="BM296" s="1"/>
      <c r="BN296" s="1"/>
      <c r="BO296" s="1"/>
      <c r="BP296" s="1"/>
      <c r="BQ296" s="1"/>
      <c r="BR296" s="1"/>
      <c r="BS296" s="1"/>
      <c r="BT296" s="1"/>
      <c r="BU296" s="1"/>
      <c r="BV296" s="1"/>
      <c r="BW296" s="1"/>
      <c r="BX296" s="1"/>
      <c r="BY296" s="1"/>
      <c r="BZ296" s="1"/>
      <c r="CA296" s="1"/>
      <c r="CB296" s="1"/>
      <c r="CC296" s="1"/>
      <c r="CD296" s="1"/>
      <c r="CE296" s="1"/>
      <c r="CF296" s="1"/>
      <c r="CG296" s="1"/>
      <c r="CH296" s="1"/>
      <c r="CI296" s="1"/>
      <c r="CJ296" s="1"/>
      <c r="CK296" s="1"/>
      <c r="CL296" s="1"/>
      <c r="CM296" s="1"/>
      <c r="CN296" s="1"/>
      <c r="CO296" s="1"/>
      <c r="CP296" s="1"/>
      <c r="CQ296" s="1"/>
      <c r="CR296" s="1"/>
      <c r="CS296" s="1"/>
      <c r="CT296" s="1"/>
      <c r="CU296" s="1"/>
      <c r="CV296" s="1"/>
      <c r="CW296" s="1"/>
      <c r="CX296" s="1"/>
      <c r="CY296" s="1"/>
      <c r="CZ296" s="1"/>
      <c r="DA296" s="1"/>
      <c r="DB296" s="1"/>
      <c r="DC296" s="1"/>
      <c r="DD296" s="1"/>
      <c r="DE296" s="1"/>
      <c r="DF296" s="1"/>
      <c r="DG296" s="1"/>
      <c r="DH296" s="1"/>
      <c r="DI296" s="1"/>
      <c r="DJ296" s="1"/>
      <c r="DK296" s="1"/>
      <c r="DL296" s="1"/>
      <c r="DM296" s="1"/>
      <c r="DN296" s="1"/>
      <c r="DO296" s="1"/>
      <c r="DP296" s="1"/>
      <c r="DQ296" s="1"/>
      <c r="DR296" s="1"/>
      <c r="DS296" s="1"/>
      <c r="DT296" s="1"/>
      <c r="DU296" s="1"/>
      <c r="DV296" s="1"/>
      <c r="DW296" s="1"/>
      <c r="DX296" s="1"/>
      <c r="DY296" s="1"/>
      <c r="DZ296" s="1"/>
      <c r="EA296" s="1"/>
      <c r="EB296" s="1"/>
      <c r="EC296" s="1"/>
      <c r="ED296" s="1"/>
      <c r="EE296" s="1"/>
      <c r="EF296" s="1"/>
      <c r="EG296" s="1"/>
      <c r="EH296" s="1"/>
      <c r="EI296" s="1"/>
      <c r="EJ296" s="1"/>
      <c r="EK296" s="1"/>
      <c r="EL296" s="1"/>
      <c r="EM296" s="1"/>
      <c r="EN296" s="1"/>
      <c r="EO296" s="1"/>
      <c r="EP296" s="1"/>
      <c r="EQ296" s="1"/>
      <c r="ER296" s="1"/>
      <c r="ES296" s="1"/>
      <c r="ET296" s="1"/>
      <c r="EU296" s="1"/>
      <c r="EV296" s="1"/>
      <c r="EW296" s="1"/>
      <c r="EX296" s="1"/>
      <c r="EY296" s="1"/>
      <c r="EZ296" s="1"/>
      <c r="FA296" s="1"/>
      <c r="FB296" s="1"/>
      <c r="FC296" s="1"/>
      <c r="FD296" s="1"/>
      <c r="FE296" s="1"/>
      <c r="FF296" s="1"/>
      <c r="FG296" s="1"/>
      <c r="FH296" s="1"/>
      <c r="FI296" s="1"/>
      <c r="FJ296" s="1"/>
      <c r="FK296" s="1"/>
      <c r="FL296" s="1"/>
      <c r="FM296" s="1"/>
      <c r="FN296" s="1"/>
      <c r="FO296" s="1"/>
      <c r="FP296" s="1"/>
      <c r="FQ296" s="1"/>
      <c r="FR296" s="1"/>
      <c r="FS296" s="1"/>
      <c r="FT296" s="1"/>
      <c r="FU296" s="1"/>
      <c r="FV296" s="1"/>
      <c r="FW296" s="1"/>
      <c r="FX296" s="1"/>
      <c r="FY296" s="1"/>
      <c r="FZ296" s="1"/>
      <c r="GA296" s="1"/>
      <c r="GB296" s="1"/>
      <c r="GC296" s="1"/>
      <c r="GD296" s="1"/>
      <c r="GE296" s="1"/>
      <c r="GF296" s="1"/>
      <c r="GG296" s="1"/>
      <c r="GH296" s="1"/>
      <c r="GI296" s="1"/>
      <c r="GJ296" s="1"/>
      <c r="GK296" s="1"/>
      <c r="GL296" s="1"/>
      <c r="GM296" s="1"/>
      <c r="GN296" s="1"/>
      <c r="GO296" s="1"/>
      <c r="GP296" s="1"/>
      <c r="GQ296" s="1"/>
      <c r="GR296" s="1"/>
      <c r="GS296" s="1"/>
      <c r="GT296" s="1"/>
      <c r="GU296" s="1"/>
      <c r="GV296" s="1"/>
      <c r="GW296" s="1"/>
      <c r="GX296" s="1"/>
      <c r="GY296" s="1"/>
      <c r="GZ296" s="1"/>
      <c r="HA296" s="1"/>
      <c r="HB296" s="1"/>
      <c r="HC296" s="1"/>
      <c r="HD296" s="1"/>
      <c r="HE296" s="1"/>
      <c r="HF296" s="1"/>
      <c r="HG296" s="1"/>
      <c r="HH296" s="1"/>
      <c r="HI296" s="1"/>
      <c r="HJ296" s="1"/>
      <c r="HK296" s="1"/>
      <c r="HL296" s="1"/>
      <c r="HM296" s="1"/>
      <c r="HN296" s="1"/>
      <c r="HO296" s="1"/>
      <c r="HP296" s="1"/>
      <c r="HQ296" s="1"/>
      <c r="HR296" s="1"/>
      <c r="HS296" s="1"/>
      <c r="HT296" s="1"/>
      <c r="HU296" s="1"/>
      <c r="HV296" s="1"/>
      <c r="HW296" s="1"/>
      <c r="HX296" s="1"/>
      <c r="HY296" s="1"/>
      <c r="HZ296" s="1"/>
      <c r="IA296" s="1"/>
      <c r="IB296" s="1"/>
      <c r="IC296" s="1"/>
      <c r="ID296" s="1"/>
      <c r="IE296" s="1"/>
      <c r="IF296" s="1"/>
      <c r="IG296" s="1"/>
      <c r="IH296" s="1"/>
      <c r="II296" s="1"/>
      <c r="IJ296" s="1"/>
      <c r="IK296" s="1"/>
      <c r="IL296" s="1"/>
      <c r="IM296" s="1"/>
      <c r="IN296" s="1"/>
      <c r="IO296" s="1"/>
      <c r="IP296" s="1"/>
      <c r="IQ296" s="1"/>
      <c r="IR296" s="1"/>
      <c r="IS296" s="1"/>
      <c r="IT296" s="1"/>
      <c r="IU296" s="1"/>
      <c r="IV296" s="1"/>
      <c r="IW296" s="1"/>
      <c r="IX296" s="1"/>
      <c r="IY296" s="1"/>
      <c r="IZ296" s="1"/>
      <c r="JA296" s="1"/>
      <c r="JB296" s="1"/>
      <c r="JC296" s="1"/>
      <c r="JD296" s="1"/>
      <c r="JE296" s="1"/>
      <c r="JF296" s="1"/>
      <c r="JG296" s="1"/>
      <c r="JH296" s="1"/>
      <c r="JI296" s="1"/>
      <c r="JJ296" s="1"/>
      <c r="JK296" s="1"/>
      <c r="JL296" s="1"/>
      <c r="JM296" s="1"/>
      <c r="JN296" s="1"/>
      <c r="JO296" s="1"/>
      <c r="JP296" s="1"/>
      <c r="JQ296" s="1"/>
      <c r="JR296" s="1"/>
      <c r="JS296" s="1"/>
      <c r="JT296" s="1"/>
      <c r="JU296" s="1"/>
      <c r="JV296" s="1"/>
      <c r="JW296" s="1"/>
      <c r="JX296" s="1"/>
      <c r="JY296" s="1"/>
      <c r="JZ296" s="1"/>
      <c r="KA296" s="1"/>
      <c r="KB296" s="1"/>
      <c r="KC296" s="1"/>
      <c r="KD296" s="1"/>
      <c r="KE296" s="1"/>
      <c r="KF296" s="1"/>
      <c r="KG296" s="1"/>
      <c r="KH296" s="1"/>
      <c r="KI296" s="1"/>
      <c r="KJ296" s="1"/>
      <c r="KK296" s="1"/>
      <c r="KL296" s="1"/>
      <c r="KM296" s="1"/>
      <c r="KN296" s="1"/>
      <c r="KO296" s="1"/>
      <c r="KP296" s="1"/>
      <c r="KQ296" s="1"/>
      <c r="KR296" s="1"/>
      <c r="KS296" s="1"/>
      <c r="KT296" s="1"/>
      <c r="KU296" s="1"/>
      <c r="KV296" s="1"/>
      <c r="KW296" s="1"/>
      <c r="KX296" s="1"/>
      <c r="KY296" s="1"/>
      <c r="KZ296" s="1"/>
      <c r="LA296" s="1"/>
      <c r="LB296" s="1"/>
      <c r="LC296" s="1"/>
      <c r="LD296" s="1"/>
      <c r="LE296" s="1"/>
      <c r="LF296" s="1"/>
      <c r="LG296" s="1"/>
      <c r="LH296" s="1"/>
      <c r="LI296" s="1"/>
      <c r="LJ296" s="1"/>
      <c r="LK296" s="1"/>
      <c r="LL296" s="1"/>
      <c r="LM296" s="1"/>
      <c r="LN296" s="1"/>
      <c r="LO296" s="1"/>
      <c r="LP296" s="1"/>
      <c r="LQ296" s="1"/>
      <c r="LR296" s="1"/>
      <c r="LS296" s="1"/>
    </row>
    <row r="297" spans="1:331" s="68" customFormat="1" x14ac:dyDescent="0.25">
      <c r="A297" s="68" t="s">
        <v>1132</v>
      </c>
      <c r="B297" s="68" t="s">
        <v>1133</v>
      </c>
      <c r="C297" s="96" t="s">
        <v>1651</v>
      </c>
      <c r="D297" s="68">
        <v>0</v>
      </c>
      <c r="H297" s="68" t="s">
        <v>1134</v>
      </c>
      <c r="I297" s="68" t="s">
        <v>1135</v>
      </c>
      <c r="J297" s="68" t="s">
        <v>1799</v>
      </c>
      <c r="K297" s="68" t="s">
        <v>1712</v>
      </c>
      <c r="L297" s="68">
        <v>1</v>
      </c>
      <c r="M297" s="68" t="s">
        <v>1136</v>
      </c>
      <c r="O297" s="68">
        <v>1</v>
      </c>
      <c r="P297" s="68" t="s">
        <v>1137</v>
      </c>
      <c r="Q297" s="96"/>
      <c r="R297" s="96" t="s">
        <v>1578</v>
      </c>
      <c r="S297" s="68">
        <v>10</v>
      </c>
      <c r="V297" s="68">
        <v>10</v>
      </c>
      <c r="W297" s="96">
        <v>10</v>
      </c>
      <c r="X297" s="96"/>
      <c r="Y297" s="96"/>
      <c r="Z297" s="68">
        <v>13</v>
      </c>
      <c r="AA297" s="94" t="b">
        <v>1</v>
      </c>
      <c r="AB297" s="1" t="s">
        <v>1890</v>
      </c>
      <c r="AC297" s="57" t="s">
        <v>1800</v>
      </c>
      <c r="AD297" s="1"/>
      <c r="AE297" s="57"/>
      <c r="AF297" s="1"/>
      <c r="AG297" s="1"/>
      <c r="AH297" s="1"/>
      <c r="AI297" s="1"/>
      <c r="AJ297" s="1"/>
      <c r="AK297" s="1"/>
      <c r="AL297" s="1"/>
      <c r="AM297" s="1"/>
      <c r="AN297" s="1"/>
      <c r="AO297" s="1"/>
      <c r="AP297" s="1"/>
      <c r="AQ297" s="1"/>
      <c r="AR297" s="1"/>
      <c r="AS297" s="1"/>
      <c r="AT297" s="1"/>
      <c r="AU297" s="1"/>
      <c r="AV297" s="1"/>
      <c r="AW297" s="1"/>
      <c r="AX297" s="1"/>
      <c r="AY297" s="1"/>
      <c r="AZ297" s="1"/>
      <c r="BA297" s="1"/>
      <c r="BB297" s="1"/>
      <c r="BC297" s="1"/>
      <c r="BD297" s="1"/>
      <c r="BE297" s="1"/>
      <c r="BF297" s="1"/>
      <c r="BG297" s="1"/>
      <c r="BH297" s="1"/>
      <c r="BI297" s="1"/>
      <c r="BJ297" s="1"/>
      <c r="BK297" s="1"/>
      <c r="BL297" s="1"/>
      <c r="BM297" s="1"/>
      <c r="BN297" s="1"/>
      <c r="BO297" s="1"/>
      <c r="BP297" s="1"/>
      <c r="BQ297" s="1"/>
      <c r="BR297" s="1"/>
      <c r="BS297" s="1"/>
      <c r="BT297" s="1"/>
      <c r="BU297" s="1"/>
      <c r="BV297" s="1"/>
    </row>
    <row r="298" spans="1:331" s="45" customFormat="1" x14ac:dyDescent="0.25">
      <c r="A298" s="45" t="s">
        <v>1138</v>
      </c>
      <c r="C298" s="96" t="s">
        <v>1651</v>
      </c>
      <c r="D298" s="45">
        <v>0</v>
      </c>
      <c r="H298" s="45" t="s">
        <v>1140</v>
      </c>
      <c r="I298" s="45" t="s">
        <v>1141</v>
      </c>
      <c r="J298" s="45" t="s">
        <v>1142</v>
      </c>
      <c r="K298" s="45" t="s">
        <v>1713</v>
      </c>
      <c r="L298" s="45">
        <v>0</v>
      </c>
      <c r="O298" s="45">
        <v>1</v>
      </c>
      <c r="Q298" s="96"/>
      <c r="R298" s="96" t="s">
        <v>1143</v>
      </c>
      <c r="S298" s="45">
        <v>32</v>
      </c>
      <c r="W298" s="96"/>
      <c r="X298" s="96"/>
      <c r="Y298" s="96"/>
      <c r="Z298" s="45">
        <v>-1</v>
      </c>
      <c r="AA298" s="94" t="b">
        <v>0</v>
      </c>
      <c r="AB298" s="1" t="s">
        <v>1890</v>
      </c>
      <c r="AC298" s="57" t="s">
        <v>1939</v>
      </c>
      <c r="AD298" s="1"/>
      <c r="AE298" s="57"/>
      <c r="AF298" s="1"/>
      <c r="AG298" s="1"/>
      <c r="AH298" s="1"/>
      <c r="AI298" s="1"/>
      <c r="AJ298" s="1"/>
      <c r="AK298" s="1"/>
      <c r="AL298" s="1"/>
      <c r="AM298" s="1"/>
      <c r="AN298" s="1"/>
      <c r="AO298" s="1"/>
      <c r="AP298" s="1"/>
      <c r="AQ298" s="1"/>
      <c r="AR298" s="1"/>
      <c r="AS298" s="1"/>
      <c r="AT298" s="1"/>
      <c r="AU298" s="1"/>
      <c r="AV298" s="1"/>
      <c r="AW298" s="1"/>
      <c r="AX298" s="1"/>
      <c r="AY298" s="1"/>
      <c r="AZ298" s="1"/>
      <c r="BA298" s="1"/>
      <c r="BB298" s="1"/>
      <c r="BC298" s="1"/>
      <c r="BD298" s="1"/>
      <c r="BE298" s="1"/>
      <c r="BF298" s="1"/>
      <c r="BG298" s="1"/>
      <c r="BH298" s="1"/>
      <c r="BI298" s="1"/>
      <c r="BJ298" s="1"/>
      <c r="BK298" s="1"/>
      <c r="BL298" s="1"/>
      <c r="BM298" s="1"/>
      <c r="BN298" s="1"/>
      <c r="BO298" s="1"/>
      <c r="BP298" s="1"/>
      <c r="BQ298" s="1"/>
      <c r="BR298" s="1"/>
      <c r="BS298" s="1"/>
      <c r="BT298" s="1"/>
      <c r="BU298" s="1"/>
      <c r="BV298" s="1"/>
      <c r="BW298" s="1"/>
      <c r="BX298" s="1"/>
      <c r="BY298" s="1"/>
      <c r="BZ298" s="1"/>
      <c r="CA298" s="1"/>
      <c r="CB298" s="1"/>
      <c r="CC298" s="1"/>
      <c r="CD298" s="1"/>
      <c r="CE298" s="1"/>
      <c r="CF298" s="1"/>
      <c r="CG298" s="1"/>
      <c r="CH298" s="1"/>
      <c r="CI298" s="1"/>
      <c r="CJ298" s="1"/>
      <c r="CK298" s="1"/>
      <c r="CL298" s="1"/>
      <c r="CM298" s="1"/>
      <c r="CN298" s="1"/>
      <c r="CO298" s="1"/>
      <c r="CP298" s="1"/>
      <c r="CQ298" s="1"/>
      <c r="CR298" s="1"/>
      <c r="CS298" s="1"/>
      <c r="CT298" s="1"/>
      <c r="CU298" s="1"/>
      <c r="CV298" s="1"/>
      <c r="CW298" s="1"/>
      <c r="CX298" s="1"/>
      <c r="CY298" s="1"/>
      <c r="CZ298" s="1"/>
      <c r="DA298" s="1"/>
      <c r="DB298" s="1"/>
      <c r="DC298" s="1"/>
      <c r="DD298" s="1"/>
      <c r="DE298" s="1"/>
      <c r="DF298" s="1"/>
      <c r="DG298" s="1"/>
      <c r="DH298" s="1"/>
      <c r="DI298" s="1"/>
      <c r="DJ298" s="1"/>
      <c r="DK298" s="1"/>
      <c r="DL298" s="1"/>
      <c r="DM298" s="1"/>
      <c r="DN298" s="1"/>
      <c r="DO298" s="1"/>
      <c r="DP298" s="1"/>
      <c r="DQ298" s="1"/>
      <c r="DR298" s="1"/>
      <c r="DS298" s="1"/>
      <c r="DT298" s="1"/>
      <c r="DU298" s="1"/>
      <c r="DV298" s="1"/>
      <c r="DW298" s="1"/>
      <c r="DX298" s="1"/>
      <c r="DY298" s="1"/>
      <c r="DZ298" s="1"/>
      <c r="EA298" s="1"/>
      <c r="EB298" s="1"/>
      <c r="EC298" s="1"/>
      <c r="ED298" s="1"/>
      <c r="EE298" s="1"/>
      <c r="EF298" s="1"/>
      <c r="EG298" s="1"/>
      <c r="EH298" s="1"/>
      <c r="EI298" s="1"/>
      <c r="EJ298" s="1"/>
      <c r="EK298" s="1"/>
      <c r="EL298" s="1"/>
      <c r="EM298" s="1"/>
      <c r="EN298" s="1"/>
      <c r="EO298" s="1"/>
      <c r="EP298" s="1"/>
      <c r="EQ298" s="1"/>
      <c r="ER298" s="1"/>
      <c r="ES298" s="1"/>
      <c r="ET298" s="1"/>
      <c r="EU298" s="1"/>
      <c r="EV298" s="1"/>
      <c r="EW298" s="1"/>
      <c r="EX298" s="1"/>
      <c r="EY298" s="1"/>
      <c r="EZ298" s="1"/>
      <c r="FA298" s="1"/>
      <c r="FB298" s="1"/>
      <c r="FC298" s="1"/>
      <c r="FD298" s="1"/>
      <c r="FE298" s="1"/>
      <c r="FF298" s="1"/>
      <c r="FG298" s="1"/>
      <c r="FH298" s="1"/>
      <c r="FI298" s="1"/>
      <c r="FJ298" s="1"/>
      <c r="FK298" s="1"/>
      <c r="FL298" s="1"/>
      <c r="FM298" s="1"/>
      <c r="FN298" s="1"/>
      <c r="FO298" s="1"/>
      <c r="FP298" s="1"/>
      <c r="FQ298" s="1"/>
      <c r="FR298" s="1"/>
      <c r="FS298" s="1"/>
      <c r="FT298" s="1"/>
      <c r="FU298" s="1"/>
      <c r="FV298" s="1"/>
      <c r="FW298" s="1"/>
      <c r="FX298" s="1"/>
      <c r="FY298" s="1"/>
      <c r="FZ298" s="1"/>
      <c r="GA298" s="1"/>
      <c r="GB298" s="1"/>
      <c r="GC298" s="1"/>
      <c r="GD298" s="1"/>
      <c r="GE298" s="1"/>
      <c r="GF298" s="1"/>
      <c r="GG298" s="1"/>
      <c r="GH298" s="1"/>
      <c r="GI298" s="1"/>
      <c r="GJ298" s="1"/>
      <c r="GK298" s="1"/>
      <c r="GL298" s="1"/>
      <c r="GM298" s="1"/>
      <c r="GN298" s="1"/>
      <c r="GO298" s="1"/>
      <c r="GP298" s="1"/>
      <c r="GQ298" s="1"/>
      <c r="GR298" s="1"/>
      <c r="GS298" s="1"/>
      <c r="GT298" s="1"/>
      <c r="GU298" s="1"/>
      <c r="GV298" s="1"/>
      <c r="GW298" s="1"/>
      <c r="GX298" s="1"/>
      <c r="GY298" s="1"/>
      <c r="GZ298" s="1"/>
      <c r="HA298" s="1"/>
      <c r="HB298" s="1"/>
      <c r="HC298" s="1"/>
      <c r="HD298" s="1"/>
      <c r="HE298" s="1"/>
      <c r="HF298" s="1"/>
      <c r="HG298" s="1"/>
      <c r="HH298" s="1"/>
      <c r="HI298" s="1"/>
      <c r="HJ298" s="1"/>
      <c r="HK298" s="1"/>
      <c r="HL298" s="1"/>
      <c r="HM298" s="1"/>
      <c r="HN298" s="1"/>
      <c r="HO298" s="1"/>
      <c r="HP298" s="1"/>
      <c r="HQ298" s="1"/>
      <c r="HR298" s="1"/>
      <c r="HS298" s="1"/>
      <c r="HT298" s="1"/>
      <c r="HU298" s="1"/>
      <c r="HV298" s="1"/>
      <c r="HW298" s="1"/>
      <c r="HX298" s="1"/>
      <c r="HY298" s="1"/>
      <c r="HZ298" s="1"/>
      <c r="IA298" s="1"/>
      <c r="IB298" s="1"/>
      <c r="IC298" s="1"/>
      <c r="ID298" s="1"/>
      <c r="IE298" s="1"/>
      <c r="IF298" s="1"/>
      <c r="IG298" s="1"/>
      <c r="IH298" s="1"/>
      <c r="II298" s="1"/>
      <c r="IJ298" s="1"/>
      <c r="IK298" s="1"/>
      <c r="IL298" s="1"/>
      <c r="IM298" s="1"/>
      <c r="IN298" s="1"/>
      <c r="IO298" s="1"/>
      <c r="IP298" s="1"/>
      <c r="IQ298" s="1"/>
      <c r="IR298" s="1"/>
      <c r="IS298" s="1"/>
      <c r="IT298" s="1"/>
      <c r="IU298" s="1"/>
      <c r="IV298" s="1"/>
      <c r="IW298" s="1"/>
      <c r="IX298" s="1"/>
      <c r="IY298" s="1"/>
      <c r="IZ298" s="1"/>
      <c r="JA298" s="1"/>
      <c r="JB298" s="1"/>
      <c r="JC298" s="1"/>
      <c r="JD298" s="1"/>
      <c r="JE298" s="1"/>
      <c r="JF298" s="1"/>
      <c r="JG298" s="1"/>
      <c r="JH298" s="1"/>
      <c r="JI298" s="1"/>
      <c r="JJ298" s="1"/>
      <c r="JK298" s="1"/>
      <c r="JL298" s="1"/>
      <c r="JM298" s="1"/>
      <c r="JN298" s="1"/>
      <c r="JO298" s="1"/>
      <c r="JP298" s="1"/>
      <c r="JQ298" s="1"/>
      <c r="JR298" s="1"/>
      <c r="JS298" s="1"/>
      <c r="JT298" s="1"/>
      <c r="JU298" s="1"/>
      <c r="JV298" s="1"/>
      <c r="JW298" s="1"/>
      <c r="JX298" s="1"/>
      <c r="JY298" s="1"/>
      <c r="JZ298" s="1"/>
      <c r="KA298" s="1"/>
      <c r="KB298" s="1"/>
      <c r="KC298" s="1"/>
      <c r="KD298" s="1"/>
      <c r="KE298" s="1"/>
      <c r="KF298" s="1"/>
      <c r="KG298" s="1"/>
      <c r="KH298" s="1"/>
      <c r="KI298" s="1"/>
      <c r="KJ298" s="1"/>
      <c r="KK298" s="1"/>
      <c r="KL298" s="1"/>
      <c r="KM298" s="1"/>
      <c r="KN298" s="1"/>
      <c r="KO298" s="1"/>
      <c r="KP298" s="1"/>
      <c r="KQ298" s="1"/>
      <c r="KR298" s="1"/>
      <c r="KS298" s="1"/>
      <c r="KT298" s="1"/>
      <c r="KU298" s="1"/>
      <c r="KV298" s="1"/>
      <c r="KW298" s="1"/>
      <c r="KX298" s="1"/>
      <c r="KY298" s="1"/>
      <c r="KZ298" s="1"/>
      <c r="LA298" s="1"/>
      <c r="LB298" s="1"/>
      <c r="LC298" s="1"/>
      <c r="LD298" s="1"/>
      <c r="LE298" s="1"/>
      <c r="LF298" s="1"/>
      <c r="LG298" s="1"/>
      <c r="LH298" s="1"/>
      <c r="LI298" s="1"/>
      <c r="LJ298" s="1"/>
      <c r="LK298" s="1"/>
      <c r="LL298" s="1"/>
      <c r="LM298" s="1"/>
      <c r="LN298" s="1"/>
      <c r="LO298" s="1"/>
      <c r="LP298" s="1"/>
      <c r="LQ298" s="1"/>
      <c r="LR298" s="1"/>
      <c r="LS298" s="1"/>
    </row>
    <row r="299" spans="1:331" s="25" customFormat="1" x14ac:dyDescent="0.25">
      <c r="A299" s="25" t="s">
        <v>1144</v>
      </c>
      <c r="B299" s="29" t="s">
        <v>1145</v>
      </c>
      <c r="C299" s="94" t="s">
        <v>1651</v>
      </c>
      <c r="D299" s="25">
        <v>0</v>
      </c>
      <c r="H299" s="25" t="s">
        <v>1146</v>
      </c>
      <c r="I299" s="25" t="s">
        <v>1146</v>
      </c>
      <c r="J299" s="48">
        <v>43780</v>
      </c>
      <c r="K299" s="48" t="s">
        <v>1146</v>
      </c>
      <c r="L299" s="25">
        <v>0</v>
      </c>
      <c r="O299" s="25">
        <v>0</v>
      </c>
      <c r="Q299" s="96" t="s">
        <v>1614</v>
      </c>
      <c r="R299" s="96"/>
      <c r="T299" s="25">
        <v>15</v>
      </c>
      <c r="V299" s="25">
        <v>13</v>
      </c>
      <c r="W299" s="96">
        <v>15</v>
      </c>
      <c r="X299" s="96"/>
      <c r="Y299" s="96"/>
      <c r="Z299" s="25">
        <v>5</v>
      </c>
      <c r="AA299" s="94" t="b">
        <v>1</v>
      </c>
      <c r="AB299" s="1" t="s">
        <v>1893</v>
      </c>
      <c r="AC299" s="57" t="s">
        <v>1383</v>
      </c>
      <c r="AD299" s="1"/>
      <c r="AE299" s="57"/>
      <c r="AF299" s="1"/>
      <c r="AG299" s="1"/>
      <c r="AH299" s="1"/>
      <c r="AI299" s="1"/>
      <c r="AJ299" s="1"/>
      <c r="AK299" s="1"/>
      <c r="AL299" s="1"/>
      <c r="AM299" s="1"/>
      <c r="AN299" s="1"/>
      <c r="AO299" s="1"/>
      <c r="AP299" s="1"/>
      <c r="AQ299" s="1"/>
      <c r="AR299" s="1"/>
      <c r="AS299" s="1"/>
      <c r="AT299" s="1"/>
      <c r="AU299" s="1"/>
      <c r="AV299" s="1"/>
      <c r="AW299" s="1"/>
      <c r="AX299" s="1"/>
      <c r="AY299" s="1"/>
      <c r="AZ299" s="1"/>
      <c r="BA299" s="1"/>
      <c r="BB299" s="1"/>
      <c r="BC299" s="1"/>
      <c r="BD299" s="1"/>
      <c r="BE299" s="1"/>
      <c r="BF299" s="1"/>
      <c r="BG299" s="1"/>
      <c r="BH299" s="1"/>
      <c r="BI299" s="1"/>
      <c r="BJ299" s="1"/>
      <c r="BK299" s="1"/>
      <c r="BL299" s="1"/>
      <c r="BM299" s="1"/>
      <c r="BN299" s="1"/>
      <c r="BO299" s="1"/>
      <c r="BP299" s="1"/>
      <c r="BQ299" s="1"/>
      <c r="BR299" s="1"/>
      <c r="BS299" s="1"/>
      <c r="BT299" s="1"/>
      <c r="BU299" s="1"/>
      <c r="BV299" s="1"/>
      <c r="BW299" s="1"/>
      <c r="BX299" s="1"/>
      <c r="BY299" s="1"/>
      <c r="BZ299" s="1"/>
      <c r="CA299" s="1"/>
      <c r="CB299" s="1"/>
      <c r="CC299" s="1"/>
      <c r="CD299" s="1"/>
      <c r="CE299" s="1"/>
      <c r="CF299" s="1"/>
      <c r="CG299" s="1"/>
      <c r="CH299" s="1"/>
      <c r="CI299" s="1"/>
      <c r="CJ299" s="1"/>
      <c r="CK299" s="1"/>
      <c r="CL299" s="1"/>
      <c r="CM299" s="1"/>
      <c r="CN299" s="1"/>
      <c r="CO299" s="1"/>
      <c r="CP299" s="1"/>
      <c r="CQ299" s="1"/>
      <c r="CR299" s="1"/>
      <c r="CS299" s="1"/>
      <c r="CT299" s="1"/>
      <c r="CU299" s="1"/>
      <c r="CV299" s="1"/>
      <c r="CW299" s="1"/>
      <c r="CX299" s="1"/>
      <c r="CY299" s="1"/>
      <c r="CZ299" s="1"/>
      <c r="DA299" s="1"/>
      <c r="DB299" s="1"/>
      <c r="DC299" s="1"/>
      <c r="DD299" s="1"/>
      <c r="DE299" s="1"/>
      <c r="DF299" s="1"/>
      <c r="DG299" s="1"/>
      <c r="DH299" s="1"/>
      <c r="DI299" s="1"/>
      <c r="DJ299" s="1"/>
      <c r="DK299" s="1"/>
      <c r="DL299" s="1"/>
      <c r="DM299" s="1"/>
      <c r="DN299" s="1"/>
      <c r="DO299" s="1"/>
      <c r="DP299" s="1"/>
      <c r="DQ299" s="1"/>
      <c r="DR299" s="1"/>
      <c r="DS299" s="1"/>
      <c r="DT299" s="1"/>
      <c r="DU299" s="1"/>
      <c r="DV299" s="1"/>
      <c r="DW299" s="1"/>
      <c r="DX299" s="1"/>
      <c r="DY299" s="1"/>
      <c r="DZ299" s="1"/>
      <c r="EA299" s="1"/>
      <c r="EB299" s="1"/>
      <c r="EC299" s="1"/>
      <c r="ED299" s="1"/>
      <c r="EE299" s="1"/>
      <c r="EF299" s="1"/>
      <c r="EG299" s="1"/>
      <c r="EH299" s="1"/>
      <c r="EI299" s="1"/>
      <c r="EJ299" s="1"/>
      <c r="EK299" s="1"/>
      <c r="EL299" s="1"/>
      <c r="EM299" s="1"/>
      <c r="EN299" s="1"/>
      <c r="EO299" s="1"/>
      <c r="EP299" s="1"/>
      <c r="EQ299" s="1"/>
      <c r="ER299" s="1"/>
      <c r="ES299" s="1"/>
      <c r="ET299" s="1"/>
      <c r="EU299" s="1"/>
      <c r="EV299" s="1"/>
      <c r="EW299" s="1"/>
      <c r="EX299" s="1"/>
      <c r="EY299" s="1"/>
      <c r="EZ299" s="1"/>
      <c r="FA299" s="1"/>
      <c r="FB299" s="1"/>
      <c r="FC299" s="1"/>
      <c r="FD299" s="1"/>
      <c r="FE299" s="1"/>
      <c r="FF299" s="1"/>
      <c r="FG299" s="1"/>
      <c r="FH299" s="1"/>
      <c r="FI299" s="1"/>
      <c r="FJ299" s="1"/>
      <c r="FK299" s="1"/>
      <c r="FL299" s="1"/>
      <c r="FM299" s="1"/>
      <c r="FN299" s="1"/>
      <c r="FO299" s="1"/>
      <c r="FP299" s="1"/>
      <c r="FQ299" s="1"/>
      <c r="FR299" s="1"/>
      <c r="FS299" s="1"/>
      <c r="FT299" s="1"/>
      <c r="FU299" s="1"/>
      <c r="FV299" s="1"/>
      <c r="FW299" s="1"/>
      <c r="FX299" s="1"/>
      <c r="FY299" s="1"/>
      <c r="FZ299" s="1"/>
      <c r="GA299" s="1"/>
      <c r="GB299" s="1"/>
      <c r="GC299" s="1"/>
      <c r="GD299" s="1"/>
      <c r="GE299" s="1"/>
      <c r="GF299" s="1"/>
      <c r="GG299" s="1"/>
      <c r="GH299" s="1"/>
      <c r="GI299" s="1"/>
      <c r="GJ299" s="1"/>
      <c r="GK299" s="1"/>
      <c r="GL299" s="1"/>
      <c r="GM299" s="1"/>
      <c r="GN299" s="1"/>
      <c r="GO299" s="1"/>
      <c r="GP299" s="1"/>
      <c r="GQ299" s="1"/>
      <c r="GR299" s="1"/>
      <c r="GS299" s="1"/>
      <c r="GT299" s="1"/>
      <c r="GU299" s="1"/>
      <c r="GV299" s="1"/>
      <c r="GW299" s="1"/>
      <c r="GX299" s="1"/>
      <c r="GY299" s="1"/>
      <c r="GZ299" s="1"/>
      <c r="HA299" s="1"/>
      <c r="HB299" s="1"/>
      <c r="HC299" s="1"/>
      <c r="HD299" s="1"/>
      <c r="HE299" s="1"/>
      <c r="HF299" s="1"/>
      <c r="HG299" s="1"/>
      <c r="HH299" s="1"/>
      <c r="HI299" s="1"/>
      <c r="HJ299" s="1"/>
      <c r="HK299" s="1"/>
      <c r="HL299" s="1"/>
      <c r="HM299" s="1"/>
      <c r="HN299" s="1"/>
      <c r="HO299" s="1"/>
      <c r="HP299" s="1"/>
      <c r="HQ299" s="1"/>
      <c r="HR299" s="1"/>
      <c r="HS299" s="1"/>
      <c r="HT299" s="1"/>
      <c r="HU299" s="1"/>
      <c r="HV299" s="1"/>
      <c r="HW299" s="1"/>
      <c r="HX299" s="1"/>
      <c r="HY299" s="1"/>
      <c r="HZ299" s="1"/>
      <c r="IA299" s="1"/>
      <c r="IB299" s="1"/>
      <c r="IC299" s="1"/>
      <c r="ID299" s="1"/>
      <c r="IE299" s="1"/>
      <c r="IF299" s="1"/>
      <c r="IG299" s="1"/>
      <c r="IH299" s="1"/>
      <c r="II299" s="1"/>
      <c r="IJ299" s="1"/>
      <c r="IK299" s="1"/>
      <c r="IL299" s="1"/>
      <c r="IM299" s="1"/>
      <c r="IN299" s="1"/>
      <c r="IO299" s="1"/>
      <c r="IP299" s="1"/>
      <c r="IQ299" s="1"/>
      <c r="IR299" s="1"/>
      <c r="IS299" s="1"/>
      <c r="IT299" s="1"/>
      <c r="IU299" s="1"/>
      <c r="IV299" s="1"/>
      <c r="IW299" s="1"/>
      <c r="IX299" s="1"/>
      <c r="IY299" s="1"/>
      <c r="IZ299" s="1"/>
      <c r="JA299" s="1"/>
      <c r="JB299" s="1"/>
      <c r="JC299" s="1"/>
      <c r="JD299" s="1"/>
      <c r="JE299" s="1"/>
      <c r="JF299" s="1"/>
      <c r="JG299" s="1"/>
      <c r="JH299" s="1"/>
      <c r="JI299" s="1"/>
      <c r="JJ299" s="1"/>
      <c r="JK299" s="1"/>
      <c r="JL299" s="1"/>
      <c r="JM299" s="1"/>
      <c r="JN299" s="1"/>
      <c r="JO299" s="1"/>
      <c r="JP299" s="1"/>
      <c r="JQ299" s="1"/>
      <c r="JR299" s="1"/>
      <c r="JS299" s="1"/>
      <c r="JT299" s="1"/>
      <c r="JU299" s="1"/>
      <c r="JV299" s="1"/>
      <c r="JW299" s="1"/>
      <c r="JX299" s="1"/>
      <c r="JY299" s="1"/>
      <c r="JZ299" s="1"/>
      <c r="KA299" s="1"/>
      <c r="KB299" s="1"/>
      <c r="KC299" s="1"/>
      <c r="KD299" s="1"/>
      <c r="KE299" s="1"/>
      <c r="KF299" s="1"/>
      <c r="KG299" s="1"/>
      <c r="KH299" s="1"/>
      <c r="KI299" s="1"/>
      <c r="KJ299" s="1"/>
      <c r="KK299" s="1"/>
      <c r="KL299" s="1"/>
      <c r="KM299" s="1"/>
      <c r="KN299" s="1"/>
      <c r="KO299" s="1"/>
      <c r="KP299" s="1"/>
      <c r="KQ299" s="1"/>
      <c r="KR299" s="1"/>
      <c r="KS299" s="1"/>
      <c r="KT299" s="1"/>
      <c r="KU299" s="1"/>
      <c r="KV299" s="1"/>
      <c r="KW299" s="1"/>
      <c r="KX299" s="1"/>
      <c r="KY299" s="1"/>
      <c r="KZ299" s="1"/>
      <c r="LA299" s="1"/>
      <c r="LB299" s="1"/>
      <c r="LC299" s="1"/>
      <c r="LD299" s="1"/>
      <c r="LE299" s="1"/>
      <c r="LF299" s="1"/>
      <c r="LG299" s="1"/>
      <c r="LH299" s="1"/>
      <c r="LI299" s="1"/>
      <c r="LJ299" s="1"/>
      <c r="LK299" s="1"/>
      <c r="LL299" s="1"/>
      <c r="LM299" s="1"/>
      <c r="LN299" s="1"/>
      <c r="LO299" s="1"/>
      <c r="LP299" s="1"/>
      <c r="LQ299" s="1"/>
      <c r="LR299" s="1"/>
      <c r="LS299" s="1"/>
    </row>
    <row r="300" spans="1:331" s="40" customFormat="1" x14ac:dyDescent="0.25">
      <c r="A300" s="40" t="s">
        <v>1147</v>
      </c>
      <c r="B300" s="44" t="s">
        <v>1148</v>
      </c>
      <c r="C300" s="94" t="s">
        <v>1651</v>
      </c>
      <c r="D300" s="40">
        <v>0</v>
      </c>
      <c r="H300" s="40" t="s">
        <v>1149</v>
      </c>
      <c r="I300" s="40" t="s">
        <v>1150</v>
      </c>
      <c r="J300" s="40" t="s">
        <v>1149</v>
      </c>
      <c r="K300" s="40" t="s">
        <v>1714</v>
      </c>
      <c r="L300" s="40">
        <v>0</v>
      </c>
      <c r="O300" s="40">
        <v>1</v>
      </c>
      <c r="P300" s="40" t="s">
        <v>816</v>
      </c>
      <c r="Q300" s="96" t="s">
        <v>1615</v>
      </c>
      <c r="R300" s="96"/>
      <c r="S300" s="40">
        <v>10</v>
      </c>
      <c r="T300" s="40">
        <v>10</v>
      </c>
      <c r="W300" s="96">
        <v>10</v>
      </c>
      <c r="X300" s="96"/>
      <c r="Y300" s="96"/>
      <c r="Z300" s="40">
        <v>8</v>
      </c>
      <c r="AA300" s="94" t="b">
        <v>1</v>
      </c>
      <c r="AB300" s="17" t="s">
        <v>1890</v>
      </c>
      <c r="AC300" s="57" t="s">
        <v>1415</v>
      </c>
      <c r="AD300" s="1"/>
      <c r="AE300" s="57"/>
      <c r="AF300" s="1"/>
      <c r="AG300" s="1"/>
      <c r="AH300" s="1"/>
      <c r="AI300" s="1"/>
      <c r="AJ300" s="1"/>
      <c r="AK300" s="1"/>
      <c r="AL300" s="1"/>
      <c r="AM300" s="1"/>
      <c r="AN300" s="1"/>
      <c r="AO300" s="1"/>
      <c r="AP300" s="1"/>
      <c r="AQ300" s="1"/>
      <c r="AR300" s="1"/>
      <c r="AS300" s="1"/>
      <c r="AT300" s="1"/>
      <c r="AU300" s="1"/>
      <c r="AV300" s="1"/>
      <c r="AW300" s="1"/>
      <c r="AX300" s="1"/>
      <c r="AY300" s="1"/>
      <c r="AZ300" s="1"/>
      <c r="BA300" s="1"/>
      <c r="BB300" s="1"/>
      <c r="BC300" s="1"/>
      <c r="BD300" s="1"/>
      <c r="BE300" s="1"/>
      <c r="BF300" s="1"/>
      <c r="BG300" s="1"/>
      <c r="BH300" s="1"/>
      <c r="BI300" s="1"/>
      <c r="BJ300" s="1"/>
      <c r="BK300" s="1"/>
      <c r="BL300" s="1"/>
      <c r="BM300" s="1"/>
      <c r="BN300" s="1"/>
      <c r="BO300" s="1"/>
      <c r="BP300" s="1"/>
      <c r="BQ300" s="1"/>
      <c r="BR300" s="1"/>
      <c r="BS300" s="1"/>
      <c r="BT300" s="1"/>
      <c r="BU300" s="1"/>
      <c r="BV300" s="1"/>
      <c r="BW300" s="1"/>
      <c r="BX300" s="1"/>
      <c r="BY300" s="1"/>
      <c r="BZ300" s="1"/>
      <c r="CA300" s="1"/>
      <c r="CB300" s="1"/>
      <c r="CC300" s="1"/>
      <c r="CD300" s="1"/>
      <c r="CE300" s="1"/>
      <c r="CF300" s="1"/>
      <c r="CG300" s="1"/>
      <c r="CH300" s="1"/>
      <c r="CI300" s="1"/>
      <c r="CJ300" s="1"/>
      <c r="CK300" s="1"/>
      <c r="CL300" s="1"/>
      <c r="CM300" s="1"/>
      <c r="CN300" s="1"/>
      <c r="CO300" s="1"/>
      <c r="CP300" s="1"/>
      <c r="CQ300" s="1"/>
      <c r="CR300" s="1"/>
      <c r="CS300" s="1"/>
      <c r="CT300" s="1"/>
      <c r="CU300" s="1"/>
      <c r="CV300" s="1"/>
      <c r="CW300" s="1"/>
      <c r="CX300" s="1"/>
      <c r="CY300" s="1"/>
      <c r="CZ300" s="1"/>
      <c r="DA300" s="1"/>
      <c r="DB300" s="1"/>
      <c r="DC300" s="1"/>
      <c r="DD300" s="1"/>
      <c r="DE300" s="1"/>
      <c r="DF300" s="1"/>
      <c r="DG300" s="1"/>
      <c r="DH300" s="1"/>
      <c r="DI300" s="1"/>
      <c r="DJ300" s="1"/>
      <c r="DK300" s="1"/>
      <c r="DL300" s="1"/>
      <c r="DM300" s="1"/>
      <c r="DN300" s="1"/>
      <c r="DO300" s="1"/>
      <c r="DP300" s="1"/>
      <c r="DQ300" s="1"/>
      <c r="DR300" s="1"/>
      <c r="DS300" s="1"/>
      <c r="DT300" s="1"/>
      <c r="DU300" s="1"/>
      <c r="DV300" s="1"/>
      <c r="DW300" s="1"/>
      <c r="DX300" s="1"/>
      <c r="DY300" s="1"/>
      <c r="DZ300" s="1"/>
      <c r="EA300" s="1"/>
      <c r="EB300" s="1"/>
      <c r="EC300" s="1"/>
      <c r="ED300" s="1"/>
      <c r="EE300" s="1"/>
      <c r="EF300" s="1"/>
      <c r="EG300" s="1"/>
      <c r="EH300" s="1"/>
      <c r="EI300" s="1"/>
      <c r="EJ300" s="1"/>
      <c r="EK300" s="1"/>
      <c r="EL300" s="1"/>
      <c r="EM300" s="1"/>
      <c r="EN300" s="1"/>
      <c r="EO300" s="1"/>
      <c r="EP300" s="1"/>
      <c r="EQ300" s="1"/>
      <c r="ER300" s="1"/>
      <c r="ES300" s="1"/>
      <c r="ET300" s="1"/>
      <c r="EU300" s="1"/>
      <c r="EV300" s="1"/>
      <c r="EW300" s="1"/>
      <c r="EX300" s="1"/>
      <c r="EY300" s="1"/>
      <c r="EZ300" s="1"/>
      <c r="FA300" s="1"/>
      <c r="FB300" s="1"/>
      <c r="FC300" s="1"/>
      <c r="FD300" s="1"/>
      <c r="FE300" s="1"/>
      <c r="FF300" s="1"/>
      <c r="FG300" s="1"/>
      <c r="FH300" s="1"/>
      <c r="FI300" s="1"/>
      <c r="FJ300" s="1"/>
      <c r="FK300" s="1"/>
      <c r="FL300" s="1"/>
      <c r="FM300" s="1"/>
      <c r="FN300" s="1"/>
      <c r="FO300" s="1"/>
      <c r="FP300" s="1"/>
      <c r="FQ300" s="1"/>
      <c r="FR300" s="1"/>
      <c r="FS300" s="1"/>
      <c r="FT300" s="1"/>
      <c r="FU300" s="1"/>
      <c r="FV300" s="1"/>
      <c r="FW300" s="1"/>
      <c r="FX300" s="1"/>
      <c r="FY300" s="1"/>
      <c r="FZ300" s="1"/>
      <c r="GA300" s="1"/>
      <c r="GB300" s="1"/>
      <c r="GC300" s="1"/>
      <c r="GD300" s="1"/>
      <c r="GE300" s="1"/>
      <c r="GF300" s="1"/>
      <c r="GG300" s="1"/>
      <c r="GH300" s="1"/>
      <c r="GI300" s="1"/>
      <c r="GJ300" s="1"/>
      <c r="GK300" s="1"/>
      <c r="GL300" s="1"/>
      <c r="GM300" s="1"/>
      <c r="GN300" s="1"/>
      <c r="GO300" s="1"/>
      <c r="GP300" s="1"/>
      <c r="GQ300" s="1"/>
      <c r="GR300" s="1"/>
      <c r="GS300" s="1"/>
      <c r="GT300" s="1"/>
      <c r="GU300" s="1"/>
      <c r="GV300" s="1"/>
      <c r="GW300" s="1"/>
      <c r="GX300" s="1"/>
      <c r="GY300" s="1"/>
      <c r="GZ300" s="1"/>
      <c r="HA300" s="1"/>
      <c r="HB300" s="1"/>
      <c r="HC300" s="1"/>
      <c r="HD300" s="1"/>
      <c r="HE300" s="1"/>
      <c r="HF300" s="1"/>
      <c r="HG300" s="1"/>
      <c r="HH300" s="1"/>
      <c r="HI300" s="1"/>
      <c r="HJ300" s="1"/>
      <c r="HK300" s="1"/>
      <c r="HL300" s="1"/>
      <c r="HM300" s="1"/>
      <c r="HN300" s="1"/>
      <c r="HO300" s="1"/>
      <c r="HP300" s="1"/>
      <c r="HQ300" s="1"/>
      <c r="HR300" s="1"/>
      <c r="HS300" s="1"/>
      <c r="HT300" s="1"/>
      <c r="HU300" s="1"/>
      <c r="HV300" s="1"/>
      <c r="HW300" s="1"/>
      <c r="HX300" s="1"/>
      <c r="HY300" s="1"/>
      <c r="HZ300" s="1"/>
      <c r="IA300" s="1"/>
      <c r="IB300" s="1"/>
      <c r="IC300" s="1"/>
      <c r="ID300" s="1"/>
      <c r="IE300" s="1"/>
      <c r="IF300" s="1"/>
      <c r="IG300" s="1"/>
      <c r="IH300" s="1"/>
      <c r="II300" s="1"/>
      <c r="IJ300" s="1"/>
      <c r="IK300" s="1"/>
      <c r="IL300" s="1"/>
      <c r="IM300" s="1"/>
      <c r="IN300" s="1"/>
      <c r="IO300" s="1"/>
      <c r="IP300" s="1"/>
      <c r="IQ300" s="1"/>
      <c r="IR300" s="1"/>
      <c r="IS300" s="1"/>
      <c r="IT300" s="1"/>
      <c r="IU300" s="1"/>
      <c r="IV300" s="1"/>
      <c r="IW300" s="1"/>
      <c r="IX300" s="1"/>
      <c r="IY300" s="1"/>
      <c r="IZ300" s="1"/>
      <c r="JA300" s="1"/>
      <c r="JB300" s="1"/>
      <c r="JC300" s="1"/>
      <c r="JD300" s="1"/>
      <c r="JE300" s="1"/>
      <c r="JF300" s="1"/>
      <c r="JG300" s="1"/>
      <c r="JH300" s="1"/>
      <c r="JI300" s="1"/>
      <c r="JJ300" s="1"/>
      <c r="JK300" s="1"/>
      <c r="JL300" s="1"/>
      <c r="JM300" s="1"/>
      <c r="JN300" s="1"/>
      <c r="JO300" s="1"/>
      <c r="JP300" s="1"/>
      <c r="JQ300" s="1"/>
      <c r="JR300" s="1"/>
      <c r="JS300" s="1"/>
      <c r="JT300" s="1"/>
      <c r="JU300" s="1"/>
      <c r="JV300" s="1"/>
      <c r="JW300" s="1"/>
      <c r="JX300" s="1"/>
      <c r="JY300" s="1"/>
      <c r="JZ300" s="1"/>
      <c r="KA300" s="1"/>
      <c r="KB300" s="1"/>
      <c r="KC300" s="1"/>
      <c r="KD300" s="1"/>
      <c r="KE300" s="1"/>
      <c r="KF300" s="1"/>
      <c r="KG300" s="1"/>
      <c r="KH300" s="1"/>
      <c r="KI300" s="1"/>
      <c r="KJ300" s="1"/>
      <c r="KK300" s="1"/>
      <c r="KL300" s="1"/>
      <c r="KM300" s="1"/>
      <c r="KN300" s="1"/>
      <c r="KO300" s="1"/>
      <c r="KP300" s="1"/>
      <c r="KQ300" s="1"/>
      <c r="KR300" s="1"/>
      <c r="KS300" s="1"/>
      <c r="KT300" s="1"/>
      <c r="KU300" s="1"/>
      <c r="KV300" s="1"/>
      <c r="KW300" s="1"/>
      <c r="KX300" s="1"/>
      <c r="KY300" s="1"/>
      <c r="KZ300" s="1"/>
      <c r="LA300" s="1"/>
      <c r="LB300" s="1"/>
      <c r="LC300" s="1"/>
      <c r="LD300" s="1"/>
      <c r="LE300" s="1"/>
      <c r="LF300" s="1"/>
      <c r="LG300" s="1"/>
      <c r="LH300" s="1"/>
      <c r="LI300" s="1"/>
      <c r="LJ300" s="1"/>
      <c r="LK300" s="1"/>
      <c r="LL300" s="1"/>
      <c r="LM300" s="1"/>
      <c r="LN300" s="1"/>
      <c r="LO300" s="1"/>
      <c r="LP300" s="1"/>
      <c r="LQ300" s="1"/>
      <c r="LR300" s="1"/>
      <c r="LS300" s="1"/>
    </row>
    <row r="301" spans="1:331" s="72" customFormat="1" x14ac:dyDescent="0.25">
      <c r="A301" s="72" t="s">
        <v>1151</v>
      </c>
      <c r="B301" s="75" t="s">
        <v>1152</v>
      </c>
      <c r="C301" s="94" t="s">
        <v>1651</v>
      </c>
      <c r="D301" s="72">
        <v>0</v>
      </c>
      <c r="H301" s="72" t="s">
        <v>1153</v>
      </c>
      <c r="I301" s="72" t="s">
        <v>1154</v>
      </c>
      <c r="J301" s="72" t="s">
        <v>1155</v>
      </c>
      <c r="K301" s="72" t="s">
        <v>1153</v>
      </c>
      <c r="L301" s="72">
        <v>0</v>
      </c>
      <c r="O301" s="72">
        <v>1</v>
      </c>
      <c r="P301" s="72" t="s">
        <v>1156</v>
      </c>
      <c r="Q301" s="96"/>
      <c r="R301" s="96" t="s">
        <v>1157</v>
      </c>
      <c r="T301" s="72">
        <v>10</v>
      </c>
      <c r="V301" s="72">
        <v>9</v>
      </c>
      <c r="W301" s="96">
        <v>10</v>
      </c>
      <c r="X301" s="96"/>
      <c r="Y301" s="96"/>
      <c r="Z301" s="72">
        <v>14</v>
      </c>
      <c r="AA301" s="94" t="b">
        <v>1</v>
      </c>
      <c r="AB301" s="1"/>
      <c r="AC301" s="57" t="s">
        <v>1297</v>
      </c>
      <c r="AD301" s="1"/>
      <c r="AE301" s="57"/>
      <c r="AF301" s="1"/>
      <c r="AG301" s="1"/>
      <c r="AH301" s="1"/>
      <c r="AI301" s="1"/>
      <c r="AJ301" s="1"/>
      <c r="AK301" s="1"/>
      <c r="AL301" s="1"/>
      <c r="AM301" s="1"/>
      <c r="AN301" s="1"/>
      <c r="AO301" s="1"/>
      <c r="AP301" s="1"/>
      <c r="AQ301" s="1"/>
      <c r="AR301" s="1"/>
      <c r="AS301" s="1"/>
      <c r="AT301" s="1"/>
      <c r="AU301" s="1"/>
      <c r="AV301" s="1"/>
      <c r="AW301" s="1"/>
      <c r="AX301" s="1"/>
      <c r="AY301" s="1"/>
      <c r="AZ301" s="1"/>
      <c r="BA301" s="1"/>
      <c r="BB301" s="1"/>
      <c r="BC301" s="1"/>
      <c r="BD301" s="1"/>
      <c r="BE301" s="1"/>
      <c r="BF301" s="1"/>
      <c r="BG301" s="1"/>
      <c r="BH301" s="1"/>
      <c r="BI301" s="1"/>
      <c r="BJ301" s="1"/>
      <c r="BK301" s="1"/>
      <c r="BL301" s="1"/>
      <c r="BM301" s="1"/>
      <c r="BN301" s="1"/>
      <c r="BO301" s="1"/>
      <c r="BP301" s="1"/>
      <c r="BQ301" s="1"/>
      <c r="BR301" s="1"/>
      <c r="BS301" s="1"/>
      <c r="BT301" s="1"/>
      <c r="BU301" s="1"/>
      <c r="BV301" s="1"/>
    </row>
    <row r="302" spans="1:331" s="40" customFormat="1" x14ac:dyDescent="0.25">
      <c r="A302" s="40" t="s">
        <v>1158</v>
      </c>
      <c r="B302" s="44" t="s">
        <v>1159</v>
      </c>
      <c r="C302" s="94" t="s">
        <v>1651</v>
      </c>
      <c r="D302" s="40">
        <v>0</v>
      </c>
      <c r="H302" s="40" t="s">
        <v>1160</v>
      </c>
      <c r="I302" s="40" t="s">
        <v>1161</v>
      </c>
      <c r="J302" s="40" t="s">
        <v>1160</v>
      </c>
      <c r="K302" s="40" t="s">
        <v>1160</v>
      </c>
      <c r="L302" s="40">
        <v>0</v>
      </c>
      <c r="O302" s="40">
        <v>1</v>
      </c>
      <c r="P302" s="40" t="s">
        <v>1162</v>
      </c>
      <c r="Q302" s="96" t="s">
        <v>1616</v>
      </c>
      <c r="R302" s="96"/>
      <c r="S302" s="40">
        <v>5</v>
      </c>
      <c r="T302" s="40">
        <v>12</v>
      </c>
      <c r="V302" s="40">
        <v>12</v>
      </c>
      <c r="W302" s="96">
        <v>12</v>
      </c>
      <c r="X302" s="96"/>
      <c r="Y302" s="96"/>
      <c r="Z302" s="40">
        <v>8</v>
      </c>
      <c r="AA302" s="94" t="b">
        <v>1</v>
      </c>
      <c r="AB302" s="1"/>
      <c r="AC302" s="57" t="s">
        <v>1419</v>
      </c>
      <c r="AD302" s="1"/>
      <c r="AE302" s="57"/>
      <c r="AF302" s="1"/>
      <c r="AG302" s="1"/>
      <c r="AH302" s="1"/>
      <c r="AI302" s="1"/>
      <c r="AJ302" s="1"/>
      <c r="AK302" s="1"/>
      <c r="AL302" s="1"/>
      <c r="AM302" s="1"/>
      <c r="AN302" s="1"/>
      <c r="AO302" s="1"/>
      <c r="AP302" s="1"/>
      <c r="AQ302" s="1"/>
      <c r="AR302" s="1"/>
      <c r="AS302" s="1"/>
      <c r="AT302" s="1"/>
      <c r="AU302" s="1"/>
      <c r="AV302" s="1"/>
      <c r="AW302" s="1"/>
      <c r="AX302" s="1"/>
      <c r="AY302" s="1"/>
      <c r="AZ302" s="1"/>
      <c r="BA302" s="1"/>
      <c r="BB302" s="1"/>
      <c r="BC302" s="1"/>
      <c r="BD302" s="1"/>
      <c r="BE302" s="1"/>
      <c r="BF302" s="1"/>
      <c r="BG302" s="1"/>
      <c r="BH302" s="1"/>
      <c r="BI302" s="1"/>
      <c r="BJ302" s="1"/>
      <c r="BK302" s="1"/>
      <c r="BL302" s="1"/>
      <c r="BM302" s="1"/>
      <c r="BN302" s="1"/>
      <c r="BO302" s="1"/>
      <c r="BP302" s="1"/>
      <c r="BQ302" s="1"/>
      <c r="BR302" s="1"/>
      <c r="BS302" s="1"/>
      <c r="BT302" s="1"/>
      <c r="BU302" s="1"/>
      <c r="BV302" s="1"/>
      <c r="BW302" s="1"/>
      <c r="BX302" s="1"/>
      <c r="BY302" s="1"/>
      <c r="BZ302" s="1"/>
      <c r="CA302" s="1"/>
      <c r="CB302" s="1"/>
      <c r="CC302" s="1"/>
      <c r="CD302" s="1"/>
      <c r="CE302" s="1"/>
      <c r="CF302" s="1"/>
      <c r="CG302" s="1"/>
      <c r="CH302" s="1"/>
      <c r="CI302" s="1"/>
      <c r="CJ302" s="1"/>
      <c r="CK302" s="1"/>
      <c r="CL302" s="1"/>
      <c r="CM302" s="1"/>
      <c r="CN302" s="1"/>
      <c r="CO302" s="1"/>
      <c r="CP302" s="1"/>
      <c r="CQ302" s="1"/>
      <c r="CR302" s="1"/>
      <c r="CS302" s="1"/>
      <c r="CT302" s="1"/>
      <c r="CU302" s="1"/>
      <c r="CV302" s="1"/>
      <c r="CW302" s="1"/>
      <c r="CX302" s="1"/>
      <c r="CY302" s="1"/>
      <c r="CZ302" s="1"/>
      <c r="DA302" s="1"/>
      <c r="DB302" s="1"/>
      <c r="DC302" s="1"/>
      <c r="DD302" s="1"/>
      <c r="DE302" s="1"/>
      <c r="DF302" s="1"/>
      <c r="DG302" s="1"/>
      <c r="DH302" s="1"/>
      <c r="DI302" s="1"/>
      <c r="DJ302" s="1"/>
      <c r="DK302" s="1"/>
      <c r="DL302" s="1"/>
      <c r="DM302" s="1"/>
      <c r="DN302" s="1"/>
      <c r="DO302" s="1"/>
      <c r="DP302" s="1"/>
      <c r="DQ302" s="1"/>
      <c r="DR302" s="1"/>
      <c r="DS302" s="1"/>
      <c r="DT302" s="1"/>
      <c r="DU302" s="1"/>
      <c r="DV302" s="1"/>
      <c r="DW302" s="1"/>
      <c r="DX302" s="1"/>
      <c r="DY302" s="1"/>
      <c r="DZ302" s="1"/>
      <c r="EA302" s="1"/>
      <c r="EB302" s="1"/>
      <c r="EC302" s="1"/>
      <c r="ED302" s="1"/>
      <c r="EE302" s="1"/>
      <c r="EF302" s="1"/>
      <c r="EG302" s="1"/>
      <c r="EH302" s="1"/>
      <c r="EI302" s="1"/>
      <c r="EJ302" s="1"/>
      <c r="EK302" s="1"/>
      <c r="EL302" s="1"/>
      <c r="EM302" s="1"/>
      <c r="EN302" s="1"/>
      <c r="EO302" s="1"/>
      <c r="EP302" s="1"/>
      <c r="EQ302" s="1"/>
      <c r="ER302" s="1"/>
      <c r="ES302" s="1"/>
      <c r="ET302" s="1"/>
      <c r="EU302" s="1"/>
      <c r="EV302" s="1"/>
      <c r="EW302" s="1"/>
      <c r="EX302" s="1"/>
      <c r="EY302" s="1"/>
      <c r="EZ302" s="1"/>
      <c r="FA302" s="1"/>
      <c r="FB302" s="1"/>
      <c r="FC302" s="1"/>
      <c r="FD302" s="1"/>
      <c r="FE302" s="1"/>
      <c r="FF302" s="1"/>
      <c r="FG302" s="1"/>
      <c r="FH302" s="1"/>
      <c r="FI302" s="1"/>
      <c r="FJ302" s="1"/>
      <c r="FK302" s="1"/>
      <c r="FL302" s="1"/>
      <c r="FM302" s="1"/>
      <c r="FN302" s="1"/>
      <c r="FO302" s="1"/>
      <c r="FP302" s="1"/>
      <c r="FQ302" s="1"/>
      <c r="FR302" s="1"/>
      <c r="FS302" s="1"/>
      <c r="FT302" s="1"/>
      <c r="FU302" s="1"/>
      <c r="FV302" s="1"/>
      <c r="FW302" s="1"/>
      <c r="FX302" s="1"/>
      <c r="FY302" s="1"/>
      <c r="FZ302" s="1"/>
      <c r="GA302" s="1"/>
      <c r="GB302" s="1"/>
      <c r="GC302" s="1"/>
      <c r="GD302" s="1"/>
      <c r="GE302" s="1"/>
      <c r="GF302" s="1"/>
      <c r="GG302" s="1"/>
      <c r="GH302" s="1"/>
      <c r="GI302" s="1"/>
      <c r="GJ302" s="1"/>
      <c r="GK302" s="1"/>
      <c r="GL302" s="1"/>
      <c r="GM302" s="1"/>
      <c r="GN302" s="1"/>
      <c r="GO302" s="1"/>
      <c r="GP302" s="1"/>
      <c r="GQ302" s="1"/>
      <c r="GR302" s="1"/>
      <c r="GS302" s="1"/>
      <c r="GT302" s="1"/>
      <c r="GU302" s="1"/>
      <c r="GV302" s="1"/>
      <c r="GW302" s="1"/>
      <c r="GX302" s="1"/>
      <c r="GY302" s="1"/>
      <c r="GZ302" s="1"/>
      <c r="HA302" s="1"/>
      <c r="HB302" s="1"/>
      <c r="HC302" s="1"/>
      <c r="HD302" s="1"/>
      <c r="HE302" s="1"/>
      <c r="HF302" s="1"/>
      <c r="HG302" s="1"/>
      <c r="HH302" s="1"/>
      <c r="HI302" s="1"/>
      <c r="HJ302" s="1"/>
      <c r="HK302" s="1"/>
      <c r="HL302" s="1"/>
      <c r="HM302" s="1"/>
      <c r="HN302" s="1"/>
      <c r="HO302" s="1"/>
      <c r="HP302" s="1"/>
      <c r="HQ302" s="1"/>
      <c r="HR302" s="1"/>
      <c r="HS302" s="1"/>
      <c r="HT302" s="1"/>
      <c r="HU302" s="1"/>
      <c r="HV302" s="1"/>
      <c r="HW302" s="1"/>
      <c r="HX302" s="1"/>
      <c r="HY302" s="1"/>
      <c r="HZ302" s="1"/>
      <c r="IA302" s="1"/>
      <c r="IB302" s="1"/>
      <c r="IC302" s="1"/>
      <c r="ID302" s="1"/>
      <c r="IE302" s="1"/>
      <c r="IF302" s="1"/>
      <c r="IG302" s="1"/>
      <c r="IH302" s="1"/>
      <c r="II302" s="1"/>
      <c r="IJ302" s="1"/>
      <c r="IK302" s="1"/>
      <c r="IL302" s="1"/>
      <c r="IM302" s="1"/>
      <c r="IN302" s="1"/>
      <c r="IO302" s="1"/>
      <c r="IP302" s="1"/>
      <c r="IQ302" s="1"/>
      <c r="IR302" s="1"/>
      <c r="IS302" s="1"/>
      <c r="IT302" s="1"/>
      <c r="IU302" s="1"/>
      <c r="IV302" s="1"/>
      <c r="IW302" s="1"/>
      <c r="IX302" s="1"/>
      <c r="IY302" s="1"/>
      <c r="IZ302" s="1"/>
      <c r="JA302" s="1"/>
      <c r="JB302" s="1"/>
      <c r="JC302" s="1"/>
      <c r="JD302" s="1"/>
      <c r="JE302" s="1"/>
      <c r="JF302" s="1"/>
      <c r="JG302" s="1"/>
      <c r="JH302" s="1"/>
      <c r="JI302" s="1"/>
      <c r="JJ302" s="1"/>
      <c r="JK302" s="1"/>
      <c r="JL302" s="1"/>
      <c r="JM302" s="1"/>
      <c r="JN302" s="1"/>
      <c r="JO302" s="1"/>
      <c r="JP302" s="1"/>
      <c r="JQ302" s="1"/>
      <c r="JR302" s="1"/>
      <c r="JS302" s="1"/>
      <c r="JT302" s="1"/>
      <c r="JU302" s="1"/>
      <c r="JV302" s="1"/>
      <c r="JW302" s="1"/>
      <c r="JX302" s="1"/>
      <c r="JY302" s="1"/>
      <c r="JZ302" s="1"/>
      <c r="KA302" s="1"/>
      <c r="KB302" s="1"/>
      <c r="KC302" s="1"/>
      <c r="KD302" s="1"/>
      <c r="KE302" s="1"/>
      <c r="KF302" s="1"/>
      <c r="KG302" s="1"/>
      <c r="KH302" s="1"/>
      <c r="KI302" s="1"/>
      <c r="KJ302" s="1"/>
      <c r="KK302" s="1"/>
      <c r="KL302" s="1"/>
      <c r="KM302" s="1"/>
      <c r="KN302" s="1"/>
      <c r="KO302" s="1"/>
      <c r="KP302" s="1"/>
      <c r="KQ302" s="1"/>
      <c r="KR302" s="1"/>
      <c r="KS302" s="1"/>
      <c r="KT302" s="1"/>
      <c r="KU302" s="1"/>
      <c r="KV302" s="1"/>
      <c r="KW302" s="1"/>
      <c r="KX302" s="1"/>
      <c r="KY302" s="1"/>
      <c r="KZ302" s="1"/>
      <c r="LA302" s="1"/>
      <c r="LB302" s="1"/>
      <c r="LC302" s="1"/>
      <c r="LD302" s="1"/>
      <c r="LE302" s="1"/>
      <c r="LF302" s="1"/>
      <c r="LG302" s="1"/>
      <c r="LH302" s="1"/>
      <c r="LI302" s="1"/>
      <c r="LJ302" s="1"/>
      <c r="LK302" s="1"/>
      <c r="LL302" s="1"/>
      <c r="LM302" s="1"/>
      <c r="LN302" s="1"/>
      <c r="LO302" s="1"/>
      <c r="LP302" s="1"/>
      <c r="LQ302" s="1"/>
      <c r="LR302" s="1"/>
      <c r="LS302" s="1"/>
    </row>
    <row r="303" spans="1:331" s="25" customFormat="1" x14ac:dyDescent="0.25">
      <c r="A303" s="25" t="s">
        <v>1163</v>
      </c>
      <c r="B303" s="29" t="s">
        <v>1164</v>
      </c>
      <c r="C303" s="94" t="s">
        <v>1651</v>
      </c>
      <c r="D303" s="25">
        <v>0</v>
      </c>
      <c r="H303" s="25" t="s">
        <v>1165</v>
      </c>
      <c r="I303" s="25" t="s">
        <v>1166</v>
      </c>
      <c r="J303" s="25" t="s">
        <v>1165</v>
      </c>
      <c r="K303" s="25" t="s">
        <v>1165</v>
      </c>
      <c r="L303" s="25">
        <v>0</v>
      </c>
      <c r="O303" s="25">
        <v>0</v>
      </c>
      <c r="Q303" s="96" t="s">
        <v>1617</v>
      </c>
      <c r="R303" s="96"/>
      <c r="T303" s="25">
        <v>8</v>
      </c>
      <c r="V303" s="25">
        <v>7</v>
      </c>
      <c r="W303" s="96">
        <v>8</v>
      </c>
      <c r="X303" s="96"/>
      <c r="Y303" s="96"/>
      <c r="Z303" s="25">
        <v>5</v>
      </c>
      <c r="AA303" s="94" t="b">
        <v>1</v>
      </c>
      <c r="AB303" s="1"/>
      <c r="AC303" s="57" t="s">
        <v>1313</v>
      </c>
      <c r="AD303" s="1"/>
      <c r="AE303" s="57"/>
      <c r="AF303" s="1"/>
      <c r="AG303" s="1"/>
      <c r="AH303" s="1"/>
      <c r="AI303" s="1"/>
      <c r="AJ303" s="1"/>
      <c r="AK303" s="1"/>
      <c r="AL303" s="1"/>
      <c r="AM303" s="1"/>
      <c r="AN303" s="1"/>
      <c r="AO303" s="1"/>
      <c r="AP303" s="1"/>
      <c r="AQ303" s="1"/>
      <c r="AR303" s="1"/>
      <c r="AS303" s="1"/>
      <c r="AT303" s="1"/>
      <c r="AU303" s="1"/>
      <c r="AV303" s="1"/>
      <c r="AW303" s="1"/>
      <c r="AX303" s="1"/>
      <c r="AY303" s="1"/>
      <c r="AZ303" s="1"/>
      <c r="BA303" s="1"/>
      <c r="BB303" s="1"/>
      <c r="BC303" s="1"/>
      <c r="BD303" s="1"/>
      <c r="BE303" s="1"/>
      <c r="BF303" s="1"/>
      <c r="BG303" s="1"/>
      <c r="BH303" s="1"/>
      <c r="BI303" s="1"/>
      <c r="BJ303" s="1"/>
      <c r="BK303" s="1"/>
      <c r="BL303" s="1"/>
      <c r="BM303" s="1"/>
      <c r="BN303" s="1"/>
      <c r="BO303" s="1"/>
      <c r="BP303" s="1"/>
      <c r="BQ303" s="1"/>
      <c r="BR303" s="1"/>
      <c r="BS303" s="1"/>
      <c r="BT303" s="1"/>
      <c r="BU303" s="1"/>
      <c r="BV303" s="1"/>
      <c r="BW303" s="1"/>
      <c r="BX303" s="1"/>
      <c r="BY303" s="1"/>
      <c r="BZ303" s="1"/>
      <c r="CA303" s="1"/>
      <c r="CB303" s="1"/>
      <c r="CC303" s="1"/>
      <c r="CD303" s="1"/>
      <c r="CE303" s="1"/>
      <c r="CF303" s="1"/>
      <c r="CG303" s="1"/>
      <c r="CH303" s="1"/>
      <c r="CI303" s="1"/>
      <c r="CJ303" s="1"/>
      <c r="CK303" s="1"/>
      <c r="CL303" s="1"/>
      <c r="CM303" s="1"/>
      <c r="CN303" s="1"/>
      <c r="CO303" s="1"/>
      <c r="CP303" s="1"/>
      <c r="CQ303" s="1"/>
      <c r="CR303" s="1"/>
      <c r="CS303" s="1"/>
      <c r="CT303" s="1"/>
      <c r="CU303" s="1"/>
      <c r="CV303" s="1"/>
      <c r="CW303" s="1"/>
      <c r="CX303" s="1"/>
      <c r="CY303" s="1"/>
      <c r="CZ303" s="1"/>
      <c r="DA303" s="1"/>
      <c r="DB303" s="1"/>
      <c r="DC303" s="1"/>
      <c r="DD303" s="1"/>
      <c r="DE303" s="1"/>
      <c r="DF303" s="1"/>
      <c r="DG303" s="1"/>
      <c r="DH303" s="1"/>
      <c r="DI303" s="1"/>
      <c r="DJ303" s="1"/>
      <c r="DK303" s="1"/>
      <c r="DL303" s="1"/>
      <c r="DM303" s="1"/>
      <c r="DN303" s="1"/>
      <c r="DO303" s="1"/>
      <c r="DP303" s="1"/>
      <c r="DQ303" s="1"/>
      <c r="DR303" s="1"/>
      <c r="DS303" s="1"/>
      <c r="DT303" s="1"/>
      <c r="DU303" s="1"/>
      <c r="DV303" s="1"/>
      <c r="DW303" s="1"/>
      <c r="DX303" s="1"/>
      <c r="DY303" s="1"/>
      <c r="DZ303" s="1"/>
      <c r="EA303" s="1"/>
      <c r="EB303" s="1"/>
      <c r="EC303" s="1"/>
      <c r="ED303" s="1"/>
      <c r="EE303" s="1"/>
      <c r="EF303" s="1"/>
      <c r="EG303" s="1"/>
      <c r="EH303" s="1"/>
      <c r="EI303" s="1"/>
      <c r="EJ303" s="1"/>
      <c r="EK303" s="1"/>
      <c r="EL303" s="1"/>
      <c r="EM303" s="1"/>
      <c r="EN303" s="1"/>
      <c r="EO303" s="1"/>
      <c r="EP303" s="1"/>
      <c r="EQ303" s="1"/>
      <c r="ER303" s="1"/>
      <c r="ES303" s="1"/>
      <c r="ET303" s="1"/>
      <c r="EU303" s="1"/>
      <c r="EV303" s="1"/>
      <c r="EW303" s="1"/>
      <c r="EX303" s="1"/>
      <c r="EY303" s="1"/>
      <c r="EZ303" s="1"/>
      <c r="FA303" s="1"/>
      <c r="FB303" s="1"/>
      <c r="FC303" s="1"/>
      <c r="FD303" s="1"/>
      <c r="FE303" s="1"/>
      <c r="FF303" s="1"/>
      <c r="FG303" s="1"/>
      <c r="FH303" s="1"/>
      <c r="FI303" s="1"/>
      <c r="FJ303" s="1"/>
      <c r="FK303" s="1"/>
      <c r="FL303" s="1"/>
      <c r="FM303" s="1"/>
      <c r="FN303" s="1"/>
      <c r="FO303" s="1"/>
      <c r="FP303" s="1"/>
      <c r="FQ303" s="1"/>
      <c r="FR303" s="1"/>
      <c r="FS303" s="1"/>
      <c r="FT303" s="1"/>
      <c r="FU303" s="1"/>
      <c r="FV303" s="1"/>
      <c r="FW303" s="1"/>
      <c r="FX303" s="1"/>
      <c r="FY303" s="1"/>
      <c r="FZ303" s="1"/>
      <c r="GA303" s="1"/>
      <c r="GB303" s="1"/>
      <c r="GC303" s="1"/>
      <c r="GD303" s="1"/>
      <c r="GE303" s="1"/>
      <c r="GF303" s="1"/>
      <c r="GG303" s="1"/>
      <c r="GH303" s="1"/>
      <c r="GI303" s="1"/>
      <c r="GJ303" s="1"/>
      <c r="GK303" s="1"/>
      <c r="GL303" s="1"/>
      <c r="GM303" s="1"/>
      <c r="GN303" s="1"/>
      <c r="GO303" s="1"/>
      <c r="GP303" s="1"/>
      <c r="GQ303" s="1"/>
      <c r="GR303" s="1"/>
      <c r="GS303" s="1"/>
      <c r="GT303" s="1"/>
      <c r="GU303" s="1"/>
      <c r="GV303" s="1"/>
      <c r="GW303" s="1"/>
      <c r="GX303" s="1"/>
      <c r="GY303" s="1"/>
      <c r="GZ303" s="1"/>
      <c r="HA303" s="1"/>
      <c r="HB303" s="1"/>
      <c r="HC303" s="1"/>
      <c r="HD303" s="1"/>
      <c r="HE303" s="1"/>
      <c r="HF303" s="1"/>
      <c r="HG303" s="1"/>
      <c r="HH303" s="1"/>
      <c r="HI303" s="1"/>
      <c r="HJ303" s="1"/>
      <c r="HK303" s="1"/>
      <c r="HL303" s="1"/>
      <c r="HM303" s="1"/>
      <c r="HN303" s="1"/>
      <c r="HO303" s="1"/>
      <c r="HP303" s="1"/>
      <c r="HQ303" s="1"/>
      <c r="HR303" s="1"/>
      <c r="HS303" s="1"/>
      <c r="HT303" s="1"/>
      <c r="HU303" s="1"/>
      <c r="HV303" s="1"/>
      <c r="HW303" s="1"/>
      <c r="HX303" s="1"/>
      <c r="HY303" s="1"/>
      <c r="HZ303" s="1"/>
      <c r="IA303" s="1"/>
      <c r="IB303" s="1"/>
      <c r="IC303" s="1"/>
      <c r="ID303" s="1"/>
      <c r="IE303" s="1"/>
      <c r="IF303" s="1"/>
      <c r="IG303" s="1"/>
      <c r="IH303" s="1"/>
      <c r="II303" s="1"/>
      <c r="IJ303" s="1"/>
      <c r="IK303" s="1"/>
      <c r="IL303" s="1"/>
      <c r="IM303" s="1"/>
      <c r="IN303" s="1"/>
      <c r="IO303" s="1"/>
      <c r="IP303" s="1"/>
      <c r="IQ303" s="1"/>
      <c r="IR303" s="1"/>
      <c r="IS303" s="1"/>
      <c r="IT303" s="1"/>
      <c r="IU303" s="1"/>
      <c r="IV303" s="1"/>
      <c r="IW303" s="1"/>
      <c r="IX303" s="1"/>
      <c r="IY303" s="1"/>
      <c r="IZ303" s="1"/>
      <c r="JA303" s="1"/>
      <c r="JB303" s="1"/>
      <c r="JC303" s="1"/>
      <c r="JD303" s="1"/>
      <c r="JE303" s="1"/>
      <c r="JF303" s="1"/>
      <c r="JG303" s="1"/>
      <c r="JH303" s="1"/>
      <c r="JI303" s="1"/>
      <c r="JJ303" s="1"/>
      <c r="JK303" s="1"/>
      <c r="JL303" s="1"/>
      <c r="JM303" s="1"/>
      <c r="JN303" s="1"/>
      <c r="JO303" s="1"/>
      <c r="JP303" s="1"/>
      <c r="JQ303" s="1"/>
      <c r="JR303" s="1"/>
      <c r="JS303" s="1"/>
      <c r="JT303" s="1"/>
      <c r="JU303" s="1"/>
      <c r="JV303" s="1"/>
      <c r="JW303" s="1"/>
      <c r="JX303" s="1"/>
      <c r="JY303" s="1"/>
      <c r="JZ303" s="1"/>
      <c r="KA303" s="1"/>
      <c r="KB303" s="1"/>
      <c r="KC303" s="1"/>
      <c r="KD303" s="1"/>
      <c r="KE303" s="1"/>
      <c r="KF303" s="1"/>
      <c r="KG303" s="1"/>
      <c r="KH303" s="1"/>
      <c r="KI303" s="1"/>
      <c r="KJ303" s="1"/>
      <c r="KK303" s="1"/>
      <c r="KL303" s="1"/>
      <c r="KM303" s="1"/>
      <c r="KN303" s="1"/>
      <c r="KO303" s="1"/>
      <c r="KP303" s="1"/>
      <c r="KQ303" s="1"/>
      <c r="KR303" s="1"/>
      <c r="KS303" s="1"/>
      <c r="KT303" s="1"/>
      <c r="KU303" s="1"/>
      <c r="KV303" s="1"/>
      <c r="KW303" s="1"/>
      <c r="KX303" s="1"/>
      <c r="KY303" s="1"/>
      <c r="KZ303" s="1"/>
      <c r="LA303" s="1"/>
      <c r="LB303" s="1"/>
      <c r="LC303" s="1"/>
      <c r="LD303" s="1"/>
      <c r="LE303" s="1"/>
      <c r="LF303" s="1"/>
      <c r="LG303" s="1"/>
      <c r="LH303" s="1"/>
      <c r="LI303" s="1"/>
      <c r="LJ303" s="1"/>
      <c r="LK303" s="1"/>
      <c r="LL303" s="1"/>
      <c r="LM303" s="1"/>
      <c r="LN303" s="1"/>
      <c r="LO303" s="1"/>
      <c r="LP303" s="1"/>
      <c r="LQ303" s="1"/>
      <c r="LR303" s="1"/>
      <c r="LS303" s="1"/>
    </row>
    <row r="304" spans="1:331" s="49" customFormat="1" x14ac:dyDescent="0.25">
      <c r="A304" s="49" t="s">
        <v>1167</v>
      </c>
      <c r="B304" s="51" t="s">
        <v>1168</v>
      </c>
      <c r="C304" s="94" t="s">
        <v>1651</v>
      </c>
      <c r="D304" s="49">
        <v>0</v>
      </c>
      <c r="H304" s="49" t="s">
        <v>1169</v>
      </c>
      <c r="I304" s="49" t="s">
        <v>1170</v>
      </c>
      <c r="J304" s="49" t="s">
        <v>1169</v>
      </c>
      <c r="K304" s="49" t="s">
        <v>1169</v>
      </c>
      <c r="L304" s="49">
        <v>0</v>
      </c>
      <c r="O304" s="49">
        <v>1</v>
      </c>
      <c r="Q304" s="96"/>
      <c r="R304" s="96" t="s">
        <v>1171</v>
      </c>
      <c r="S304" s="49">
        <v>12</v>
      </c>
      <c r="U304" s="49">
        <v>6</v>
      </c>
      <c r="W304" s="96">
        <v>12</v>
      </c>
      <c r="X304" s="96"/>
      <c r="Y304" s="96"/>
      <c r="Z304" s="49">
        <v>9</v>
      </c>
      <c r="AA304" s="94" t="b">
        <v>1</v>
      </c>
      <c r="AB304" s="1"/>
      <c r="AC304" s="57" t="s">
        <v>1418</v>
      </c>
      <c r="AD304" s="1"/>
      <c r="AE304" s="57"/>
      <c r="AF304" s="1"/>
      <c r="AG304" s="1"/>
      <c r="AH304" s="1"/>
      <c r="AI304" s="1"/>
      <c r="AJ304" s="1"/>
      <c r="AK304" s="1"/>
      <c r="AL304" s="1"/>
      <c r="AM304" s="1"/>
      <c r="AN304" s="1"/>
      <c r="AO304" s="1"/>
      <c r="AP304" s="1"/>
      <c r="AQ304" s="1"/>
      <c r="AR304" s="1"/>
      <c r="AS304" s="1"/>
      <c r="AT304" s="1"/>
      <c r="AU304" s="1"/>
      <c r="AV304" s="1"/>
      <c r="AW304" s="1"/>
      <c r="AX304" s="1"/>
      <c r="AY304" s="1"/>
      <c r="AZ304" s="1"/>
      <c r="BA304" s="1"/>
      <c r="BB304" s="1"/>
      <c r="BC304" s="1"/>
      <c r="BD304" s="1"/>
      <c r="BE304" s="1"/>
      <c r="BF304" s="1"/>
      <c r="BG304" s="1"/>
      <c r="BH304" s="1"/>
      <c r="BI304" s="1"/>
      <c r="BJ304" s="1"/>
      <c r="BK304" s="1"/>
      <c r="BL304" s="1"/>
      <c r="BM304" s="1"/>
      <c r="BN304" s="1"/>
      <c r="BO304" s="1"/>
      <c r="BP304" s="1"/>
      <c r="BQ304" s="1"/>
      <c r="BR304" s="1"/>
      <c r="BS304" s="1"/>
      <c r="BT304" s="1"/>
      <c r="BU304" s="1"/>
      <c r="BV304" s="1"/>
      <c r="BW304" s="1"/>
      <c r="BX304" s="1"/>
      <c r="BY304" s="1"/>
      <c r="BZ304" s="1"/>
      <c r="CA304" s="1"/>
      <c r="CB304" s="1"/>
      <c r="CC304" s="1"/>
      <c r="CD304" s="1"/>
      <c r="CE304" s="1"/>
      <c r="CF304" s="1"/>
      <c r="CG304" s="1"/>
      <c r="CH304" s="1"/>
      <c r="CI304" s="1"/>
      <c r="CJ304" s="1"/>
      <c r="CK304" s="1"/>
      <c r="CL304" s="1"/>
      <c r="CM304" s="1"/>
      <c r="CN304" s="1"/>
      <c r="CO304" s="1"/>
      <c r="CP304" s="1"/>
      <c r="CQ304" s="1"/>
      <c r="CR304" s="1"/>
      <c r="CS304" s="1"/>
      <c r="CT304" s="1"/>
      <c r="CU304" s="1"/>
      <c r="CV304" s="1"/>
      <c r="CW304" s="1"/>
      <c r="CX304" s="1"/>
      <c r="CY304" s="1"/>
      <c r="CZ304" s="1"/>
      <c r="DA304" s="1"/>
      <c r="DB304" s="1"/>
      <c r="DC304" s="1"/>
      <c r="DD304" s="1"/>
      <c r="DE304" s="1"/>
      <c r="DF304" s="1"/>
      <c r="DG304" s="1"/>
      <c r="DH304" s="1"/>
      <c r="DI304" s="1"/>
      <c r="DJ304" s="1"/>
      <c r="DK304" s="1"/>
      <c r="DL304" s="1"/>
      <c r="DM304" s="1"/>
      <c r="DN304" s="1"/>
      <c r="DO304" s="1"/>
      <c r="DP304" s="1"/>
      <c r="DQ304" s="1"/>
      <c r="DR304" s="1"/>
      <c r="DS304" s="1"/>
      <c r="DT304" s="1"/>
      <c r="DU304" s="1"/>
      <c r="DV304" s="1"/>
      <c r="DW304" s="1"/>
      <c r="DX304" s="1"/>
      <c r="DY304" s="1"/>
      <c r="DZ304" s="1"/>
      <c r="EA304" s="1"/>
      <c r="EB304" s="1"/>
      <c r="EC304" s="1"/>
      <c r="ED304" s="1"/>
      <c r="EE304" s="1"/>
      <c r="EF304" s="1"/>
      <c r="EG304" s="1"/>
      <c r="EH304" s="1"/>
      <c r="EI304" s="1"/>
      <c r="EJ304" s="1"/>
      <c r="EK304" s="1"/>
      <c r="EL304" s="1"/>
      <c r="EM304" s="1"/>
      <c r="EN304" s="1"/>
      <c r="EO304" s="1"/>
      <c r="EP304" s="1"/>
      <c r="EQ304" s="1"/>
      <c r="ER304" s="1"/>
      <c r="ES304" s="1"/>
      <c r="ET304" s="1"/>
      <c r="EU304" s="1"/>
      <c r="EV304" s="1"/>
      <c r="EW304" s="1"/>
      <c r="EX304" s="1"/>
      <c r="EY304" s="1"/>
      <c r="EZ304" s="1"/>
      <c r="FA304" s="1"/>
      <c r="FB304" s="1"/>
      <c r="FC304" s="1"/>
      <c r="FD304" s="1"/>
      <c r="FE304" s="1"/>
      <c r="FF304" s="1"/>
      <c r="FG304" s="1"/>
      <c r="FH304" s="1"/>
      <c r="FI304" s="1"/>
      <c r="FJ304" s="1"/>
      <c r="FK304" s="1"/>
      <c r="FL304" s="1"/>
      <c r="FM304" s="1"/>
      <c r="FN304" s="1"/>
      <c r="FO304" s="1"/>
      <c r="FP304" s="1"/>
      <c r="FQ304" s="1"/>
      <c r="FR304" s="1"/>
      <c r="FS304" s="1"/>
      <c r="FT304" s="1"/>
      <c r="FU304" s="1"/>
      <c r="FV304" s="1"/>
      <c r="FW304" s="1"/>
      <c r="FX304" s="1"/>
      <c r="FY304" s="1"/>
      <c r="FZ304" s="1"/>
      <c r="GA304" s="1"/>
      <c r="GB304" s="1"/>
      <c r="GC304" s="1"/>
      <c r="GD304" s="1"/>
      <c r="GE304" s="1"/>
      <c r="GF304" s="1"/>
      <c r="GG304" s="1"/>
      <c r="GH304" s="1"/>
      <c r="GI304" s="1"/>
      <c r="GJ304" s="1"/>
      <c r="GK304" s="1"/>
      <c r="GL304" s="1"/>
      <c r="GM304" s="1"/>
      <c r="GN304" s="1"/>
      <c r="GO304" s="1"/>
      <c r="GP304" s="1"/>
      <c r="GQ304" s="1"/>
      <c r="GR304" s="1"/>
      <c r="GS304" s="1"/>
      <c r="GT304" s="1"/>
      <c r="GU304" s="1"/>
      <c r="GV304" s="1"/>
      <c r="GW304" s="1"/>
      <c r="GX304" s="1"/>
      <c r="GY304" s="1"/>
      <c r="GZ304" s="1"/>
      <c r="HA304" s="1"/>
      <c r="HB304" s="1"/>
      <c r="HC304" s="1"/>
      <c r="HD304" s="1"/>
      <c r="HE304" s="1"/>
      <c r="HF304" s="1"/>
      <c r="HG304" s="1"/>
      <c r="HH304" s="1"/>
      <c r="HI304" s="1"/>
      <c r="HJ304" s="1"/>
      <c r="HK304" s="1"/>
      <c r="HL304" s="1"/>
      <c r="HM304" s="1"/>
      <c r="HN304" s="1"/>
      <c r="HO304" s="1"/>
      <c r="HP304" s="1"/>
      <c r="HQ304" s="1"/>
      <c r="HR304" s="1"/>
      <c r="HS304" s="1"/>
      <c r="HT304" s="1"/>
      <c r="HU304" s="1"/>
      <c r="HV304" s="1"/>
      <c r="HW304" s="1"/>
      <c r="HX304" s="1"/>
      <c r="HY304" s="1"/>
      <c r="HZ304" s="1"/>
      <c r="IA304" s="1"/>
      <c r="IB304" s="1"/>
      <c r="IC304" s="1"/>
      <c r="ID304" s="1"/>
      <c r="IE304" s="1"/>
      <c r="IF304" s="1"/>
      <c r="IG304" s="1"/>
      <c r="IH304" s="1"/>
      <c r="II304" s="1"/>
      <c r="IJ304" s="1"/>
      <c r="IK304" s="1"/>
      <c r="IL304" s="1"/>
      <c r="IM304" s="1"/>
      <c r="IN304" s="1"/>
      <c r="IO304" s="1"/>
      <c r="IP304" s="1"/>
      <c r="IQ304" s="1"/>
      <c r="IR304" s="1"/>
      <c r="IS304" s="1"/>
      <c r="IT304" s="1"/>
      <c r="IU304" s="1"/>
      <c r="IV304" s="1"/>
      <c r="IW304" s="1"/>
      <c r="IX304" s="1"/>
      <c r="IY304" s="1"/>
      <c r="IZ304" s="1"/>
      <c r="JA304" s="1"/>
      <c r="JB304" s="1"/>
      <c r="JC304" s="1"/>
      <c r="JD304" s="1"/>
      <c r="JE304" s="1"/>
      <c r="JF304" s="1"/>
      <c r="JG304" s="1"/>
      <c r="JH304" s="1"/>
      <c r="JI304" s="1"/>
      <c r="JJ304" s="1"/>
      <c r="JK304" s="1"/>
      <c r="JL304" s="1"/>
      <c r="JM304" s="1"/>
      <c r="JN304" s="1"/>
      <c r="JO304" s="1"/>
      <c r="JP304" s="1"/>
      <c r="JQ304" s="1"/>
      <c r="JR304" s="1"/>
      <c r="JS304" s="1"/>
      <c r="JT304" s="1"/>
      <c r="JU304" s="1"/>
      <c r="JV304" s="1"/>
      <c r="JW304" s="1"/>
      <c r="JX304" s="1"/>
      <c r="JY304" s="1"/>
      <c r="JZ304" s="1"/>
      <c r="KA304" s="1"/>
      <c r="KB304" s="1"/>
      <c r="KC304" s="1"/>
      <c r="KD304" s="1"/>
      <c r="KE304" s="1"/>
      <c r="KF304" s="1"/>
      <c r="KG304" s="1"/>
      <c r="KH304" s="1"/>
      <c r="KI304" s="1"/>
      <c r="KJ304" s="1"/>
      <c r="KK304" s="1"/>
      <c r="KL304" s="1"/>
      <c r="KM304" s="1"/>
      <c r="KN304" s="1"/>
      <c r="KO304" s="1"/>
      <c r="KP304" s="1"/>
      <c r="KQ304" s="1"/>
      <c r="KR304" s="1"/>
      <c r="KS304" s="1"/>
      <c r="KT304" s="1"/>
      <c r="KU304" s="1"/>
      <c r="KV304" s="1"/>
      <c r="KW304" s="1"/>
      <c r="KX304" s="1"/>
      <c r="KY304" s="1"/>
      <c r="KZ304" s="1"/>
      <c r="LA304" s="1"/>
      <c r="LB304" s="1"/>
      <c r="LC304" s="1"/>
      <c r="LD304" s="1"/>
      <c r="LE304" s="1"/>
      <c r="LF304" s="1"/>
      <c r="LG304" s="1"/>
      <c r="LH304" s="1"/>
      <c r="LI304" s="1"/>
      <c r="LJ304" s="1"/>
      <c r="LK304" s="1"/>
      <c r="LL304" s="1"/>
      <c r="LM304" s="1"/>
      <c r="LN304" s="1"/>
      <c r="LO304" s="1"/>
      <c r="LP304" s="1"/>
      <c r="LQ304" s="1"/>
      <c r="LR304" s="1"/>
      <c r="LS304" s="1"/>
    </row>
    <row r="305" spans="1:331" s="25" customFormat="1" x14ac:dyDescent="0.25">
      <c r="A305" s="25" t="s">
        <v>1172</v>
      </c>
      <c r="B305" s="29" t="s">
        <v>1173</v>
      </c>
      <c r="C305" s="94" t="s">
        <v>1651</v>
      </c>
      <c r="D305" s="25">
        <v>0</v>
      </c>
      <c r="H305" s="25" t="s">
        <v>1174</v>
      </c>
      <c r="I305" s="25" t="s">
        <v>1175</v>
      </c>
      <c r="J305" s="25" t="s">
        <v>1174</v>
      </c>
      <c r="K305" s="25" t="s">
        <v>1174</v>
      </c>
      <c r="L305" s="25">
        <v>0</v>
      </c>
      <c r="O305" s="25">
        <v>0</v>
      </c>
      <c r="Q305" s="96" t="s">
        <v>1618</v>
      </c>
      <c r="R305" s="96"/>
      <c r="S305" s="25">
        <v>7</v>
      </c>
      <c r="T305" s="25">
        <v>7</v>
      </c>
      <c r="U305" s="25">
        <v>7</v>
      </c>
      <c r="V305" s="25">
        <v>6</v>
      </c>
      <c r="W305" s="96">
        <v>7</v>
      </c>
      <c r="X305" s="96"/>
      <c r="Y305" s="96"/>
      <c r="Z305" s="25">
        <v>5</v>
      </c>
      <c r="AA305" s="94" t="b">
        <v>1</v>
      </c>
      <c r="AB305" s="1"/>
      <c r="AC305" s="89" t="s">
        <v>1348</v>
      </c>
      <c r="AD305" s="1"/>
      <c r="AE305" s="57"/>
      <c r="AF305" s="1"/>
      <c r="AG305" s="1"/>
      <c r="AH305" s="1"/>
      <c r="AI305" s="1"/>
      <c r="AJ305" s="1"/>
      <c r="AK305" s="1"/>
      <c r="AL305" s="1"/>
      <c r="AM305" s="1"/>
      <c r="AN305" s="1"/>
      <c r="AO305" s="1"/>
      <c r="AP305" s="1"/>
      <c r="AQ305" s="1"/>
      <c r="AR305" s="1"/>
      <c r="AS305" s="1"/>
      <c r="AT305" s="1"/>
      <c r="AU305" s="1"/>
      <c r="AV305" s="1"/>
      <c r="AW305" s="1"/>
      <c r="AX305" s="1"/>
      <c r="AY305" s="1"/>
      <c r="AZ305" s="1"/>
      <c r="BA305" s="1"/>
      <c r="BB305" s="1"/>
      <c r="BC305" s="1"/>
      <c r="BD305" s="1"/>
      <c r="BE305" s="1"/>
      <c r="BF305" s="1"/>
      <c r="BG305" s="1"/>
      <c r="BH305" s="1"/>
      <c r="BI305" s="1"/>
      <c r="BJ305" s="1"/>
      <c r="BK305" s="1"/>
      <c r="BL305" s="1"/>
      <c r="BM305" s="1"/>
      <c r="BN305" s="1"/>
      <c r="BO305" s="1"/>
      <c r="BP305" s="1"/>
      <c r="BQ305" s="1"/>
      <c r="BR305" s="1"/>
      <c r="BS305" s="1"/>
      <c r="BT305" s="1"/>
      <c r="BU305" s="1"/>
      <c r="BV305" s="1"/>
      <c r="BW305" s="1"/>
      <c r="BX305" s="1"/>
      <c r="BY305" s="1"/>
      <c r="BZ305" s="1"/>
      <c r="CA305" s="1"/>
      <c r="CB305" s="1"/>
      <c r="CC305" s="1"/>
      <c r="CD305" s="1"/>
      <c r="CE305" s="1"/>
      <c r="CF305" s="1"/>
      <c r="CG305" s="1"/>
      <c r="CH305" s="1"/>
      <c r="CI305" s="1"/>
      <c r="CJ305" s="1"/>
      <c r="CK305" s="1"/>
      <c r="CL305" s="1"/>
      <c r="CM305" s="1"/>
      <c r="CN305" s="1"/>
      <c r="CO305" s="1"/>
      <c r="CP305" s="1"/>
      <c r="CQ305" s="1"/>
      <c r="CR305" s="1"/>
      <c r="CS305" s="1"/>
      <c r="CT305" s="1"/>
      <c r="CU305" s="1"/>
      <c r="CV305" s="1"/>
      <c r="CW305" s="1"/>
      <c r="CX305" s="1"/>
      <c r="CY305" s="1"/>
      <c r="CZ305" s="1"/>
      <c r="DA305" s="1"/>
      <c r="DB305" s="1"/>
      <c r="DC305" s="1"/>
      <c r="DD305" s="1"/>
      <c r="DE305" s="1"/>
      <c r="DF305" s="1"/>
      <c r="DG305" s="1"/>
      <c r="DH305" s="1"/>
      <c r="DI305" s="1"/>
      <c r="DJ305" s="1"/>
      <c r="DK305" s="1"/>
      <c r="DL305" s="1"/>
      <c r="DM305" s="1"/>
      <c r="DN305" s="1"/>
      <c r="DO305" s="1"/>
      <c r="DP305" s="1"/>
      <c r="DQ305" s="1"/>
      <c r="DR305" s="1"/>
      <c r="DS305" s="1"/>
      <c r="DT305" s="1"/>
      <c r="DU305" s="1"/>
      <c r="DV305" s="1"/>
      <c r="DW305" s="1"/>
      <c r="DX305" s="1"/>
      <c r="DY305" s="1"/>
      <c r="DZ305" s="1"/>
      <c r="EA305" s="1"/>
      <c r="EB305" s="1"/>
      <c r="EC305" s="1"/>
      <c r="ED305" s="1"/>
      <c r="EE305" s="1"/>
      <c r="EF305" s="1"/>
      <c r="EG305" s="1"/>
      <c r="EH305" s="1"/>
      <c r="EI305" s="1"/>
      <c r="EJ305" s="1"/>
      <c r="EK305" s="1"/>
      <c r="EL305" s="1"/>
      <c r="EM305" s="1"/>
      <c r="EN305" s="1"/>
      <c r="EO305" s="1"/>
      <c r="EP305" s="1"/>
      <c r="EQ305" s="1"/>
      <c r="ER305" s="1"/>
      <c r="ES305" s="1"/>
      <c r="ET305" s="1"/>
      <c r="EU305" s="1"/>
      <c r="EV305" s="1"/>
      <c r="EW305" s="1"/>
      <c r="EX305" s="1"/>
      <c r="EY305" s="1"/>
      <c r="EZ305" s="1"/>
      <c r="FA305" s="1"/>
      <c r="FB305" s="1"/>
      <c r="FC305" s="1"/>
      <c r="FD305" s="1"/>
      <c r="FE305" s="1"/>
      <c r="FF305" s="1"/>
      <c r="FG305" s="1"/>
      <c r="FH305" s="1"/>
      <c r="FI305" s="1"/>
      <c r="FJ305" s="1"/>
      <c r="FK305" s="1"/>
      <c r="FL305" s="1"/>
      <c r="FM305" s="1"/>
      <c r="FN305" s="1"/>
      <c r="FO305" s="1"/>
      <c r="FP305" s="1"/>
      <c r="FQ305" s="1"/>
      <c r="FR305" s="1"/>
      <c r="FS305" s="1"/>
      <c r="FT305" s="1"/>
      <c r="FU305" s="1"/>
      <c r="FV305" s="1"/>
      <c r="FW305" s="1"/>
      <c r="FX305" s="1"/>
      <c r="FY305" s="1"/>
      <c r="FZ305" s="1"/>
      <c r="GA305" s="1"/>
      <c r="GB305" s="1"/>
      <c r="GC305" s="1"/>
      <c r="GD305" s="1"/>
      <c r="GE305" s="1"/>
      <c r="GF305" s="1"/>
      <c r="GG305" s="1"/>
      <c r="GH305" s="1"/>
      <c r="GI305" s="1"/>
      <c r="GJ305" s="1"/>
      <c r="GK305" s="1"/>
      <c r="GL305" s="1"/>
      <c r="GM305" s="1"/>
      <c r="GN305" s="1"/>
      <c r="GO305" s="1"/>
      <c r="GP305" s="1"/>
      <c r="GQ305" s="1"/>
      <c r="GR305" s="1"/>
      <c r="GS305" s="1"/>
      <c r="GT305" s="1"/>
      <c r="GU305" s="1"/>
      <c r="GV305" s="1"/>
      <c r="GW305" s="1"/>
      <c r="GX305" s="1"/>
      <c r="GY305" s="1"/>
      <c r="GZ305" s="1"/>
      <c r="HA305" s="1"/>
      <c r="HB305" s="1"/>
      <c r="HC305" s="1"/>
      <c r="HD305" s="1"/>
      <c r="HE305" s="1"/>
      <c r="HF305" s="1"/>
      <c r="HG305" s="1"/>
      <c r="HH305" s="1"/>
      <c r="HI305" s="1"/>
      <c r="HJ305" s="1"/>
      <c r="HK305" s="1"/>
      <c r="HL305" s="1"/>
      <c r="HM305" s="1"/>
      <c r="HN305" s="1"/>
      <c r="HO305" s="1"/>
      <c r="HP305" s="1"/>
      <c r="HQ305" s="1"/>
      <c r="HR305" s="1"/>
      <c r="HS305" s="1"/>
      <c r="HT305" s="1"/>
      <c r="HU305" s="1"/>
      <c r="HV305" s="1"/>
      <c r="HW305" s="1"/>
      <c r="HX305" s="1"/>
      <c r="HY305" s="1"/>
      <c r="HZ305" s="1"/>
      <c r="IA305" s="1"/>
      <c r="IB305" s="1"/>
      <c r="IC305" s="1"/>
      <c r="ID305" s="1"/>
      <c r="IE305" s="1"/>
      <c r="IF305" s="1"/>
      <c r="IG305" s="1"/>
      <c r="IH305" s="1"/>
      <c r="II305" s="1"/>
      <c r="IJ305" s="1"/>
      <c r="IK305" s="1"/>
      <c r="IL305" s="1"/>
      <c r="IM305" s="1"/>
      <c r="IN305" s="1"/>
      <c r="IO305" s="1"/>
      <c r="IP305" s="1"/>
      <c r="IQ305" s="1"/>
      <c r="IR305" s="1"/>
      <c r="IS305" s="1"/>
      <c r="IT305" s="1"/>
      <c r="IU305" s="1"/>
      <c r="IV305" s="1"/>
      <c r="IW305" s="1"/>
      <c r="IX305" s="1"/>
      <c r="IY305" s="1"/>
      <c r="IZ305" s="1"/>
      <c r="JA305" s="1"/>
      <c r="JB305" s="1"/>
      <c r="JC305" s="1"/>
      <c r="JD305" s="1"/>
      <c r="JE305" s="1"/>
      <c r="JF305" s="1"/>
      <c r="JG305" s="1"/>
      <c r="JH305" s="1"/>
      <c r="JI305" s="1"/>
      <c r="JJ305" s="1"/>
      <c r="JK305" s="1"/>
      <c r="JL305" s="1"/>
      <c r="JM305" s="1"/>
      <c r="JN305" s="1"/>
      <c r="JO305" s="1"/>
      <c r="JP305" s="1"/>
      <c r="JQ305" s="1"/>
      <c r="JR305" s="1"/>
      <c r="JS305" s="1"/>
      <c r="JT305" s="1"/>
      <c r="JU305" s="1"/>
      <c r="JV305" s="1"/>
      <c r="JW305" s="1"/>
      <c r="JX305" s="1"/>
      <c r="JY305" s="1"/>
      <c r="JZ305" s="1"/>
      <c r="KA305" s="1"/>
      <c r="KB305" s="1"/>
      <c r="KC305" s="1"/>
      <c r="KD305" s="1"/>
      <c r="KE305" s="1"/>
      <c r="KF305" s="1"/>
      <c r="KG305" s="1"/>
      <c r="KH305" s="1"/>
      <c r="KI305" s="1"/>
      <c r="KJ305" s="1"/>
      <c r="KK305" s="1"/>
      <c r="KL305" s="1"/>
      <c r="KM305" s="1"/>
      <c r="KN305" s="1"/>
      <c r="KO305" s="1"/>
      <c r="KP305" s="1"/>
      <c r="KQ305" s="1"/>
      <c r="KR305" s="1"/>
      <c r="KS305" s="1"/>
      <c r="KT305" s="1"/>
      <c r="KU305" s="1"/>
      <c r="KV305" s="1"/>
      <c r="KW305" s="1"/>
      <c r="KX305" s="1"/>
      <c r="KY305" s="1"/>
      <c r="KZ305" s="1"/>
      <c r="LA305" s="1"/>
      <c r="LB305" s="1"/>
      <c r="LC305" s="1"/>
      <c r="LD305" s="1"/>
      <c r="LE305" s="1"/>
      <c r="LF305" s="1"/>
      <c r="LG305" s="1"/>
      <c r="LH305" s="1"/>
      <c r="LI305" s="1"/>
      <c r="LJ305" s="1"/>
      <c r="LK305" s="1"/>
      <c r="LL305" s="1"/>
      <c r="LM305" s="1"/>
      <c r="LN305" s="1"/>
      <c r="LO305" s="1"/>
      <c r="LP305" s="1"/>
      <c r="LQ305" s="1"/>
      <c r="LR305" s="1"/>
      <c r="LS305" s="1"/>
    </row>
    <row r="306" spans="1:331" s="59" customFormat="1" x14ac:dyDescent="0.25">
      <c r="A306" s="59" t="s">
        <v>1176</v>
      </c>
      <c r="B306" s="61" t="s">
        <v>1177</v>
      </c>
      <c r="C306" s="94" t="s">
        <v>1651</v>
      </c>
      <c r="D306" s="59">
        <v>0</v>
      </c>
      <c r="H306" s="59" t="s">
        <v>1178</v>
      </c>
      <c r="I306" s="59" t="s">
        <v>1179</v>
      </c>
      <c r="J306" s="62">
        <v>43496</v>
      </c>
      <c r="K306" s="62" t="s">
        <v>1178</v>
      </c>
      <c r="L306" s="59">
        <v>1</v>
      </c>
      <c r="M306" s="59" t="s">
        <v>1180</v>
      </c>
      <c r="O306" s="59">
        <v>1</v>
      </c>
      <c r="Q306" s="96"/>
      <c r="R306" s="96" t="s">
        <v>1181</v>
      </c>
      <c r="S306" s="59">
        <v>11</v>
      </c>
      <c r="U306" s="59">
        <v>15</v>
      </c>
      <c r="W306" s="96">
        <v>11</v>
      </c>
      <c r="X306" s="96"/>
      <c r="Y306" s="96"/>
      <c r="Z306" s="59">
        <v>11</v>
      </c>
      <c r="AA306" s="94" t="b">
        <v>1</v>
      </c>
      <c r="AB306" s="1" t="s">
        <v>1894</v>
      </c>
      <c r="AC306" s="57" t="s">
        <v>1641</v>
      </c>
      <c r="AD306" s="1"/>
      <c r="AE306" s="57"/>
      <c r="AF306" s="1"/>
      <c r="AG306" s="1"/>
      <c r="AH306" s="1"/>
      <c r="AI306" s="1"/>
      <c r="AJ306" s="1"/>
      <c r="AK306" s="1"/>
      <c r="AL306" s="1"/>
      <c r="AM306" s="1"/>
      <c r="AN306" s="1"/>
      <c r="AO306" s="1"/>
      <c r="AP306" s="1"/>
      <c r="AQ306" s="1"/>
      <c r="AR306" s="1"/>
      <c r="AS306" s="1"/>
      <c r="AT306" s="1"/>
      <c r="AU306" s="1"/>
      <c r="AV306" s="1"/>
      <c r="AW306" s="1"/>
      <c r="AX306" s="1"/>
      <c r="AY306" s="1"/>
      <c r="AZ306" s="1"/>
      <c r="BA306" s="1"/>
      <c r="BB306" s="1"/>
      <c r="BC306" s="1"/>
      <c r="BD306" s="1"/>
      <c r="BE306" s="1"/>
      <c r="BF306" s="1"/>
      <c r="BG306" s="1"/>
      <c r="BH306" s="1"/>
      <c r="BI306" s="1"/>
      <c r="BJ306" s="1"/>
      <c r="BK306" s="1"/>
      <c r="BL306" s="1"/>
      <c r="BM306" s="1"/>
      <c r="BN306" s="1"/>
      <c r="BO306" s="1"/>
      <c r="BP306" s="1"/>
      <c r="BQ306" s="1"/>
      <c r="BR306" s="1"/>
      <c r="BS306" s="1"/>
      <c r="BT306" s="1"/>
      <c r="BU306" s="1"/>
      <c r="BV306" s="1"/>
      <c r="BW306" s="1"/>
      <c r="BX306" s="1"/>
      <c r="BY306" s="1"/>
      <c r="BZ306" s="1"/>
      <c r="CA306" s="1"/>
      <c r="CB306" s="1"/>
      <c r="CC306" s="1"/>
      <c r="CD306" s="1"/>
      <c r="CE306" s="1"/>
      <c r="CF306" s="1"/>
      <c r="CG306" s="1"/>
      <c r="CH306" s="1"/>
      <c r="CI306" s="1"/>
      <c r="CJ306" s="1"/>
      <c r="CK306" s="1"/>
      <c r="CL306" s="1"/>
      <c r="CM306" s="1"/>
      <c r="CN306" s="1"/>
      <c r="CO306" s="1"/>
      <c r="CP306" s="1"/>
      <c r="CQ306" s="1"/>
      <c r="CR306" s="1"/>
      <c r="CS306" s="1"/>
      <c r="CT306" s="1"/>
      <c r="CU306" s="1"/>
      <c r="CV306" s="1"/>
      <c r="CW306" s="1"/>
      <c r="CX306" s="1"/>
      <c r="CY306" s="1"/>
      <c r="CZ306" s="1"/>
      <c r="DA306" s="1"/>
      <c r="DB306" s="1"/>
      <c r="DC306" s="1"/>
      <c r="DD306" s="1"/>
      <c r="DE306" s="1"/>
      <c r="DF306" s="1"/>
      <c r="DG306" s="1"/>
      <c r="DH306" s="1"/>
      <c r="DI306" s="1"/>
      <c r="DJ306" s="1"/>
      <c r="DK306" s="1"/>
      <c r="DL306" s="1"/>
      <c r="DM306" s="1"/>
      <c r="DN306" s="1"/>
      <c r="DO306" s="1"/>
      <c r="DP306" s="1"/>
      <c r="DQ306" s="1"/>
      <c r="DR306" s="1"/>
      <c r="DS306" s="1"/>
      <c r="DT306" s="1"/>
      <c r="DU306" s="1"/>
      <c r="DV306" s="1"/>
      <c r="DW306" s="1"/>
      <c r="DX306" s="1"/>
      <c r="DY306" s="1"/>
      <c r="DZ306" s="1"/>
      <c r="EA306" s="1"/>
      <c r="EB306" s="1"/>
      <c r="EC306" s="1"/>
      <c r="ED306" s="1"/>
      <c r="EE306" s="1"/>
      <c r="EF306" s="1"/>
      <c r="EG306" s="1"/>
      <c r="EH306" s="1"/>
      <c r="EI306" s="1"/>
      <c r="EJ306" s="1"/>
      <c r="EK306" s="1"/>
      <c r="EL306" s="1"/>
      <c r="EM306" s="1"/>
      <c r="EN306" s="1"/>
      <c r="EO306" s="1"/>
      <c r="EP306" s="1"/>
      <c r="EQ306" s="1"/>
      <c r="ER306" s="1"/>
      <c r="ES306" s="1"/>
      <c r="ET306" s="1"/>
      <c r="EU306" s="1"/>
      <c r="EV306" s="1"/>
      <c r="EW306" s="1"/>
      <c r="EX306" s="1"/>
      <c r="EY306" s="1"/>
      <c r="EZ306" s="1"/>
      <c r="FA306" s="1"/>
      <c r="FB306" s="1"/>
      <c r="FC306" s="1"/>
      <c r="FD306" s="1"/>
      <c r="FE306" s="1"/>
      <c r="FF306" s="1"/>
      <c r="FG306" s="1"/>
      <c r="FH306" s="1"/>
      <c r="FI306" s="1"/>
      <c r="FJ306" s="1"/>
      <c r="FK306" s="1"/>
      <c r="FL306" s="1"/>
      <c r="FM306" s="1"/>
      <c r="FN306" s="1"/>
      <c r="FO306" s="1"/>
      <c r="FP306" s="1"/>
      <c r="FQ306" s="1"/>
      <c r="FR306" s="1"/>
      <c r="FS306" s="1"/>
      <c r="FT306" s="1"/>
      <c r="FU306" s="1"/>
      <c r="FV306" s="1"/>
      <c r="FW306" s="1"/>
      <c r="FX306" s="1"/>
      <c r="FY306" s="1"/>
      <c r="FZ306" s="1"/>
      <c r="GA306" s="1"/>
      <c r="GB306" s="1"/>
      <c r="GC306" s="1"/>
      <c r="GD306" s="1"/>
      <c r="GE306" s="1"/>
      <c r="GF306" s="1"/>
      <c r="GG306" s="1"/>
      <c r="GH306" s="1"/>
      <c r="GI306" s="1"/>
      <c r="GJ306" s="1"/>
      <c r="GK306" s="1"/>
      <c r="GL306" s="1"/>
      <c r="GM306" s="1"/>
      <c r="GN306" s="1"/>
      <c r="GO306" s="1"/>
      <c r="GP306" s="1"/>
      <c r="GQ306" s="1"/>
      <c r="GR306" s="1"/>
      <c r="GS306" s="1"/>
      <c r="GT306" s="1"/>
      <c r="GU306" s="1"/>
      <c r="GV306" s="1"/>
      <c r="GW306" s="1"/>
      <c r="GX306" s="1"/>
      <c r="GY306" s="1"/>
      <c r="GZ306" s="1"/>
      <c r="HA306" s="1"/>
      <c r="HB306" s="1"/>
      <c r="HC306" s="1"/>
      <c r="HD306" s="1"/>
      <c r="HE306" s="1"/>
      <c r="HF306" s="1"/>
      <c r="HG306" s="1"/>
      <c r="HH306" s="1"/>
      <c r="HI306" s="1"/>
      <c r="HJ306" s="1"/>
      <c r="HK306" s="1"/>
      <c r="HL306" s="1"/>
      <c r="HM306" s="1"/>
      <c r="HN306" s="1"/>
      <c r="HO306" s="1"/>
      <c r="HP306" s="1"/>
      <c r="HQ306" s="1"/>
      <c r="HR306" s="1"/>
      <c r="HS306" s="1"/>
      <c r="HT306" s="1"/>
      <c r="HU306" s="1"/>
      <c r="HV306" s="1"/>
      <c r="HW306" s="1"/>
      <c r="HX306" s="1"/>
      <c r="HY306" s="1"/>
      <c r="HZ306" s="1"/>
      <c r="IA306" s="1"/>
      <c r="IB306" s="1"/>
      <c r="IC306" s="1"/>
      <c r="ID306" s="1"/>
      <c r="IE306" s="1"/>
      <c r="IF306" s="1"/>
      <c r="IG306" s="1"/>
      <c r="IH306" s="1"/>
      <c r="II306" s="1"/>
      <c r="IJ306" s="1"/>
      <c r="IK306" s="1"/>
      <c r="IL306" s="1"/>
      <c r="IM306" s="1"/>
      <c r="IN306" s="1"/>
      <c r="IO306" s="1"/>
      <c r="IP306" s="1"/>
      <c r="IQ306" s="1"/>
      <c r="IR306" s="1"/>
      <c r="IS306" s="1"/>
      <c r="IT306" s="1"/>
      <c r="IU306" s="1"/>
      <c r="IV306" s="1"/>
      <c r="IW306" s="1"/>
      <c r="IX306" s="1"/>
      <c r="IY306" s="1"/>
      <c r="IZ306" s="1"/>
      <c r="JA306" s="1"/>
      <c r="JB306" s="1"/>
      <c r="JC306" s="1"/>
      <c r="JD306" s="1"/>
      <c r="JE306" s="1"/>
      <c r="JF306" s="1"/>
      <c r="JG306" s="1"/>
      <c r="JH306" s="1"/>
      <c r="JI306" s="1"/>
      <c r="JJ306" s="1"/>
      <c r="JK306" s="1"/>
      <c r="JL306" s="1"/>
      <c r="JM306" s="1"/>
      <c r="JN306" s="1"/>
      <c r="JO306" s="1"/>
      <c r="JP306" s="1"/>
      <c r="JQ306" s="1"/>
      <c r="JR306" s="1"/>
      <c r="JS306" s="1"/>
      <c r="JT306" s="1"/>
      <c r="JU306" s="1"/>
      <c r="JV306" s="1"/>
      <c r="JW306" s="1"/>
      <c r="JX306" s="1"/>
      <c r="JY306" s="1"/>
      <c r="JZ306" s="1"/>
      <c r="KA306" s="1"/>
      <c r="KB306" s="1"/>
      <c r="KC306" s="1"/>
      <c r="KD306" s="1"/>
      <c r="KE306" s="1"/>
      <c r="KF306" s="1"/>
      <c r="KG306" s="1"/>
      <c r="KH306" s="1"/>
      <c r="KI306" s="1"/>
      <c r="KJ306" s="1"/>
      <c r="KK306" s="1"/>
      <c r="KL306" s="1"/>
      <c r="KM306" s="1"/>
      <c r="KN306" s="1"/>
      <c r="KO306" s="1"/>
      <c r="KP306" s="1"/>
      <c r="KQ306" s="1"/>
      <c r="KR306" s="1"/>
      <c r="KS306" s="1"/>
      <c r="KT306" s="1"/>
      <c r="KU306" s="1"/>
      <c r="KV306" s="1"/>
      <c r="KW306" s="1"/>
      <c r="KX306" s="1"/>
      <c r="KY306" s="1"/>
      <c r="KZ306" s="1"/>
      <c r="LA306" s="1"/>
      <c r="LB306" s="1"/>
      <c r="LC306" s="1"/>
      <c r="LD306" s="1"/>
      <c r="LE306" s="1"/>
      <c r="LF306" s="1"/>
      <c r="LG306" s="1"/>
      <c r="LH306" s="1"/>
      <c r="LI306" s="1"/>
      <c r="LJ306" s="1"/>
      <c r="LK306" s="1"/>
      <c r="LL306" s="1"/>
      <c r="LM306" s="1"/>
      <c r="LN306" s="1"/>
      <c r="LO306" s="1"/>
      <c r="LP306" s="1"/>
      <c r="LQ306" s="1"/>
      <c r="LR306" s="1"/>
      <c r="LS306" s="1"/>
    </row>
    <row r="307" spans="1:331" s="72" customFormat="1" x14ac:dyDescent="0.25">
      <c r="A307" s="72" t="s">
        <v>1182</v>
      </c>
      <c r="B307" s="75" t="s">
        <v>1183</v>
      </c>
      <c r="C307" s="94" t="s">
        <v>1651</v>
      </c>
      <c r="D307" s="72">
        <v>0</v>
      </c>
      <c r="H307" s="72" t="s">
        <v>1184</v>
      </c>
      <c r="I307" s="72" t="s">
        <v>1185</v>
      </c>
      <c r="J307" s="72" t="s">
        <v>1184</v>
      </c>
      <c r="K307" s="72" t="s">
        <v>1715</v>
      </c>
      <c r="L307" s="72">
        <v>0</v>
      </c>
      <c r="O307" s="72">
        <v>1</v>
      </c>
      <c r="P307" s="72" t="s">
        <v>1186</v>
      </c>
      <c r="Q307" s="96"/>
      <c r="R307" s="96" t="s">
        <v>1187</v>
      </c>
      <c r="S307" s="72">
        <v>16</v>
      </c>
      <c r="U307" s="72">
        <v>12</v>
      </c>
      <c r="W307" s="96">
        <v>16</v>
      </c>
      <c r="X307" s="96"/>
      <c r="Y307" s="96"/>
      <c r="Z307" s="72">
        <v>14</v>
      </c>
      <c r="AA307" s="94" t="b">
        <v>1</v>
      </c>
      <c r="AB307" s="1" t="s">
        <v>1899</v>
      </c>
      <c r="AC307" s="57" t="s">
        <v>1416</v>
      </c>
      <c r="AD307" s="1"/>
      <c r="AE307" s="57"/>
      <c r="AF307" s="1"/>
      <c r="AG307" s="1"/>
      <c r="AH307" s="1"/>
      <c r="AI307" s="1"/>
      <c r="AJ307" s="1"/>
      <c r="AK307" s="1"/>
      <c r="AL307" s="1"/>
      <c r="AM307" s="1"/>
      <c r="AN307" s="1"/>
      <c r="AO307" s="1"/>
      <c r="AP307" s="1"/>
      <c r="AQ307" s="1"/>
      <c r="AR307" s="1"/>
      <c r="AS307" s="1"/>
      <c r="AT307" s="1"/>
      <c r="AU307" s="1"/>
      <c r="AV307" s="1"/>
      <c r="AW307" s="1"/>
      <c r="AX307" s="1"/>
      <c r="AY307" s="1"/>
      <c r="AZ307" s="1"/>
      <c r="BA307" s="1"/>
      <c r="BB307" s="1"/>
      <c r="BC307" s="1"/>
      <c r="BD307" s="1"/>
      <c r="BE307" s="1"/>
      <c r="BF307" s="1"/>
      <c r="BG307" s="1"/>
      <c r="BH307" s="1"/>
      <c r="BI307" s="1"/>
      <c r="BJ307" s="1"/>
      <c r="BK307" s="1"/>
      <c r="BL307" s="1"/>
      <c r="BM307" s="1"/>
      <c r="BN307" s="1"/>
      <c r="BO307" s="1"/>
      <c r="BP307" s="1"/>
      <c r="BQ307" s="1"/>
      <c r="BR307" s="1"/>
      <c r="BS307" s="1"/>
      <c r="BT307" s="1"/>
      <c r="BU307" s="1"/>
      <c r="BV307" s="1"/>
    </row>
    <row r="308" spans="1:331" s="3" customFormat="1" x14ac:dyDescent="0.25">
      <c r="A308" s="3" t="s">
        <v>1188</v>
      </c>
      <c r="B308" s="5" t="s">
        <v>1189</v>
      </c>
      <c r="C308" s="94" t="s">
        <v>1651</v>
      </c>
      <c r="D308" s="3">
        <v>0</v>
      </c>
      <c r="H308" s="3" t="s">
        <v>1190</v>
      </c>
      <c r="I308" s="3" t="s">
        <v>1190</v>
      </c>
      <c r="J308" s="3" t="s">
        <v>1191</v>
      </c>
      <c r="K308" s="3" t="s">
        <v>1190</v>
      </c>
      <c r="L308" s="3">
        <v>1</v>
      </c>
      <c r="M308" s="3" t="s">
        <v>1192</v>
      </c>
      <c r="O308" s="3">
        <v>1</v>
      </c>
      <c r="P308" s="3" t="s">
        <v>1193</v>
      </c>
      <c r="Q308" s="96" t="s">
        <v>1619</v>
      </c>
      <c r="R308" s="96"/>
      <c r="S308" s="3">
        <v>17</v>
      </c>
      <c r="V308" s="3">
        <v>17</v>
      </c>
      <c r="W308" s="96">
        <v>17</v>
      </c>
      <c r="X308" s="96"/>
      <c r="Y308" s="96"/>
      <c r="Z308" s="3">
        <v>1</v>
      </c>
      <c r="AA308" s="94" t="b">
        <v>1</v>
      </c>
      <c r="AB308" s="1"/>
      <c r="AC308" s="57" t="s">
        <v>1372</v>
      </c>
      <c r="AD308" s="1"/>
      <c r="AE308" s="57"/>
      <c r="AF308" s="1"/>
      <c r="AG308" s="1"/>
      <c r="AH308" s="1"/>
      <c r="AI308" s="1"/>
      <c r="AJ308" s="1"/>
      <c r="AK308" s="1"/>
      <c r="AL308" s="1"/>
      <c r="AM308" s="1"/>
      <c r="AN308" s="1"/>
      <c r="AO308" s="1"/>
      <c r="AP308" s="1"/>
      <c r="AQ308" s="1"/>
      <c r="AR308" s="1"/>
      <c r="AS308" s="1"/>
      <c r="AT308" s="1"/>
      <c r="AU308" s="1"/>
      <c r="AV308" s="1"/>
      <c r="AW308" s="1"/>
      <c r="AX308" s="1"/>
      <c r="AY308" s="1"/>
      <c r="AZ308" s="1"/>
      <c r="BA308" s="1"/>
      <c r="BB308" s="1"/>
      <c r="BC308" s="1"/>
      <c r="BD308" s="1"/>
      <c r="BE308" s="1"/>
      <c r="BF308" s="1"/>
      <c r="BG308" s="1"/>
      <c r="BH308" s="1"/>
      <c r="BI308" s="1"/>
      <c r="BJ308" s="1"/>
      <c r="BK308" s="1"/>
      <c r="BL308" s="1"/>
      <c r="BM308" s="1"/>
      <c r="BN308" s="1"/>
      <c r="BO308" s="1"/>
      <c r="BP308" s="1"/>
      <c r="BQ308" s="1"/>
      <c r="BR308" s="1"/>
      <c r="BS308" s="1"/>
      <c r="BT308" s="1"/>
      <c r="BU308" s="1"/>
      <c r="BV308" s="1"/>
      <c r="BW308" s="1"/>
      <c r="BX308" s="1"/>
      <c r="BY308" s="1"/>
      <c r="BZ308" s="1"/>
      <c r="CA308" s="1"/>
      <c r="CB308" s="1"/>
      <c r="CC308" s="1"/>
      <c r="CD308" s="1"/>
      <c r="CE308" s="1"/>
      <c r="CF308" s="1"/>
      <c r="CG308" s="1"/>
      <c r="CH308" s="1"/>
      <c r="CI308" s="1"/>
      <c r="CJ308" s="1"/>
      <c r="CK308" s="1"/>
      <c r="CL308" s="1"/>
      <c r="CM308" s="1"/>
      <c r="CN308" s="1"/>
      <c r="CO308" s="1"/>
      <c r="CP308" s="1"/>
      <c r="CQ308" s="1"/>
      <c r="CR308" s="1"/>
      <c r="CS308" s="1"/>
      <c r="CT308" s="1"/>
      <c r="CU308" s="1"/>
      <c r="CV308" s="1"/>
      <c r="CW308" s="1"/>
      <c r="CX308" s="1"/>
      <c r="CY308" s="1"/>
      <c r="CZ308" s="1"/>
      <c r="DA308" s="1"/>
      <c r="DB308" s="1"/>
      <c r="DC308" s="1"/>
      <c r="DD308" s="1"/>
      <c r="DE308" s="1"/>
      <c r="DF308" s="1"/>
      <c r="DG308" s="1"/>
      <c r="DH308" s="1"/>
      <c r="DI308" s="1"/>
      <c r="DJ308" s="1"/>
      <c r="DK308" s="1"/>
      <c r="DL308" s="1"/>
      <c r="DM308" s="1"/>
      <c r="DN308" s="1"/>
      <c r="DO308" s="1"/>
      <c r="DP308" s="1"/>
      <c r="DQ308" s="1"/>
      <c r="DR308" s="1"/>
      <c r="DS308" s="1"/>
      <c r="DT308" s="1"/>
      <c r="DU308" s="1"/>
      <c r="DV308" s="1"/>
      <c r="DW308" s="1"/>
      <c r="DX308" s="1"/>
      <c r="DY308" s="1"/>
      <c r="DZ308" s="1"/>
      <c r="EA308" s="1"/>
      <c r="EB308" s="1"/>
      <c r="EC308" s="1"/>
      <c r="ED308" s="1"/>
      <c r="EE308" s="1"/>
      <c r="EF308" s="1"/>
      <c r="EG308" s="1"/>
      <c r="EH308" s="1"/>
      <c r="EI308" s="1"/>
      <c r="EJ308" s="1"/>
      <c r="EK308" s="1"/>
      <c r="EL308" s="1"/>
      <c r="EM308" s="1"/>
      <c r="EN308" s="1"/>
      <c r="EO308" s="1"/>
      <c r="EP308" s="1"/>
      <c r="EQ308" s="1"/>
      <c r="ER308" s="1"/>
      <c r="ES308" s="1"/>
      <c r="ET308" s="1"/>
      <c r="EU308" s="1"/>
      <c r="EV308" s="1"/>
      <c r="EW308" s="1"/>
      <c r="EX308" s="1"/>
      <c r="EY308" s="1"/>
      <c r="EZ308" s="1"/>
      <c r="FA308" s="1"/>
      <c r="FB308" s="1"/>
      <c r="FC308" s="1"/>
      <c r="FD308" s="1"/>
      <c r="FE308" s="1"/>
      <c r="FF308" s="1"/>
      <c r="FG308" s="1"/>
      <c r="FH308" s="1"/>
      <c r="FI308" s="1"/>
      <c r="FJ308" s="1"/>
      <c r="FK308" s="1"/>
      <c r="FL308" s="1"/>
      <c r="FM308" s="1"/>
      <c r="FN308" s="1"/>
      <c r="FO308" s="1"/>
      <c r="FP308" s="1"/>
      <c r="FQ308" s="1"/>
      <c r="FR308" s="1"/>
      <c r="FS308" s="1"/>
      <c r="FT308" s="1"/>
      <c r="FU308" s="1"/>
      <c r="FV308" s="1"/>
      <c r="FW308" s="1"/>
      <c r="FX308" s="1"/>
      <c r="FY308" s="1"/>
      <c r="FZ308" s="1"/>
      <c r="GA308" s="1"/>
      <c r="GB308" s="1"/>
      <c r="GC308" s="1"/>
      <c r="GD308" s="1"/>
      <c r="GE308" s="1"/>
      <c r="GF308" s="1"/>
      <c r="GG308" s="1"/>
      <c r="GH308" s="1"/>
      <c r="GI308" s="1"/>
      <c r="GJ308" s="1"/>
      <c r="GK308" s="1"/>
      <c r="GL308" s="1"/>
      <c r="GM308" s="1"/>
      <c r="GN308" s="1"/>
      <c r="GO308" s="1"/>
      <c r="GP308" s="1"/>
      <c r="GQ308" s="1"/>
      <c r="GR308" s="1"/>
      <c r="GS308" s="1"/>
      <c r="GT308" s="1"/>
      <c r="GU308" s="1"/>
      <c r="GV308" s="1"/>
      <c r="GW308" s="1"/>
      <c r="GX308" s="1"/>
      <c r="GY308" s="1"/>
      <c r="GZ308" s="1"/>
      <c r="HA308" s="1"/>
      <c r="HB308" s="1"/>
      <c r="HC308" s="1"/>
      <c r="HD308" s="1"/>
      <c r="HE308" s="1"/>
      <c r="HF308" s="1"/>
      <c r="HG308" s="1"/>
      <c r="HH308" s="1"/>
      <c r="HI308" s="1"/>
      <c r="HJ308" s="1"/>
      <c r="HK308" s="1"/>
      <c r="HL308" s="1"/>
      <c r="HM308" s="1"/>
      <c r="HN308" s="1"/>
      <c r="HO308" s="1"/>
      <c r="HP308" s="1"/>
      <c r="HQ308" s="1"/>
      <c r="HR308" s="1"/>
      <c r="HS308" s="1"/>
      <c r="HT308" s="1"/>
      <c r="HU308" s="1"/>
      <c r="HV308" s="1"/>
      <c r="HW308" s="1"/>
      <c r="HX308" s="1"/>
      <c r="HY308" s="1"/>
      <c r="HZ308" s="1"/>
      <c r="IA308" s="1"/>
      <c r="IB308" s="1"/>
      <c r="IC308" s="1"/>
      <c r="ID308" s="1"/>
      <c r="IE308" s="1"/>
      <c r="IF308" s="1"/>
      <c r="IG308" s="1"/>
      <c r="IH308" s="1"/>
      <c r="II308" s="1"/>
      <c r="IJ308" s="1"/>
      <c r="IK308" s="1"/>
      <c r="IL308" s="1"/>
      <c r="IM308" s="1"/>
      <c r="IN308" s="1"/>
      <c r="IO308" s="1"/>
      <c r="IP308" s="1"/>
      <c r="IQ308" s="1"/>
      <c r="IR308" s="1"/>
      <c r="IS308" s="1"/>
      <c r="IT308" s="1"/>
      <c r="IU308" s="1"/>
      <c r="IV308" s="1"/>
      <c r="IW308" s="1"/>
      <c r="IX308" s="1"/>
      <c r="IY308" s="1"/>
      <c r="IZ308" s="1"/>
      <c r="JA308" s="1"/>
      <c r="JB308" s="1"/>
      <c r="JC308" s="1"/>
      <c r="JD308" s="1"/>
      <c r="JE308" s="1"/>
      <c r="JF308" s="1"/>
      <c r="JG308" s="1"/>
      <c r="JH308" s="1"/>
      <c r="JI308" s="1"/>
      <c r="JJ308" s="1"/>
      <c r="JK308" s="1"/>
      <c r="JL308" s="1"/>
      <c r="JM308" s="1"/>
      <c r="JN308" s="1"/>
      <c r="JO308" s="1"/>
      <c r="JP308" s="1"/>
      <c r="JQ308" s="1"/>
      <c r="JR308" s="1"/>
      <c r="JS308" s="1"/>
      <c r="JT308" s="1"/>
      <c r="JU308" s="1"/>
      <c r="JV308" s="1"/>
      <c r="JW308" s="1"/>
      <c r="JX308" s="1"/>
      <c r="JY308" s="1"/>
      <c r="JZ308" s="1"/>
      <c r="KA308" s="1"/>
      <c r="KB308" s="1"/>
      <c r="KC308" s="1"/>
      <c r="KD308" s="1"/>
      <c r="KE308" s="1"/>
      <c r="KF308" s="1"/>
      <c r="KG308" s="1"/>
      <c r="KH308" s="1"/>
      <c r="KI308" s="1"/>
      <c r="KJ308" s="1"/>
      <c r="KK308" s="1"/>
      <c r="KL308" s="1"/>
      <c r="KM308" s="1"/>
      <c r="KN308" s="1"/>
      <c r="KO308" s="1"/>
      <c r="KP308" s="1"/>
      <c r="KQ308" s="1"/>
      <c r="KR308" s="1"/>
      <c r="KS308" s="1"/>
      <c r="KT308" s="1"/>
      <c r="KU308" s="1"/>
      <c r="KV308" s="1"/>
      <c r="KW308" s="1"/>
      <c r="KX308" s="1"/>
      <c r="KY308" s="1"/>
      <c r="KZ308" s="1"/>
      <c r="LA308" s="1"/>
      <c r="LB308" s="1"/>
      <c r="LC308" s="1"/>
      <c r="LD308" s="1"/>
      <c r="LE308" s="1"/>
      <c r="LF308" s="1"/>
      <c r="LG308" s="1"/>
      <c r="LH308" s="1"/>
      <c r="LI308" s="1"/>
      <c r="LJ308" s="1"/>
      <c r="LK308" s="1"/>
      <c r="LL308" s="1"/>
      <c r="LM308" s="1"/>
      <c r="LN308" s="1"/>
      <c r="LO308" s="1"/>
      <c r="LP308" s="1"/>
      <c r="LQ308" s="1"/>
      <c r="LR308" s="1"/>
      <c r="LS308" s="1"/>
    </row>
    <row r="309" spans="1:331" s="3" customFormat="1" x14ac:dyDescent="0.25">
      <c r="A309" s="3" t="s">
        <v>1194</v>
      </c>
      <c r="B309" s="5" t="s">
        <v>1195</v>
      </c>
      <c r="C309" s="94" t="s">
        <v>1651</v>
      </c>
      <c r="D309" s="3">
        <v>0</v>
      </c>
      <c r="H309" s="3" t="s">
        <v>1196</v>
      </c>
      <c r="I309" s="3" t="s">
        <v>1196</v>
      </c>
      <c r="J309" s="3" t="s">
        <v>1197</v>
      </c>
      <c r="K309" s="3" t="s">
        <v>1196</v>
      </c>
      <c r="L309" s="3">
        <v>1</v>
      </c>
      <c r="M309" s="3" t="s">
        <v>1198</v>
      </c>
      <c r="O309" s="3">
        <v>1</v>
      </c>
      <c r="P309" s="3" t="s">
        <v>1199</v>
      </c>
      <c r="Q309" s="96" t="s">
        <v>1620</v>
      </c>
      <c r="R309" s="96"/>
      <c r="S309" s="3">
        <v>10</v>
      </c>
      <c r="V309" s="3">
        <v>24</v>
      </c>
      <c r="W309" s="96">
        <v>10</v>
      </c>
      <c r="X309" s="96"/>
      <c r="Y309" s="96"/>
      <c r="Z309" s="3">
        <v>1</v>
      </c>
      <c r="AA309" s="94" t="b">
        <v>1</v>
      </c>
      <c r="AB309" s="1" t="s">
        <v>1898</v>
      </c>
      <c r="AC309" s="57" t="s">
        <v>1377</v>
      </c>
      <c r="AD309" s="1"/>
      <c r="AE309" s="57"/>
      <c r="AF309" s="1"/>
      <c r="AG309" s="1"/>
      <c r="AH309" s="1"/>
      <c r="AI309" s="1"/>
      <c r="AJ309" s="1"/>
      <c r="AK309" s="1"/>
      <c r="AL309" s="1"/>
      <c r="AM309" s="1"/>
      <c r="AN309" s="1"/>
      <c r="AO309" s="1"/>
      <c r="AP309" s="1"/>
      <c r="AQ309" s="1"/>
      <c r="AR309" s="1"/>
      <c r="AS309" s="1"/>
      <c r="AT309" s="1"/>
      <c r="AU309" s="1"/>
      <c r="AV309" s="1"/>
      <c r="AW309" s="1"/>
      <c r="AX309" s="1"/>
      <c r="AY309" s="1"/>
      <c r="AZ309" s="1"/>
      <c r="BA309" s="1"/>
      <c r="BB309" s="1"/>
      <c r="BC309" s="1"/>
      <c r="BD309" s="1"/>
      <c r="BE309" s="1"/>
      <c r="BF309" s="1"/>
      <c r="BG309" s="1"/>
      <c r="BH309" s="1"/>
      <c r="BI309" s="1"/>
      <c r="BJ309" s="1"/>
      <c r="BK309" s="1"/>
      <c r="BL309" s="1"/>
      <c r="BM309" s="1"/>
      <c r="BN309" s="1"/>
      <c r="BO309" s="1"/>
      <c r="BP309" s="1"/>
      <c r="BQ309" s="1"/>
      <c r="BR309" s="1"/>
      <c r="BS309" s="1"/>
      <c r="BT309" s="1"/>
      <c r="BU309" s="1"/>
      <c r="BV309" s="1"/>
      <c r="BW309" s="1"/>
      <c r="BX309" s="1"/>
      <c r="BY309" s="1"/>
      <c r="BZ309" s="1"/>
      <c r="CA309" s="1"/>
      <c r="CB309" s="1"/>
      <c r="CC309" s="1"/>
      <c r="CD309" s="1"/>
      <c r="CE309" s="1"/>
      <c r="CF309" s="1"/>
      <c r="CG309" s="1"/>
      <c r="CH309" s="1"/>
      <c r="CI309" s="1"/>
      <c r="CJ309" s="1"/>
      <c r="CK309" s="1"/>
      <c r="CL309" s="1"/>
      <c r="CM309" s="1"/>
      <c r="CN309" s="1"/>
      <c r="CO309" s="1"/>
      <c r="CP309" s="1"/>
      <c r="CQ309" s="1"/>
      <c r="CR309" s="1"/>
      <c r="CS309" s="1"/>
      <c r="CT309" s="1"/>
      <c r="CU309" s="1"/>
      <c r="CV309" s="1"/>
      <c r="CW309" s="1"/>
      <c r="CX309" s="1"/>
      <c r="CY309" s="1"/>
      <c r="CZ309" s="1"/>
      <c r="DA309" s="1"/>
      <c r="DB309" s="1"/>
      <c r="DC309" s="1"/>
      <c r="DD309" s="1"/>
      <c r="DE309" s="1"/>
      <c r="DF309" s="1"/>
      <c r="DG309" s="1"/>
      <c r="DH309" s="1"/>
      <c r="DI309" s="1"/>
      <c r="DJ309" s="1"/>
      <c r="DK309" s="1"/>
      <c r="DL309" s="1"/>
      <c r="DM309" s="1"/>
      <c r="DN309" s="1"/>
      <c r="DO309" s="1"/>
      <c r="DP309" s="1"/>
      <c r="DQ309" s="1"/>
      <c r="DR309" s="1"/>
      <c r="DS309" s="1"/>
      <c r="DT309" s="1"/>
      <c r="DU309" s="1"/>
      <c r="DV309" s="1"/>
      <c r="DW309" s="1"/>
      <c r="DX309" s="1"/>
      <c r="DY309" s="1"/>
      <c r="DZ309" s="1"/>
      <c r="EA309" s="1"/>
      <c r="EB309" s="1"/>
      <c r="EC309" s="1"/>
      <c r="ED309" s="1"/>
      <c r="EE309" s="1"/>
      <c r="EF309" s="1"/>
      <c r="EG309" s="1"/>
      <c r="EH309" s="1"/>
      <c r="EI309" s="1"/>
      <c r="EJ309" s="1"/>
      <c r="EK309" s="1"/>
      <c r="EL309" s="1"/>
      <c r="EM309" s="1"/>
      <c r="EN309" s="1"/>
      <c r="EO309" s="1"/>
      <c r="EP309" s="1"/>
      <c r="EQ309" s="1"/>
      <c r="ER309" s="1"/>
      <c r="ES309" s="1"/>
      <c r="ET309" s="1"/>
      <c r="EU309" s="1"/>
      <c r="EV309" s="1"/>
      <c r="EW309" s="1"/>
      <c r="EX309" s="1"/>
      <c r="EY309" s="1"/>
      <c r="EZ309" s="1"/>
      <c r="FA309" s="1"/>
      <c r="FB309" s="1"/>
      <c r="FC309" s="1"/>
      <c r="FD309" s="1"/>
      <c r="FE309" s="1"/>
      <c r="FF309" s="1"/>
      <c r="FG309" s="1"/>
      <c r="FH309" s="1"/>
      <c r="FI309" s="1"/>
      <c r="FJ309" s="1"/>
      <c r="FK309" s="1"/>
      <c r="FL309" s="1"/>
      <c r="FM309" s="1"/>
      <c r="FN309" s="1"/>
      <c r="FO309" s="1"/>
      <c r="FP309" s="1"/>
      <c r="FQ309" s="1"/>
      <c r="FR309" s="1"/>
      <c r="FS309" s="1"/>
      <c r="FT309" s="1"/>
      <c r="FU309" s="1"/>
      <c r="FV309" s="1"/>
      <c r="FW309" s="1"/>
      <c r="FX309" s="1"/>
      <c r="FY309" s="1"/>
      <c r="FZ309" s="1"/>
      <c r="GA309" s="1"/>
      <c r="GB309" s="1"/>
      <c r="GC309" s="1"/>
      <c r="GD309" s="1"/>
      <c r="GE309" s="1"/>
      <c r="GF309" s="1"/>
      <c r="GG309" s="1"/>
      <c r="GH309" s="1"/>
      <c r="GI309" s="1"/>
      <c r="GJ309" s="1"/>
      <c r="GK309" s="1"/>
      <c r="GL309" s="1"/>
      <c r="GM309" s="1"/>
      <c r="GN309" s="1"/>
      <c r="GO309" s="1"/>
      <c r="GP309" s="1"/>
      <c r="GQ309" s="1"/>
      <c r="GR309" s="1"/>
      <c r="GS309" s="1"/>
      <c r="GT309" s="1"/>
      <c r="GU309" s="1"/>
      <c r="GV309" s="1"/>
      <c r="GW309" s="1"/>
      <c r="GX309" s="1"/>
      <c r="GY309" s="1"/>
      <c r="GZ309" s="1"/>
      <c r="HA309" s="1"/>
      <c r="HB309" s="1"/>
      <c r="HC309" s="1"/>
      <c r="HD309" s="1"/>
      <c r="HE309" s="1"/>
      <c r="HF309" s="1"/>
      <c r="HG309" s="1"/>
      <c r="HH309" s="1"/>
      <c r="HI309" s="1"/>
      <c r="HJ309" s="1"/>
      <c r="HK309" s="1"/>
      <c r="HL309" s="1"/>
      <c r="HM309" s="1"/>
      <c r="HN309" s="1"/>
      <c r="HO309" s="1"/>
      <c r="HP309" s="1"/>
      <c r="HQ309" s="1"/>
      <c r="HR309" s="1"/>
      <c r="HS309" s="1"/>
      <c r="HT309" s="1"/>
      <c r="HU309" s="1"/>
      <c r="HV309" s="1"/>
      <c r="HW309" s="1"/>
      <c r="HX309" s="1"/>
      <c r="HY309" s="1"/>
      <c r="HZ309" s="1"/>
      <c r="IA309" s="1"/>
      <c r="IB309" s="1"/>
      <c r="IC309" s="1"/>
      <c r="ID309" s="1"/>
      <c r="IE309" s="1"/>
      <c r="IF309" s="1"/>
      <c r="IG309" s="1"/>
      <c r="IH309" s="1"/>
      <c r="II309" s="1"/>
      <c r="IJ309" s="1"/>
      <c r="IK309" s="1"/>
      <c r="IL309" s="1"/>
      <c r="IM309" s="1"/>
      <c r="IN309" s="1"/>
      <c r="IO309" s="1"/>
      <c r="IP309" s="1"/>
      <c r="IQ309" s="1"/>
      <c r="IR309" s="1"/>
      <c r="IS309" s="1"/>
      <c r="IT309" s="1"/>
      <c r="IU309" s="1"/>
      <c r="IV309" s="1"/>
      <c r="IW309" s="1"/>
      <c r="IX309" s="1"/>
      <c r="IY309" s="1"/>
      <c r="IZ309" s="1"/>
      <c r="JA309" s="1"/>
      <c r="JB309" s="1"/>
      <c r="JC309" s="1"/>
      <c r="JD309" s="1"/>
      <c r="JE309" s="1"/>
      <c r="JF309" s="1"/>
      <c r="JG309" s="1"/>
      <c r="JH309" s="1"/>
      <c r="JI309" s="1"/>
      <c r="JJ309" s="1"/>
      <c r="JK309" s="1"/>
      <c r="JL309" s="1"/>
      <c r="JM309" s="1"/>
      <c r="JN309" s="1"/>
      <c r="JO309" s="1"/>
      <c r="JP309" s="1"/>
      <c r="JQ309" s="1"/>
      <c r="JR309" s="1"/>
      <c r="JS309" s="1"/>
      <c r="JT309" s="1"/>
      <c r="JU309" s="1"/>
      <c r="JV309" s="1"/>
      <c r="JW309" s="1"/>
      <c r="JX309" s="1"/>
      <c r="JY309" s="1"/>
      <c r="JZ309" s="1"/>
      <c r="KA309" s="1"/>
      <c r="KB309" s="1"/>
      <c r="KC309" s="1"/>
      <c r="KD309" s="1"/>
      <c r="KE309" s="1"/>
      <c r="KF309" s="1"/>
      <c r="KG309" s="1"/>
      <c r="KH309" s="1"/>
      <c r="KI309" s="1"/>
      <c r="KJ309" s="1"/>
      <c r="KK309" s="1"/>
      <c r="KL309" s="1"/>
      <c r="KM309" s="1"/>
      <c r="KN309" s="1"/>
      <c r="KO309" s="1"/>
      <c r="KP309" s="1"/>
      <c r="KQ309" s="1"/>
      <c r="KR309" s="1"/>
      <c r="KS309" s="1"/>
      <c r="KT309" s="1"/>
      <c r="KU309" s="1"/>
      <c r="KV309" s="1"/>
      <c r="KW309" s="1"/>
      <c r="KX309" s="1"/>
      <c r="KY309" s="1"/>
      <c r="KZ309" s="1"/>
      <c r="LA309" s="1"/>
      <c r="LB309" s="1"/>
      <c r="LC309" s="1"/>
      <c r="LD309" s="1"/>
      <c r="LE309" s="1"/>
      <c r="LF309" s="1"/>
      <c r="LG309" s="1"/>
      <c r="LH309" s="1"/>
      <c r="LI309" s="1"/>
      <c r="LJ309" s="1"/>
      <c r="LK309" s="1"/>
      <c r="LL309" s="1"/>
      <c r="LM309" s="1"/>
      <c r="LN309" s="1"/>
      <c r="LO309" s="1"/>
      <c r="LP309" s="1"/>
      <c r="LQ309" s="1"/>
      <c r="LR309" s="1"/>
      <c r="LS309" s="1"/>
    </row>
    <row r="310" spans="1:331" s="3" customFormat="1" x14ac:dyDescent="0.25">
      <c r="A310" s="3" t="s">
        <v>1200</v>
      </c>
      <c r="B310" s="5" t="s">
        <v>1201</v>
      </c>
      <c r="C310" s="94" t="s">
        <v>1651</v>
      </c>
      <c r="D310" s="3">
        <v>0</v>
      </c>
      <c r="H310" s="3" t="s">
        <v>1202</v>
      </c>
      <c r="I310" s="3" t="s">
        <v>1202</v>
      </c>
      <c r="J310" s="3" t="s">
        <v>1203</v>
      </c>
      <c r="K310" s="3" t="s">
        <v>1202</v>
      </c>
      <c r="L310" s="3">
        <v>2</v>
      </c>
      <c r="M310" s="3" t="s">
        <v>1204</v>
      </c>
      <c r="N310" s="3" t="s">
        <v>1205</v>
      </c>
      <c r="O310" s="3">
        <v>1</v>
      </c>
      <c r="P310" s="3" t="s">
        <v>1206</v>
      </c>
      <c r="Q310" s="96" t="s">
        <v>266</v>
      </c>
      <c r="R310" s="96"/>
      <c r="T310" s="3">
        <v>8</v>
      </c>
      <c r="V310" s="3">
        <v>18</v>
      </c>
      <c r="W310" s="96">
        <v>8</v>
      </c>
      <c r="X310" s="96"/>
      <c r="Y310" s="96"/>
      <c r="Z310" s="3">
        <v>1</v>
      </c>
      <c r="AA310" s="94" t="b">
        <v>1</v>
      </c>
      <c r="AB310" s="1" t="s">
        <v>1898</v>
      </c>
      <c r="AC310" s="57" t="s">
        <v>1301</v>
      </c>
      <c r="AD310" s="1"/>
      <c r="AE310" s="57"/>
      <c r="AF310" s="1"/>
      <c r="AG310" s="1"/>
      <c r="AH310" s="1"/>
      <c r="AI310" s="1"/>
      <c r="AJ310" s="1"/>
      <c r="AK310" s="1"/>
      <c r="AL310" s="1"/>
      <c r="AM310" s="1"/>
      <c r="AN310" s="1"/>
      <c r="AO310" s="1"/>
      <c r="AP310" s="1"/>
      <c r="AQ310" s="1"/>
      <c r="AR310" s="1"/>
      <c r="AS310" s="1"/>
      <c r="AT310" s="1"/>
      <c r="AU310" s="1"/>
      <c r="AV310" s="1"/>
      <c r="AW310" s="1"/>
      <c r="AX310" s="1"/>
      <c r="AY310" s="1"/>
      <c r="AZ310" s="1"/>
      <c r="BA310" s="1"/>
      <c r="BB310" s="1"/>
      <c r="BC310" s="1"/>
      <c r="BD310" s="1"/>
      <c r="BE310" s="1"/>
      <c r="BF310" s="1"/>
      <c r="BG310" s="1"/>
      <c r="BH310" s="1"/>
      <c r="BI310" s="1"/>
      <c r="BJ310" s="1"/>
      <c r="BK310" s="1"/>
      <c r="BL310" s="1"/>
      <c r="BM310" s="1"/>
      <c r="BN310" s="1"/>
      <c r="BO310" s="1"/>
      <c r="BP310" s="1"/>
      <c r="BQ310" s="1"/>
      <c r="BR310" s="1"/>
      <c r="BS310" s="1"/>
      <c r="BT310" s="1"/>
      <c r="BU310" s="1"/>
      <c r="BV310" s="1"/>
      <c r="BW310" s="1"/>
      <c r="BX310" s="1"/>
      <c r="BY310" s="1"/>
      <c r="BZ310" s="1"/>
      <c r="CA310" s="1"/>
      <c r="CB310" s="1"/>
      <c r="CC310" s="1"/>
      <c r="CD310" s="1"/>
      <c r="CE310" s="1"/>
      <c r="CF310" s="1"/>
      <c r="CG310" s="1"/>
      <c r="CH310" s="1"/>
      <c r="CI310" s="1"/>
      <c r="CJ310" s="1"/>
      <c r="CK310" s="1"/>
      <c r="CL310" s="1"/>
      <c r="CM310" s="1"/>
      <c r="CN310" s="1"/>
      <c r="CO310" s="1"/>
      <c r="CP310" s="1"/>
      <c r="CQ310" s="1"/>
      <c r="CR310" s="1"/>
      <c r="CS310" s="1"/>
      <c r="CT310" s="1"/>
      <c r="CU310" s="1"/>
      <c r="CV310" s="1"/>
      <c r="CW310" s="1"/>
      <c r="CX310" s="1"/>
      <c r="CY310" s="1"/>
      <c r="CZ310" s="1"/>
      <c r="DA310" s="1"/>
      <c r="DB310" s="1"/>
      <c r="DC310" s="1"/>
      <c r="DD310" s="1"/>
      <c r="DE310" s="1"/>
      <c r="DF310" s="1"/>
      <c r="DG310" s="1"/>
      <c r="DH310" s="1"/>
      <c r="DI310" s="1"/>
      <c r="DJ310" s="1"/>
      <c r="DK310" s="1"/>
      <c r="DL310" s="1"/>
      <c r="DM310" s="1"/>
      <c r="DN310" s="1"/>
      <c r="DO310" s="1"/>
      <c r="DP310" s="1"/>
      <c r="DQ310" s="1"/>
      <c r="DR310" s="1"/>
      <c r="DS310" s="1"/>
      <c r="DT310" s="1"/>
      <c r="DU310" s="1"/>
      <c r="DV310" s="1"/>
      <c r="DW310" s="1"/>
      <c r="DX310" s="1"/>
      <c r="DY310" s="1"/>
      <c r="DZ310" s="1"/>
      <c r="EA310" s="1"/>
      <c r="EB310" s="1"/>
      <c r="EC310" s="1"/>
      <c r="ED310" s="1"/>
      <c r="EE310" s="1"/>
      <c r="EF310" s="1"/>
      <c r="EG310" s="1"/>
      <c r="EH310" s="1"/>
      <c r="EI310" s="1"/>
      <c r="EJ310" s="1"/>
      <c r="EK310" s="1"/>
      <c r="EL310" s="1"/>
      <c r="EM310" s="1"/>
      <c r="EN310" s="1"/>
      <c r="EO310" s="1"/>
      <c r="EP310" s="1"/>
      <c r="EQ310" s="1"/>
      <c r="ER310" s="1"/>
      <c r="ES310" s="1"/>
      <c r="ET310" s="1"/>
      <c r="EU310" s="1"/>
      <c r="EV310" s="1"/>
      <c r="EW310" s="1"/>
      <c r="EX310" s="1"/>
      <c r="EY310" s="1"/>
      <c r="EZ310" s="1"/>
      <c r="FA310" s="1"/>
      <c r="FB310" s="1"/>
      <c r="FC310" s="1"/>
      <c r="FD310" s="1"/>
      <c r="FE310" s="1"/>
      <c r="FF310" s="1"/>
      <c r="FG310" s="1"/>
      <c r="FH310" s="1"/>
      <c r="FI310" s="1"/>
      <c r="FJ310" s="1"/>
      <c r="FK310" s="1"/>
      <c r="FL310" s="1"/>
      <c r="FM310" s="1"/>
      <c r="FN310" s="1"/>
      <c r="FO310" s="1"/>
      <c r="FP310" s="1"/>
      <c r="FQ310" s="1"/>
      <c r="FR310" s="1"/>
      <c r="FS310" s="1"/>
      <c r="FT310" s="1"/>
      <c r="FU310" s="1"/>
      <c r="FV310" s="1"/>
      <c r="FW310" s="1"/>
      <c r="FX310" s="1"/>
      <c r="FY310" s="1"/>
      <c r="FZ310" s="1"/>
      <c r="GA310" s="1"/>
      <c r="GB310" s="1"/>
      <c r="GC310" s="1"/>
      <c r="GD310" s="1"/>
      <c r="GE310" s="1"/>
      <c r="GF310" s="1"/>
      <c r="GG310" s="1"/>
      <c r="GH310" s="1"/>
      <c r="GI310" s="1"/>
      <c r="GJ310" s="1"/>
      <c r="GK310" s="1"/>
      <c r="GL310" s="1"/>
      <c r="GM310" s="1"/>
      <c r="GN310" s="1"/>
      <c r="GO310" s="1"/>
      <c r="GP310" s="1"/>
      <c r="GQ310" s="1"/>
      <c r="GR310" s="1"/>
      <c r="GS310" s="1"/>
      <c r="GT310" s="1"/>
      <c r="GU310" s="1"/>
      <c r="GV310" s="1"/>
      <c r="GW310" s="1"/>
      <c r="GX310" s="1"/>
      <c r="GY310" s="1"/>
      <c r="GZ310" s="1"/>
      <c r="HA310" s="1"/>
      <c r="HB310" s="1"/>
      <c r="HC310" s="1"/>
      <c r="HD310" s="1"/>
      <c r="HE310" s="1"/>
      <c r="HF310" s="1"/>
      <c r="HG310" s="1"/>
      <c r="HH310" s="1"/>
      <c r="HI310" s="1"/>
      <c r="HJ310" s="1"/>
      <c r="HK310" s="1"/>
      <c r="HL310" s="1"/>
      <c r="HM310" s="1"/>
      <c r="HN310" s="1"/>
      <c r="HO310" s="1"/>
      <c r="HP310" s="1"/>
      <c r="HQ310" s="1"/>
      <c r="HR310" s="1"/>
      <c r="HS310" s="1"/>
      <c r="HT310" s="1"/>
      <c r="HU310" s="1"/>
      <c r="HV310" s="1"/>
      <c r="HW310" s="1"/>
      <c r="HX310" s="1"/>
      <c r="HY310" s="1"/>
      <c r="HZ310" s="1"/>
      <c r="IA310" s="1"/>
      <c r="IB310" s="1"/>
      <c r="IC310" s="1"/>
      <c r="ID310" s="1"/>
      <c r="IE310" s="1"/>
      <c r="IF310" s="1"/>
      <c r="IG310" s="1"/>
      <c r="IH310" s="1"/>
      <c r="II310" s="1"/>
      <c r="IJ310" s="1"/>
      <c r="IK310" s="1"/>
      <c r="IL310" s="1"/>
      <c r="IM310" s="1"/>
      <c r="IN310" s="1"/>
      <c r="IO310" s="1"/>
      <c r="IP310" s="1"/>
      <c r="IQ310" s="1"/>
      <c r="IR310" s="1"/>
      <c r="IS310" s="1"/>
      <c r="IT310" s="1"/>
      <c r="IU310" s="1"/>
      <c r="IV310" s="1"/>
      <c r="IW310" s="1"/>
      <c r="IX310" s="1"/>
      <c r="IY310" s="1"/>
      <c r="IZ310" s="1"/>
      <c r="JA310" s="1"/>
      <c r="JB310" s="1"/>
      <c r="JC310" s="1"/>
      <c r="JD310" s="1"/>
      <c r="JE310" s="1"/>
      <c r="JF310" s="1"/>
      <c r="JG310" s="1"/>
      <c r="JH310" s="1"/>
      <c r="JI310" s="1"/>
      <c r="JJ310" s="1"/>
      <c r="JK310" s="1"/>
      <c r="JL310" s="1"/>
      <c r="JM310" s="1"/>
      <c r="JN310" s="1"/>
      <c r="JO310" s="1"/>
      <c r="JP310" s="1"/>
      <c r="JQ310" s="1"/>
      <c r="JR310" s="1"/>
      <c r="JS310" s="1"/>
      <c r="JT310" s="1"/>
      <c r="JU310" s="1"/>
      <c r="JV310" s="1"/>
      <c r="JW310" s="1"/>
      <c r="JX310" s="1"/>
      <c r="JY310" s="1"/>
      <c r="JZ310" s="1"/>
      <c r="KA310" s="1"/>
      <c r="KB310" s="1"/>
      <c r="KC310" s="1"/>
      <c r="KD310" s="1"/>
      <c r="KE310" s="1"/>
      <c r="KF310" s="1"/>
      <c r="KG310" s="1"/>
      <c r="KH310" s="1"/>
      <c r="KI310" s="1"/>
      <c r="KJ310" s="1"/>
      <c r="KK310" s="1"/>
      <c r="KL310" s="1"/>
      <c r="KM310" s="1"/>
      <c r="KN310" s="1"/>
      <c r="KO310" s="1"/>
      <c r="KP310" s="1"/>
      <c r="KQ310" s="1"/>
      <c r="KR310" s="1"/>
      <c r="KS310" s="1"/>
      <c r="KT310" s="1"/>
      <c r="KU310" s="1"/>
      <c r="KV310" s="1"/>
      <c r="KW310" s="1"/>
      <c r="KX310" s="1"/>
      <c r="KY310" s="1"/>
      <c r="KZ310" s="1"/>
      <c r="LA310" s="1"/>
      <c r="LB310" s="1"/>
      <c r="LC310" s="1"/>
      <c r="LD310" s="1"/>
      <c r="LE310" s="1"/>
      <c r="LF310" s="1"/>
      <c r="LG310" s="1"/>
      <c r="LH310" s="1"/>
      <c r="LI310" s="1"/>
      <c r="LJ310" s="1"/>
      <c r="LK310" s="1"/>
      <c r="LL310" s="1"/>
      <c r="LM310" s="1"/>
      <c r="LN310" s="1"/>
      <c r="LO310" s="1"/>
      <c r="LP310" s="1"/>
      <c r="LQ310" s="1"/>
      <c r="LR310" s="1"/>
      <c r="LS310" s="1"/>
    </row>
    <row r="311" spans="1:331" s="3" customFormat="1" x14ac:dyDescent="0.25">
      <c r="A311" s="3" t="s">
        <v>1207</v>
      </c>
      <c r="B311" s="5" t="s">
        <v>1208</v>
      </c>
      <c r="C311" s="94" t="s">
        <v>1651</v>
      </c>
      <c r="D311" s="3">
        <v>0</v>
      </c>
      <c r="H311" s="3" t="s">
        <v>242</v>
      </c>
      <c r="I311" s="3" t="s">
        <v>242</v>
      </c>
      <c r="J311" s="3" t="s">
        <v>1209</v>
      </c>
      <c r="K311" s="3" t="s">
        <v>242</v>
      </c>
      <c r="L311" s="3">
        <v>1</v>
      </c>
      <c r="M311" s="3" t="s">
        <v>1210</v>
      </c>
      <c r="O311" s="3">
        <v>0</v>
      </c>
      <c r="Q311" s="96" t="s">
        <v>1621</v>
      </c>
      <c r="R311" s="96"/>
      <c r="T311" s="3">
        <v>10</v>
      </c>
      <c r="V311" s="3">
        <v>13</v>
      </c>
      <c r="W311" s="96">
        <v>10</v>
      </c>
      <c r="X311" s="96"/>
      <c r="Y311" s="96"/>
      <c r="Z311" s="3">
        <v>1</v>
      </c>
      <c r="AA311" s="94" t="b">
        <v>1</v>
      </c>
      <c r="AB311" s="1" t="s">
        <v>1899</v>
      </c>
      <c r="AC311" s="57" t="s">
        <v>1302</v>
      </c>
      <c r="AD311" s="1"/>
      <c r="AE311" s="57"/>
      <c r="AF311" s="1"/>
      <c r="AG311" s="1"/>
      <c r="AH311" s="1"/>
      <c r="AI311" s="1"/>
      <c r="AJ311" s="1"/>
      <c r="AK311" s="1"/>
      <c r="AL311" s="1"/>
      <c r="AM311" s="1"/>
      <c r="AN311" s="1"/>
      <c r="AO311" s="1"/>
      <c r="AP311" s="1"/>
      <c r="AQ311" s="1"/>
      <c r="AR311" s="1"/>
      <c r="AS311" s="1"/>
      <c r="AT311" s="1"/>
      <c r="AU311" s="1"/>
      <c r="AV311" s="1"/>
      <c r="AW311" s="1"/>
      <c r="AX311" s="1"/>
      <c r="AY311" s="1"/>
      <c r="AZ311" s="1"/>
      <c r="BA311" s="1"/>
      <c r="BB311" s="1"/>
      <c r="BC311" s="1"/>
      <c r="BD311" s="1"/>
      <c r="BE311" s="1"/>
      <c r="BF311" s="1"/>
      <c r="BG311" s="1"/>
      <c r="BH311" s="1"/>
      <c r="BI311" s="1"/>
      <c r="BJ311" s="1"/>
      <c r="BK311" s="1"/>
      <c r="BL311" s="1"/>
      <c r="BM311" s="1"/>
      <c r="BN311" s="1"/>
      <c r="BO311" s="1"/>
      <c r="BP311" s="1"/>
      <c r="BQ311" s="1"/>
      <c r="BR311" s="1"/>
      <c r="BS311" s="1"/>
      <c r="BT311" s="1"/>
      <c r="BU311" s="1"/>
      <c r="BV311" s="1"/>
      <c r="BW311" s="1"/>
      <c r="BX311" s="1"/>
      <c r="BY311" s="1"/>
      <c r="BZ311" s="1"/>
      <c r="CA311" s="1"/>
      <c r="CB311" s="1"/>
      <c r="CC311" s="1"/>
      <c r="CD311" s="1"/>
      <c r="CE311" s="1"/>
      <c r="CF311" s="1"/>
      <c r="CG311" s="1"/>
      <c r="CH311" s="1"/>
      <c r="CI311" s="1"/>
      <c r="CJ311" s="1"/>
      <c r="CK311" s="1"/>
      <c r="CL311" s="1"/>
      <c r="CM311" s="1"/>
      <c r="CN311" s="1"/>
      <c r="CO311" s="1"/>
      <c r="CP311" s="1"/>
      <c r="CQ311" s="1"/>
      <c r="CR311" s="1"/>
      <c r="CS311" s="1"/>
      <c r="CT311" s="1"/>
      <c r="CU311" s="1"/>
      <c r="CV311" s="1"/>
      <c r="CW311" s="1"/>
      <c r="CX311" s="1"/>
      <c r="CY311" s="1"/>
      <c r="CZ311" s="1"/>
      <c r="DA311" s="1"/>
      <c r="DB311" s="1"/>
      <c r="DC311" s="1"/>
      <c r="DD311" s="1"/>
      <c r="DE311" s="1"/>
      <c r="DF311" s="1"/>
      <c r="DG311" s="1"/>
      <c r="DH311" s="1"/>
      <c r="DI311" s="1"/>
      <c r="DJ311" s="1"/>
      <c r="DK311" s="1"/>
      <c r="DL311" s="1"/>
      <c r="DM311" s="1"/>
      <c r="DN311" s="1"/>
      <c r="DO311" s="1"/>
      <c r="DP311" s="1"/>
      <c r="DQ311" s="1"/>
      <c r="DR311" s="1"/>
      <c r="DS311" s="1"/>
      <c r="DT311" s="1"/>
      <c r="DU311" s="1"/>
      <c r="DV311" s="1"/>
      <c r="DW311" s="1"/>
      <c r="DX311" s="1"/>
      <c r="DY311" s="1"/>
      <c r="DZ311" s="1"/>
      <c r="EA311" s="1"/>
      <c r="EB311" s="1"/>
      <c r="EC311" s="1"/>
      <c r="ED311" s="1"/>
      <c r="EE311" s="1"/>
      <c r="EF311" s="1"/>
      <c r="EG311" s="1"/>
      <c r="EH311" s="1"/>
      <c r="EI311" s="1"/>
      <c r="EJ311" s="1"/>
      <c r="EK311" s="1"/>
      <c r="EL311" s="1"/>
      <c r="EM311" s="1"/>
      <c r="EN311" s="1"/>
      <c r="EO311" s="1"/>
      <c r="EP311" s="1"/>
      <c r="EQ311" s="1"/>
      <c r="ER311" s="1"/>
      <c r="ES311" s="1"/>
      <c r="ET311" s="1"/>
      <c r="EU311" s="1"/>
      <c r="EV311" s="1"/>
      <c r="EW311" s="1"/>
      <c r="EX311" s="1"/>
      <c r="EY311" s="1"/>
      <c r="EZ311" s="1"/>
      <c r="FA311" s="1"/>
      <c r="FB311" s="1"/>
      <c r="FC311" s="1"/>
      <c r="FD311" s="1"/>
      <c r="FE311" s="1"/>
      <c r="FF311" s="1"/>
      <c r="FG311" s="1"/>
      <c r="FH311" s="1"/>
      <c r="FI311" s="1"/>
      <c r="FJ311" s="1"/>
      <c r="FK311" s="1"/>
      <c r="FL311" s="1"/>
      <c r="FM311" s="1"/>
      <c r="FN311" s="1"/>
      <c r="FO311" s="1"/>
      <c r="FP311" s="1"/>
      <c r="FQ311" s="1"/>
      <c r="FR311" s="1"/>
      <c r="FS311" s="1"/>
      <c r="FT311" s="1"/>
      <c r="FU311" s="1"/>
      <c r="FV311" s="1"/>
      <c r="FW311" s="1"/>
      <c r="FX311" s="1"/>
      <c r="FY311" s="1"/>
      <c r="FZ311" s="1"/>
      <c r="GA311" s="1"/>
      <c r="GB311" s="1"/>
      <c r="GC311" s="1"/>
      <c r="GD311" s="1"/>
      <c r="GE311" s="1"/>
      <c r="GF311" s="1"/>
      <c r="GG311" s="1"/>
      <c r="GH311" s="1"/>
      <c r="GI311" s="1"/>
      <c r="GJ311" s="1"/>
      <c r="GK311" s="1"/>
      <c r="GL311" s="1"/>
      <c r="GM311" s="1"/>
      <c r="GN311" s="1"/>
      <c r="GO311" s="1"/>
      <c r="GP311" s="1"/>
      <c r="GQ311" s="1"/>
      <c r="GR311" s="1"/>
      <c r="GS311" s="1"/>
      <c r="GT311" s="1"/>
      <c r="GU311" s="1"/>
      <c r="GV311" s="1"/>
      <c r="GW311" s="1"/>
      <c r="GX311" s="1"/>
      <c r="GY311" s="1"/>
      <c r="GZ311" s="1"/>
      <c r="HA311" s="1"/>
      <c r="HB311" s="1"/>
      <c r="HC311" s="1"/>
      <c r="HD311" s="1"/>
      <c r="HE311" s="1"/>
      <c r="HF311" s="1"/>
      <c r="HG311" s="1"/>
      <c r="HH311" s="1"/>
      <c r="HI311" s="1"/>
      <c r="HJ311" s="1"/>
      <c r="HK311" s="1"/>
      <c r="HL311" s="1"/>
      <c r="HM311" s="1"/>
      <c r="HN311" s="1"/>
      <c r="HO311" s="1"/>
      <c r="HP311" s="1"/>
      <c r="HQ311" s="1"/>
      <c r="HR311" s="1"/>
      <c r="HS311" s="1"/>
      <c r="HT311" s="1"/>
      <c r="HU311" s="1"/>
      <c r="HV311" s="1"/>
      <c r="HW311" s="1"/>
      <c r="HX311" s="1"/>
      <c r="HY311" s="1"/>
      <c r="HZ311" s="1"/>
      <c r="IA311" s="1"/>
      <c r="IB311" s="1"/>
      <c r="IC311" s="1"/>
      <c r="ID311" s="1"/>
      <c r="IE311" s="1"/>
      <c r="IF311" s="1"/>
      <c r="IG311" s="1"/>
      <c r="IH311" s="1"/>
      <c r="II311" s="1"/>
      <c r="IJ311" s="1"/>
      <c r="IK311" s="1"/>
      <c r="IL311" s="1"/>
      <c r="IM311" s="1"/>
      <c r="IN311" s="1"/>
      <c r="IO311" s="1"/>
      <c r="IP311" s="1"/>
      <c r="IQ311" s="1"/>
      <c r="IR311" s="1"/>
      <c r="IS311" s="1"/>
      <c r="IT311" s="1"/>
      <c r="IU311" s="1"/>
      <c r="IV311" s="1"/>
      <c r="IW311" s="1"/>
      <c r="IX311" s="1"/>
      <c r="IY311" s="1"/>
      <c r="IZ311" s="1"/>
      <c r="JA311" s="1"/>
      <c r="JB311" s="1"/>
      <c r="JC311" s="1"/>
      <c r="JD311" s="1"/>
      <c r="JE311" s="1"/>
      <c r="JF311" s="1"/>
      <c r="JG311" s="1"/>
      <c r="JH311" s="1"/>
      <c r="JI311" s="1"/>
      <c r="JJ311" s="1"/>
      <c r="JK311" s="1"/>
      <c r="JL311" s="1"/>
      <c r="JM311" s="1"/>
      <c r="JN311" s="1"/>
      <c r="JO311" s="1"/>
      <c r="JP311" s="1"/>
      <c r="JQ311" s="1"/>
      <c r="JR311" s="1"/>
      <c r="JS311" s="1"/>
      <c r="JT311" s="1"/>
      <c r="JU311" s="1"/>
      <c r="JV311" s="1"/>
      <c r="JW311" s="1"/>
      <c r="JX311" s="1"/>
      <c r="JY311" s="1"/>
      <c r="JZ311" s="1"/>
      <c r="KA311" s="1"/>
      <c r="KB311" s="1"/>
      <c r="KC311" s="1"/>
      <c r="KD311" s="1"/>
      <c r="KE311" s="1"/>
      <c r="KF311" s="1"/>
      <c r="KG311" s="1"/>
      <c r="KH311" s="1"/>
      <c r="KI311" s="1"/>
      <c r="KJ311" s="1"/>
      <c r="KK311" s="1"/>
      <c r="KL311" s="1"/>
      <c r="KM311" s="1"/>
      <c r="KN311" s="1"/>
      <c r="KO311" s="1"/>
      <c r="KP311" s="1"/>
      <c r="KQ311" s="1"/>
      <c r="KR311" s="1"/>
      <c r="KS311" s="1"/>
      <c r="KT311" s="1"/>
      <c r="KU311" s="1"/>
      <c r="KV311" s="1"/>
      <c r="KW311" s="1"/>
      <c r="KX311" s="1"/>
      <c r="KY311" s="1"/>
      <c r="KZ311" s="1"/>
      <c r="LA311" s="1"/>
      <c r="LB311" s="1"/>
      <c r="LC311" s="1"/>
      <c r="LD311" s="1"/>
      <c r="LE311" s="1"/>
      <c r="LF311" s="1"/>
      <c r="LG311" s="1"/>
      <c r="LH311" s="1"/>
      <c r="LI311" s="1"/>
      <c r="LJ311" s="1"/>
      <c r="LK311" s="1"/>
      <c r="LL311" s="1"/>
      <c r="LM311" s="1"/>
      <c r="LN311" s="1"/>
      <c r="LO311" s="1"/>
      <c r="LP311" s="1"/>
      <c r="LQ311" s="1"/>
      <c r="LR311" s="1"/>
      <c r="LS311" s="1"/>
    </row>
    <row r="312" spans="1:331" s="3" customFormat="1" x14ac:dyDescent="0.25">
      <c r="A312" s="3" t="s">
        <v>1211</v>
      </c>
      <c r="B312" s="5" t="s">
        <v>1212</v>
      </c>
      <c r="C312" s="94" t="s">
        <v>1651</v>
      </c>
      <c r="D312" s="3">
        <v>0</v>
      </c>
      <c r="H312" s="3" t="s">
        <v>1213</v>
      </c>
      <c r="I312" s="3" t="s">
        <v>1213</v>
      </c>
      <c r="J312" s="3" t="s">
        <v>1214</v>
      </c>
      <c r="K312" s="3" t="s">
        <v>1213</v>
      </c>
      <c r="L312" s="3">
        <v>1</v>
      </c>
      <c r="M312" s="3" t="s">
        <v>1100</v>
      </c>
      <c r="O312" s="3">
        <v>1</v>
      </c>
      <c r="P312" s="3" t="s">
        <v>1215</v>
      </c>
      <c r="Q312" s="96" t="s">
        <v>1622</v>
      </c>
      <c r="R312" s="96"/>
      <c r="S312" s="3">
        <v>10</v>
      </c>
      <c r="U312" s="3">
        <v>10</v>
      </c>
      <c r="W312" s="96">
        <v>10</v>
      </c>
      <c r="X312" s="96"/>
      <c r="Y312" s="96"/>
      <c r="Z312" s="3">
        <v>1</v>
      </c>
      <c r="AA312" s="94" t="b">
        <v>1</v>
      </c>
      <c r="AB312" s="1"/>
      <c r="AC312" s="57" t="s">
        <v>1447</v>
      </c>
      <c r="AD312" s="1"/>
      <c r="AE312" s="57"/>
      <c r="AF312" s="1"/>
      <c r="AG312" s="1"/>
      <c r="AH312" s="1"/>
      <c r="AI312" s="1"/>
      <c r="AJ312" s="1"/>
      <c r="AK312" s="1"/>
      <c r="AL312" s="1"/>
      <c r="AM312" s="1"/>
      <c r="AN312" s="1"/>
      <c r="AO312" s="1"/>
      <c r="AP312" s="1"/>
      <c r="AQ312" s="1"/>
      <c r="AR312" s="1"/>
      <c r="AS312" s="1"/>
      <c r="AT312" s="1"/>
      <c r="AU312" s="1"/>
      <c r="AV312" s="1"/>
      <c r="AW312" s="1"/>
      <c r="AX312" s="1"/>
      <c r="AY312" s="1"/>
      <c r="AZ312" s="1"/>
      <c r="BA312" s="1"/>
      <c r="BB312" s="1"/>
      <c r="BC312" s="1"/>
      <c r="BD312" s="1"/>
      <c r="BE312" s="1"/>
      <c r="BF312" s="1"/>
      <c r="BG312" s="1"/>
      <c r="BH312" s="1"/>
      <c r="BI312" s="1"/>
      <c r="BJ312" s="1"/>
      <c r="BK312" s="1"/>
      <c r="BL312" s="1"/>
      <c r="BM312" s="1"/>
      <c r="BN312" s="1"/>
      <c r="BO312" s="1"/>
      <c r="BP312" s="1"/>
      <c r="BQ312" s="1"/>
      <c r="BR312" s="1"/>
      <c r="BS312" s="1"/>
      <c r="BT312" s="1"/>
      <c r="BU312" s="1"/>
      <c r="BV312" s="1"/>
      <c r="BW312" s="1"/>
      <c r="BX312" s="1"/>
      <c r="BY312" s="1"/>
      <c r="BZ312" s="1"/>
      <c r="CA312" s="1"/>
      <c r="CB312" s="1"/>
      <c r="CC312" s="1"/>
      <c r="CD312" s="1"/>
      <c r="CE312" s="1"/>
      <c r="CF312" s="1"/>
      <c r="CG312" s="1"/>
      <c r="CH312" s="1"/>
      <c r="CI312" s="1"/>
      <c r="CJ312" s="1"/>
      <c r="CK312" s="1"/>
      <c r="CL312" s="1"/>
      <c r="CM312" s="1"/>
      <c r="CN312" s="1"/>
      <c r="CO312" s="1"/>
      <c r="CP312" s="1"/>
      <c r="CQ312" s="1"/>
      <c r="CR312" s="1"/>
      <c r="CS312" s="1"/>
      <c r="CT312" s="1"/>
      <c r="CU312" s="1"/>
      <c r="CV312" s="1"/>
      <c r="CW312" s="1"/>
      <c r="CX312" s="1"/>
      <c r="CY312" s="1"/>
      <c r="CZ312" s="1"/>
      <c r="DA312" s="1"/>
      <c r="DB312" s="1"/>
      <c r="DC312" s="1"/>
      <c r="DD312" s="1"/>
      <c r="DE312" s="1"/>
      <c r="DF312" s="1"/>
      <c r="DG312" s="1"/>
      <c r="DH312" s="1"/>
      <c r="DI312" s="1"/>
      <c r="DJ312" s="1"/>
      <c r="DK312" s="1"/>
      <c r="DL312" s="1"/>
      <c r="DM312" s="1"/>
      <c r="DN312" s="1"/>
      <c r="DO312" s="1"/>
      <c r="DP312" s="1"/>
      <c r="DQ312" s="1"/>
      <c r="DR312" s="1"/>
      <c r="DS312" s="1"/>
      <c r="DT312" s="1"/>
      <c r="DU312" s="1"/>
      <c r="DV312" s="1"/>
      <c r="DW312" s="1"/>
      <c r="DX312" s="1"/>
      <c r="DY312" s="1"/>
      <c r="DZ312" s="1"/>
      <c r="EA312" s="1"/>
      <c r="EB312" s="1"/>
      <c r="EC312" s="1"/>
      <c r="ED312" s="1"/>
      <c r="EE312" s="1"/>
      <c r="EF312" s="1"/>
      <c r="EG312" s="1"/>
      <c r="EH312" s="1"/>
      <c r="EI312" s="1"/>
      <c r="EJ312" s="1"/>
      <c r="EK312" s="1"/>
      <c r="EL312" s="1"/>
      <c r="EM312" s="1"/>
      <c r="EN312" s="1"/>
      <c r="EO312" s="1"/>
      <c r="EP312" s="1"/>
      <c r="EQ312" s="1"/>
      <c r="ER312" s="1"/>
      <c r="ES312" s="1"/>
      <c r="ET312" s="1"/>
      <c r="EU312" s="1"/>
      <c r="EV312" s="1"/>
      <c r="EW312" s="1"/>
      <c r="EX312" s="1"/>
      <c r="EY312" s="1"/>
      <c r="EZ312" s="1"/>
      <c r="FA312" s="1"/>
      <c r="FB312" s="1"/>
      <c r="FC312" s="1"/>
      <c r="FD312" s="1"/>
      <c r="FE312" s="1"/>
      <c r="FF312" s="1"/>
      <c r="FG312" s="1"/>
      <c r="FH312" s="1"/>
      <c r="FI312" s="1"/>
      <c r="FJ312" s="1"/>
      <c r="FK312" s="1"/>
      <c r="FL312" s="1"/>
      <c r="FM312" s="1"/>
      <c r="FN312" s="1"/>
      <c r="FO312" s="1"/>
      <c r="FP312" s="1"/>
      <c r="FQ312" s="1"/>
      <c r="FR312" s="1"/>
      <c r="FS312" s="1"/>
      <c r="FT312" s="1"/>
      <c r="FU312" s="1"/>
      <c r="FV312" s="1"/>
      <c r="FW312" s="1"/>
      <c r="FX312" s="1"/>
      <c r="FY312" s="1"/>
      <c r="FZ312" s="1"/>
      <c r="GA312" s="1"/>
      <c r="GB312" s="1"/>
      <c r="GC312" s="1"/>
      <c r="GD312" s="1"/>
      <c r="GE312" s="1"/>
      <c r="GF312" s="1"/>
      <c r="GG312" s="1"/>
      <c r="GH312" s="1"/>
      <c r="GI312" s="1"/>
      <c r="GJ312" s="1"/>
      <c r="GK312" s="1"/>
      <c r="GL312" s="1"/>
      <c r="GM312" s="1"/>
      <c r="GN312" s="1"/>
      <c r="GO312" s="1"/>
      <c r="GP312" s="1"/>
      <c r="GQ312" s="1"/>
      <c r="GR312" s="1"/>
      <c r="GS312" s="1"/>
      <c r="GT312" s="1"/>
      <c r="GU312" s="1"/>
      <c r="GV312" s="1"/>
      <c r="GW312" s="1"/>
      <c r="GX312" s="1"/>
      <c r="GY312" s="1"/>
      <c r="GZ312" s="1"/>
      <c r="HA312" s="1"/>
      <c r="HB312" s="1"/>
      <c r="HC312" s="1"/>
      <c r="HD312" s="1"/>
      <c r="HE312" s="1"/>
      <c r="HF312" s="1"/>
      <c r="HG312" s="1"/>
      <c r="HH312" s="1"/>
      <c r="HI312" s="1"/>
      <c r="HJ312" s="1"/>
      <c r="HK312" s="1"/>
      <c r="HL312" s="1"/>
      <c r="HM312" s="1"/>
      <c r="HN312" s="1"/>
      <c r="HO312" s="1"/>
      <c r="HP312" s="1"/>
      <c r="HQ312" s="1"/>
      <c r="HR312" s="1"/>
      <c r="HS312" s="1"/>
      <c r="HT312" s="1"/>
      <c r="HU312" s="1"/>
      <c r="HV312" s="1"/>
      <c r="HW312" s="1"/>
      <c r="HX312" s="1"/>
      <c r="HY312" s="1"/>
      <c r="HZ312" s="1"/>
      <c r="IA312" s="1"/>
      <c r="IB312" s="1"/>
      <c r="IC312" s="1"/>
      <c r="ID312" s="1"/>
      <c r="IE312" s="1"/>
      <c r="IF312" s="1"/>
      <c r="IG312" s="1"/>
      <c r="IH312" s="1"/>
      <c r="II312" s="1"/>
      <c r="IJ312" s="1"/>
      <c r="IK312" s="1"/>
      <c r="IL312" s="1"/>
      <c r="IM312" s="1"/>
      <c r="IN312" s="1"/>
      <c r="IO312" s="1"/>
      <c r="IP312" s="1"/>
      <c r="IQ312" s="1"/>
      <c r="IR312" s="1"/>
      <c r="IS312" s="1"/>
      <c r="IT312" s="1"/>
      <c r="IU312" s="1"/>
      <c r="IV312" s="1"/>
      <c r="IW312" s="1"/>
      <c r="IX312" s="1"/>
      <c r="IY312" s="1"/>
      <c r="IZ312" s="1"/>
      <c r="JA312" s="1"/>
      <c r="JB312" s="1"/>
      <c r="JC312" s="1"/>
      <c r="JD312" s="1"/>
      <c r="JE312" s="1"/>
      <c r="JF312" s="1"/>
      <c r="JG312" s="1"/>
      <c r="JH312" s="1"/>
      <c r="JI312" s="1"/>
      <c r="JJ312" s="1"/>
      <c r="JK312" s="1"/>
      <c r="JL312" s="1"/>
      <c r="JM312" s="1"/>
      <c r="JN312" s="1"/>
      <c r="JO312" s="1"/>
      <c r="JP312" s="1"/>
      <c r="JQ312" s="1"/>
      <c r="JR312" s="1"/>
      <c r="JS312" s="1"/>
      <c r="JT312" s="1"/>
      <c r="JU312" s="1"/>
      <c r="JV312" s="1"/>
      <c r="JW312" s="1"/>
      <c r="JX312" s="1"/>
      <c r="JY312" s="1"/>
      <c r="JZ312" s="1"/>
      <c r="KA312" s="1"/>
      <c r="KB312" s="1"/>
      <c r="KC312" s="1"/>
      <c r="KD312" s="1"/>
      <c r="KE312" s="1"/>
      <c r="KF312" s="1"/>
      <c r="KG312" s="1"/>
      <c r="KH312" s="1"/>
      <c r="KI312" s="1"/>
      <c r="KJ312" s="1"/>
      <c r="KK312" s="1"/>
      <c r="KL312" s="1"/>
      <c r="KM312" s="1"/>
      <c r="KN312" s="1"/>
      <c r="KO312" s="1"/>
      <c r="KP312" s="1"/>
      <c r="KQ312" s="1"/>
      <c r="KR312" s="1"/>
      <c r="KS312" s="1"/>
      <c r="KT312" s="1"/>
      <c r="KU312" s="1"/>
      <c r="KV312" s="1"/>
      <c r="KW312" s="1"/>
      <c r="KX312" s="1"/>
      <c r="KY312" s="1"/>
      <c r="KZ312" s="1"/>
      <c r="LA312" s="1"/>
      <c r="LB312" s="1"/>
      <c r="LC312" s="1"/>
      <c r="LD312" s="1"/>
      <c r="LE312" s="1"/>
      <c r="LF312" s="1"/>
      <c r="LG312" s="1"/>
      <c r="LH312" s="1"/>
      <c r="LI312" s="1"/>
      <c r="LJ312" s="1"/>
      <c r="LK312" s="1"/>
      <c r="LL312" s="1"/>
      <c r="LM312" s="1"/>
      <c r="LN312" s="1"/>
      <c r="LO312" s="1"/>
      <c r="LP312" s="1"/>
      <c r="LQ312" s="1"/>
      <c r="LR312" s="1"/>
      <c r="LS312" s="1"/>
    </row>
    <row r="313" spans="1:331" s="3" customFormat="1" x14ac:dyDescent="0.25">
      <c r="A313" s="3" t="s">
        <v>1216</v>
      </c>
      <c r="B313" s="5" t="s">
        <v>1217</v>
      </c>
      <c r="C313" s="94" t="s">
        <v>1651</v>
      </c>
      <c r="D313" s="3">
        <v>0</v>
      </c>
      <c r="H313" s="3" t="s">
        <v>1218</v>
      </c>
      <c r="I313" s="3" t="s">
        <v>1218</v>
      </c>
      <c r="J313" s="3" t="s">
        <v>1218</v>
      </c>
      <c r="K313" s="3" t="s">
        <v>1218</v>
      </c>
      <c r="L313" s="3">
        <v>1</v>
      </c>
      <c r="M313" s="3" t="s">
        <v>1219</v>
      </c>
      <c r="O313" s="3">
        <v>0</v>
      </c>
      <c r="Q313" s="96" t="s">
        <v>1623</v>
      </c>
      <c r="R313" s="96"/>
      <c r="S313" s="3">
        <v>7</v>
      </c>
      <c r="U313" s="3">
        <v>12</v>
      </c>
      <c r="W313" s="96">
        <v>7</v>
      </c>
      <c r="X313" s="96"/>
      <c r="Y313" s="96"/>
      <c r="Z313" s="3">
        <v>1</v>
      </c>
      <c r="AA313" s="94" t="b">
        <v>1</v>
      </c>
      <c r="AB313" s="1" t="s">
        <v>1898</v>
      </c>
      <c r="AC313" s="57" t="s">
        <v>1378</v>
      </c>
      <c r="AD313" s="1"/>
      <c r="AE313" s="57"/>
      <c r="AF313" s="1"/>
      <c r="AG313" s="1"/>
      <c r="AH313" s="1"/>
      <c r="AI313" s="1"/>
      <c r="AJ313" s="1"/>
      <c r="AK313" s="1"/>
      <c r="AL313" s="1"/>
      <c r="AM313" s="1"/>
      <c r="AN313" s="1"/>
      <c r="AO313" s="1"/>
      <c r="AP313" s="1"/>
      <c r="AQ313" s="1"/>
      <c r="AR313" s="1"/>
      <c r="AS313" s="1"/>
      <c r="AT313" s="1"/>
      <c r="AU313" s="1"/>
      <c r="AV313" s="1"/>
      <c r="AW313" s="1"/>
      <c r="AX313" s="1"/>
      <c r="AY313" s="1"/>
      <c r="AZ313" s="1"/>
      <c r="BA313" s="1"/>
      <c r="BB313" s="1"/>
      <c r="BC313" s="1"/>
      <c r="BD313" s="1"/>
      <c r="BE313" s="1"/>
      <c r="BF313" s="1"/>
      <c r="BG313" s="1"/>
      <c r="BH313" s="1"/>
      <c r="BI313" s="1"/>
      <c r="BJ313" s="1"/>
      <c r="BK313" s="1"/>
      <c r="BL313" s="1"/>
      <c r="BM313" s="1"/>
      <c r="BN313" s="1"/>
      <c r="BO313" s="1"/>
      <c r="BP313" s="1"/>
      <c r="BQ313" s="1"/>
      <c r="BR313" s="1"/>
      <c r="BS313" s="1"/>
      <c r="BT313" s="1"/>
      <c r="BU313" s="1"/>
      <c r="BV313" s="1"/>
      <c r="BW313" s="1"/>
      <c r="BX313" s="1"/>
      <c r="BY313" s="1"/>
      <c r="BZ313" s="1"/>
      <c r="CA313" s="1"/>
      <c r="CB313" s="1"/>
      <c r="CC313" s="1"/>
      <c r="CD313" s="1"/>
      <c r="CE313" s="1"/>
      <c r="CF313" s="1"/>
      <c r="CG313" s="1"/>
      <c r="CH313" s="1"/>
      <c r="CI313" s="1"/>
      <c r="CJ313" s="1"/>
      <c r="CK313" s="1"/>
      <c r="CL313" s="1"/>
      <c r="CM313" s="1"/>
      <c r="CN313" s="1"/>
      <c r="CO313" s="1"/>
      <c r="CP313" s="1"/>
      <c r="CQ313" s="1"/>
      <c r="CR313" s="1"/>
      <c r="CS313" s="1"/>
      <c r="CT313" s="1"/>
      <c r="CU313" s="1"/>
      <c r="CV313" s="1"/>
      <c r="CW313" s="1"/>
      <c r="CX313" s="1"/>
      <c r="CY313" s="1"/>
      <c r="CZ313" s="1"/>
      <c r="DA313" s="1"/>
      <c r="DB313" s="1"/>
      <c r="DC313" s="1"/>
      <c r="DD313" s="1"/>
      <c r="DE313" s="1"/>
      <c r="DF313" s="1"/>
      <c r="DG313" s="1"/>
      <c r="DH313" s="1"/>
      <c r="DI313" s="1"/>
      <c r="DJ313" s="1"/>
      <c r="DK313" s="1"/>
      <c r="DL313" s="1"/>
      <c r="DM313" s="1"/>
      <c r="DN313" s="1"/>
      <c r="DO313" s="1"/>
      <c r="DP313" s="1"/>
      <c r="DQ313" s="1"/>
      <c r="DR313" s="1"/>
      <c r="DS313" s="1"/>
      <c r="DT313" s="1"/>
      <c r="DU313" s="1"/>
      <c r="DV313" s="1"/>
      <c r="DW313" s="1"/>
      <c r="DX313" s="1"/>
      <c r="DY313" s="1"/>
      <c r="DZ313" s="1"/>
      <c r="EA313" s="1"/>
      <c r="EB313" s="1"/>
      <c r="EC313" s="1"/>
      <c r="ED313" s="1"/>
      <c r="EE313" s="1"/>
      <c r="EF313" s="1"/>
      <c r="EG313" s="1"/>
      <c r="EH313" s="1"/>
      <c r="EI313" s="1"/>
      <c r="EJ313" s="1"/>
      <c r="EK313" s="1"/>
      <c r="EL313" s="1"/>
      <c r="EM313" s="1"/>
      <c r="EN313" s="1"/>
      <c r="EO313" s="1"/>
      <c r="EP313" s="1"/>
      <c r="EQ313" s="1"/>
      <c r="ER313" s="1"/>
      <c r="ES313" s="1"/>
      <c r="ET313" s="1"/>
      <c r="EU313" s="1"/>
      <c r="EV313" s="1"/>
      <c r="EW313" s="1"/>
      <c r="EX313" s="1"/>
      <c r="EY313" s="1"/>
      <c r="EZ313" s="1"/>
      <c r="FA313" s="1"/>
      <c r="FB313" s="1"/>
      <c r="FC313" s="1"/>
      <c r="FD313" s="1"/>
      <c r="FE313" s="1"/>
      <c r="FF313" s="1"/>
      <c r="FG313" s="1"/>
      <c r="FH313" s="1"/>
      <c r="FI313" s="1"/>
      <c r="FJ313" s="1"/>
      <c r="FK313" s="1"/>
      <c r="FL313" s="1"/>
      <c r="FM313" s="1"/>
      <c r="FN313" s="1"/>
      <c r="FO313" s="1"/>
      <c r="FP313" s="1"/>
      <c r="FQ313" s="1"/>
      <c r="FR313" s="1"/>
      <c r="FS313" s="1"/>
      <c r="FT313" s="1"/>
      <c r="FU313" s="1"/>
      <c r="FV313" s="1"/>
      <c r="FW313" s="1"/>
      <c r="FX313" s="1"/>
      <c r="FY313" s="1"/>
      <c r="FZ313" s="1"/>
      <c r="GA313" s="1"/>
      <c r="GB313" s="1"/>
      <c r="GC313" s="1"/>
      <c r="GD313" s="1"/>
      <c r="GE313" s="1"/>
      <c r="GF313" s="1"/>
      <c r="GG313" s="1"/>
      <c r="GH313" s="1"/>
      <c r="GI313" s="1"/>
      <c r="GJ313" s="1"/>
      <c r="GK313" s="1"/>
      <c r="GL313" s="1"/>
      <c r="GM313" s="1"/>
      <c r="GN313" s="1"/>
      <c r="GO313" s="1"/>
      <c r="GP313" s="1"/>
      <c r="GQ313" s="1"/>
      <c r="GR313" s="1"/>
      <c r="GS313" s="1"/>
      <c r="GT313" s="1"/>
      <c r="GU313" s="1"/>
      <c r="GV313" s="1"/>
      <c r="GW313" s="1"/>
      <c r="GX313" s="1"/>
      <c r="GY313" s="1"/>
      <c r="GZ313" s="1"/>
      <c r="HA313" s="1"/>
      <c r="HB313" s="1"/>
      <c r="HC313" s="1"/>
      <c r="HD313" s="1"/>
      <c r="HE313" s="1"/>
      <c r="HF313" s="1"/>
      <c r="HG313" s="1"/>
      <c r="HH313" s="1"/>
      <c r="HI313" s="1"/>
      <c r="HJ313" s="1"/>
      <c r="HK313" s="1"/>
      <c r="HL313" s="1"/>
      <c r="HM313" s="1"/>
      <c r="HN313" s="1"/>
      <c r="HO313" s="1"/>
      <c r="HP313" s="1"/>
      <c r="HQ313" s="1"/>
      <c r="HR313" s="1"/>
      <c r="HS313" s="1"/>
      <c r="HT313" s="1"/>
      <c r="HU313" s="1"/>
      <c r="HV313" s="1"/>
      <c r="HW313" s="1"/>
      <c r="HX313" s="1"/>
      <c r="HY313" s="1"/>
      <c r="HZ313" s="1"/>
      <c r="IA313" s="1"/>
      <c r="IB313" s="1"/>
      <c r="IC313" s="1"/>
      <c r="ID313" s="1"/>
      <c r="IE313" s="1"/>
      <c r="IF313" s="1"/>
      <c r="IG313" s="1"/>
      <c r="IH313" s="1"/>
      <c r="II313" s="1"/>
      <c r="IJ313" s="1"/>
      <c r="IK313" s="1"/>
      <c r="IL313" s="1"/>
      <c r="IM313" s="1"/>
      <c r="IN313" s="1"/>
      <c r="IO313" s="1"/>
      <c r="IP313" s="1"/>
      <c r="IQ313" s="1"/>
      <c r="IR313" s="1"/>
      <c r="IS313" s="1"/>
      <c r="IT313" s="1"/>
      <c r="IU313" s="1"/>
      <c r="IV313" s="1"/>
      <c r="IW313" s="1"/>
      <c r="IX313" s="1"/>
      <c r="IY313" s="1"/>
      <c r="IZ313" s="1"/>
      <c r="JA313" s="1"/>
      <c r="JB313" s="1"/>
      <c r="JC313" s="1"/>
      <c r="JD313" s="1"/>
      <c r="JE313" s="1"/>
      <c r="JF313" s="1"/>
      <c r="JG313" s="1"/>
      <c r="JH313" s="1"/>
      <c r="JI313" s="1"/>
      <c r="JJ313" s="1"/>
      <c r="JK313" s="1"/>
      <c r="JL313" s="1"/>
      <c r="JM313" s="1"/>
      <c r="JN313" s="1"/>
      <c r="JO313" s="1"/>
      <c r="JP313" s="1"/>
      <c r="JQ313" s="1"/>
      <c r="JR313" s="1"/>
      <c r="JS313" s="1"/>
      <c r="JT313" s="1"/>
      <c r="JU313" s="1"/>
      <c r="JV313" s="1"/>
      <c r="JW313" s="1"/>
      <c r="JX313" s="1"/>
      <c r="JY313" s="1"/>
      <c r="JZ313" s="1"/>
      <c r="KA313" s="1"/>
      <c r="KB313" s="1"/>
      <c r="KC313" s="1"/>
      <c r="KD313" s="1"/>
      <c r="KE313" s="1"/>
      <c r="KF313" s="1"/>
      <c r="KG313" s="1"/>
      <c r="KH313" s="1"/>
      <c r="KI313" s="1"/>
      <c r="KJ313" s="1"/>
      <c r="KK313" s="1"/>
      <c r="KL313" s="1"/>
      <c r="KM313" s="1"/>
      <c r="KN313" s="1"/>
      <c r="KO313" s="1"/>
      <c r="KP313" s="1"/>
      <c r="KQ313" s="1"/>
      <c r="KR313" s="1"/>
      <c r="KS313" s="1"/>
      <c r="KT313" s="1"/>
      <c r="KU313" s="1"/>
      <c r="KV313" s="1"/>
      <c r="KW313" s="1"/>
      <c r="KX313" s="1"/>
      <c r="KY313" s="1"/>
      <c r="KZ313" s="1"/>
      <c r="LA313" s="1"/>
      <c r="LB313" s="1"/>
      <c r="LC313" s="1"/>
      <c r="LD313" s="1"/>
      <c r="LE313" s="1"/>
      <c r="LF313" s="1"/>
      <c r="LG313" s="1"/>
      <c r="LH313" s="1"/>
      <c r="LI313" s="1"/>
      <c r="LJ313" s="1"/>
      <c r="LK313" s="1"/>
      <c r="LL313" s="1"/>
      <c r="LM313" s="1"/>
      <c r="LN313" s="1"/>
      <c r="LO313" s="1"/>
      <c r="LP313" s="1"/>
      <c r="LQ313" s="1"/>
      <c r="LR313" s="1"/>
      <c r="LS313" s="1"/>
    </row>
    <row r="314" spans="1:331" s="59" customFormat="1" x14ac:dyDescent="0.25">
      <c r="A314" s="59" t="s">
        <v>1220</v>
      </c>
      <c r="B314" s="61" t="s">
        <v>1139</v>
      </c>
      <c r="C314" s="94" t="s">
        <v>1651</v>
      </c>
      <c r="D314" s="59">
        <v>0</v>
      </c>
      <c r="H314" s="59" t="s">
        <v>1221</v>
      </c>
      <c r="I314" s="59" t="s">
        <v>1221</v>
      </c>
      <c r="J314" s="59" t="s">
        <v>1222</v>
      </c>
      <c r="K314" s="59" t="s">
        <v>1716</v>
      </c>
      <c r="L314" s="59">
        <v>2</v>
      </c>
      <c r="M314" s="59" t="s">
        <v>1223</v>
      </c>
      <c r="N314" s="59" t="s">
        <v>1224</v>
      </c>
      <c r="O314" s="59">
        <v>1</v>
      </c>
      <c r="Q314" s="96"/>
      <c r="R314" s="96" t="s">
        <v>1143</v>
      </c>
      <c r="S314" s="59">
        <v>36</v>
      </c>
      <c r="W314" s="96">
        <v>36</v>
      </c>
      <c r="X314" s="96"/>
      <c r="Y314" s="96"/>
      <c r="Z314" s="59">
        <v>11</v>
      </c>
      <c r="AA314" s="94" t="b">
        <v>1</v>
      </c>
      <c r="AB314" s="1" t="s">
        <v>1890</v>
      </c>
      <c r="AC314" s="57" t="s">
        <v>1928</v>
      </c>
      <c r="AD314" s="1"/>
      <c r="AE314" s="57"/>
      <c r="AF314" s="1"/>
      <c r="AG314" s="1"/>
      <c r="AH314" s="1"/>
      <c r="AI314" s="1"/>
      <c r="AJ314" s="1"/>
      <c r="AK314" s="1"/>
      <c r="AL314" s="1"/>
      <c r="AM314" s="1"/>
      <c r="AN314" s="1"/>
      <c r="AO314" s="1"/>
      <c r="AP314" s="1"/>
      <c r="AQ314" s="1"/>
      <c r="AR314" s="1"/>
      <c r="AS314" s="1"/>
      <c r="AT314" s="1"/>
      <c r="AU314" s="1"/>
      <c r="AV314" s="1"/>
      <c r="AW314" s="1"/>
      <c r="AX314" s="1"/>
      <c r="AY314" s="1"/>
      <c r="AZ314" s="1"/>
      <c r="BA314" s="1"/>
      <c r="BB314" s="1"/>
      <c r="BC314" s="1"/>
      <c r="BD314" s="1"/>
      <c r="BE314" s="1"/>
      <c r="BF314" s="1"/>
      <c r="BG314" s="1"/>
      <c r="BH314" s="1"/>
      <c r="BI314" s="1"/>
      <c r="BJ314" s="1"/>
      <c r="BK314" s="1"/>
      <c r="BL314" s="1"/>
      <c r="BM314" s="1"/>
      <c r="BN314" s="1"/>
      <c r="BO314" s="1"/>
      <c r="BP314" s="1"/>
      <c r="BQ314" s="1"/>
      <c r="BR314" s="1"/>
      <c r="BS314" s="1"/>
      <c r="BT314" s="1"/>
      <c r="BU314" s="1"/>
      <c r="BV314" s="1"/>
      <c r="BW314" s="1"/>
      <c r="BX314" s="1"/>
      <c r="BY314" s="1"/>
      <c r="BZ314" s="1"/>
      <c r="CA314" s="1"/>
      <c r="CB314" s="1"/>
      <c r="CC314" s="1"/>
      <c r="CD314" s="1"/>
      <c r="CE314" s="1"/>
      <c r="CF314" s="1"/>
      <c r="CG314" s="1"/>
      <c r="CH314" s="1"/>
      <c r="CI314" s="1"/>
      <c r="CJ314" s="1"/>
      <c r="CK314" s="1"/>
      <c r="CL314" s="1"/>
      <c r="CM314" s="1"/>
      <c r="CN314" s="1"/>
      <c r="CO314" s="1"/>
      <c r="CP314" s="1"/>
      <c r="CQ314" s="1"/>
      <c r="CR314" s="1"/>
      <c r="CS314" s="1"/>
      <c r="CT314" s="1"/>
      <c r="CU314" s="1"/>
      <c r="CV314" s="1"/>
      <c r="CW314" s="1"/>
      <c r="CX314" s="1"/>
      <c r="CY314" s="1"/>
      <c r="CZ314" s="1"/>
      <c r="DA314" s="1"/>
      <c r="DB314" s="1"/>
      <c r="DC314" s="1"/>
      <c r="DD314" s="1"/>
      <c r="DE314" s="1"/>
      <c r="DF314" s="1"/>
      <c r="DG314" s="1"/>
      <c r="DH314" s="1"/>
      <c r="DI314" s="1"/>
      <c r="DJ314" s="1"/>
      <c r="DK314" s="1"/>
      <c r="DL314" s="1"/>
      <c r="DM314" s="1"/>
      <c r="DN314" s="1"/>
      <c r="DO314" s="1"/>
      <c r="DP314" s="1"/>
      <c r="DQ314" s="1"/>
      <c r="DR314" s="1"/>
      <c r="DS314" s="1"/>
      <c r="DT314" s="1"/>
      <c r="DU314" s="1"/>
      <c r="DV314" s="1"/>
      <c r="DW314" s="1"/>
      <c r="DX314" s="1"/>
      <c r="DY314" s="1"/>
      <c r="DZ314" s="1"/>
      <c r="EA314" s="1"/>
      <c r="EB314" s="1"/>
      <c r="EC314" s="1"/>
      <c r="ED314" s="1"/>
      <c r="EE314" s="1"/>
      <c r="EF314" s="1"/>
      <c r="EG314" s="1"/>
      <c r="EH314" s="1"/>
      <c r="EI314" s="1"/>
      <c r="EJ314" s="1"/>
      <c r="EK314" s="1"/>
      <c r="EL314" s="1"/>
      <c r="EM314" s="1"/>
      <c r="EN314" s="1"/>
      <c r="EO314" s="1"/>
      <c r="EP314" s="1"/>
      <c r="EQ314" s="1"/>
      <c r="ER314" s="1"/>
      <c r="ES314" s="1"/>
      <c r="ET314" s="1"/>
      <c r="EU314" s="1"/>
      <c r="EV314" s="1"/>
      <c r="EW314" s="1"/>
      <c r="EX314" s="1"/>
      <c r="EY314" s="1"/>
      <c r="EZ314" s="1"/>
      <c r="FA314" s="1"/>
      <c r="FB314" s="1"/>
      <c r="FC314" s="1"/>
      <c r="FD314" s="1"/>
      <c r="FE314" s="1"/>
      <c r="FF314" s="1"/>
      <c r="FG314" s="1"/>
      <c r="FH314" s="1"/>
      <c r="FI314" s="1"/>
      <c r="FJ314" s="1"/>
      <c r="FK314" s="1"/>
      <c r="FL314" s="1"/>
      <c r="FM314" s="1"/>
      <c r="FN314" s="1"/>
      <c r="FO314" s="1"/>
      <c r="FP314" s="1"/>
      <c r="FQ314" s="1"/>
      <c r="FR314" s="1"/>
      <c r="FS314" s="1"/>
      <c r="FT314" s="1"/>
      <c r="FU314" s="1"/>
      <c r="FV314" s="1"/>
      <c r="FW314" s="1"/>
      <c r="FX314" s="1"/>
      <c r="FY314" s="1"/>
      <c r="FZ314" s="1"/>
      <c r="GA314" s="1"/>
      <c r="GB314" s="1"/>
      <c r="GC314" s="1"/>
      <c r="GD314" s="1"/>
      <c r="GE314" s="1"/>
      <c r="GF314" s="1"/>
      <c r="GG314" s="1"/>
      <c r="GH314" s="1"/>
      <c r="GI314" s="1"/>
      <c r="GJ314" s="1"/>
      <c r="GK314" s="1"/>
      <c r="GL314" s="1"/>
      <c r="GM314" s="1"/>
      <c r="GN314" s="1"/>
      <c r="GO314" s="1"/>
      <c r="GP314" s="1"/>
      <c r="GQ314" s="1"/>
      <c r="GR314" s="1"/>
      <c r="GS314" s="1"/>
      <c r="GT314" s="1"/>
      <c r="GU314" s="1"/>
      <c r="GV314" s="1"/>
      <c r="GW314" s="1"/>
      <c r="GX314" s="1"/>
      <c r="GY314" s="1"/>
      <c r="GZ314" s="1"/>
      <c r="HA314" s="1"/>
      <c r="HB314" s="1"/>
      <c r="HC314" s="1"/>
      <c r="HD314" s="1"/>
      <c r="HE314" s="1"/>
      <c r="HF314" s="1"/>
      <c r="HG314" s="1"/>
      <c r="HH314" s="1"/>
      <c r="HI314" s="1"/>
      <c r="HJ314" s="1"/>
      <c r="HK314" s="1"/>
      <c r="HL314" s="1"/>
      <c r="HM314" s="1"/>
      <c r="HN314" s="1"/>
      <c r="HO314" s="1"/>
      <c r="HP314" s="1"/>
      <c r="HQ314" s="1"/>
      <c r="HR314" s="1"/>
      <c r="HS314" s="1"/>
      <c r="HT314" s="1"/>
      <c r="HU314" s="1"/>
      <c r="HV314" s="1"/>
      <c r="HW314" s="1"/>
      <c r="HX314" s="1"/>
      <c r="HY314" s="1"/>
      <c r="HZ314" s="1"/>
      <c r="IA314" s="1"/>
      <c r="IB314" s="1"/>
      <c r="IC314" s="1"/>
      <c r="ID314" s="1"/>
      <c r="IE314" s="1"/>
      <c r="IF314" s="1"/>
      <c r="IG314" s="1"/>
      <c r="IH314" s="1"/>
      <c r="II314" s="1"/>
      <c r="IJ314" s="1"/>
      <c r="IK314" s="1"/>
      <c r="IL314" s="1"/>
      <c r="IM314" s="1"/>
      <c r="IN314" s="1"/>
      <c r="IO314" s="1"/>
      <c r="IP314" s="1"/>
      <c r="IQ314" s="1"/>
      <c r="IR314" s="1"/>
      <c r="IS314" s="1"/>
      <c r="IT314" s="1"/>
      <c r="IU314" s="1"/>
      <c r="IV314" s="1"/>
      <c r="IW314" s="1"/>
      <c r="IX314" s="1"/>
      <c r="IY314" s="1"/>
      <c r="IZ314" s="1"/>
      <c r="JA314" s="1"/>
      <c r="JB314" s="1"/>
      <c r="JC314" s="1"/>
      <c r="JD314" s="1"/>
      <c r="JE314" s="1"/>
      <c r="JF314" s="1"/>
      <c r="JG314" s="1"/>
      <c r="JH314" s="1"/>
      <c r="JI314" s="1"/>
      <c r="JJ314" s="1"/>
      <c r="JK314" s="1"/>
      <c r="JL314" s="1"/>
      <c r="JM314" s="1"/>
      <c r="JN314" s="1"/>
      <c r="JO314" s="1"/>
      <c r="JP314" s="1"/>
      <c r="JQ314" s="1"/>
      <c r="JR314" s="1"/>
      <c r="JS314" s="1"/>
      <c r="JT314" s="1"/>
      <c r="JU314" s="1"/>
      <c r="JV314" s="1"/>
      <c r="JW314" s="1"/>
      <c r="JX314" s="1"/>
      <c r="JY314" s="1"/>
      <c r="JZ314" s="1"/>
      <c r="KA314" s="1"/>
      <c r="KB314" s="1"/>
      <c r="KC314" s="1"/>
      <c r="KD314" s="1"/>
      <c r="KE314" s="1"/>
      <c r="KF314" s="1"/>
      <c r="KG314" s="1"/>
      <c r="KH314" s="1"/>
      <c r="KI314" s="1"/>
      <c r="KJ314" s="1"/>
      <c r="KK314" s="1"/>
      <c r="KL314" s="1"/>
      <c r="KM314" s="1"/>
      <c r="KN314" s="1"/>
      <c r="KO314" s="1"/>
      <c r="KP314" s="1"/>
      <c r="KQ314" s="1"/>
      <c r="KR314" s="1"/>
      <c r="KS314" s="1"/>
      <c r="KT314" s="1"/>
      <c r="KU314" s="1"/>
      <c r="KV314" s="1"/>
      <c r="KW314" s="1"/>
      <c r="KX314" s="1"/>
      <c r="KY314" s="1"/>
      <c r="KZ314" s="1"/>
      <c r="LA314" s="1"/>
      <c r="LB314" s="1"/>
      <c r="LC314" s="1"/>
      <c r="LD314" s="1"/>
      <c r="LE314" s="1"/>
      <c r="LF314" s="1"/>
      <c r="LG314" s="1"/>
      <c r="LH314" s="1"/>
      <c r="LI314" s="1"/>
      <c r="LJ314" s="1"/>
      <c r="LK314" s="1"/>
      <c r="LL314" s="1"/>
      <c r="LM314" s="1"/>
      <c r="LN314" s="1"/>
      <c r="LO314" s="1"/>
      <c r="LP314" s="1"/>
      <c r="LQ314" s="1"/>
      <c r="LR314" s="1"/>
      <c r="LS314" s="1"/>
    </row>
    <row r="315" spans="1:331" s="3" customFormat="1" x14ac:dyDescent="0.25">
      <c r="A315" s="3" t="s">
        <v>1225</v>
      </c>
      <c r="B315" s="5" t="s">
        <v>1226</v>
      </c>
      <c r="C315" s="94" t="s">
        <v>1651</v>
      </c>
      <c r="D315" s="3">
        <v>0</v>
      </c>
      <c r="H315" s="3" t="s">
        <v>1227</v>
      </c>
      <c r="I315" s="3" t="s">
        <v>1227</v>
      </c>
      <c r="J315" s="3" t="s">
        <v>1228</v>
      </c>
      <c r="K315" s="3" t="s">
        <v>1227</v>
      </c>
      <c r="L315" s="3">
        <v>1</v>
      </c>
      <c r="M315" s="3" t="s">
        <v>1229</v>
      </c>
      <c r="O315" s="3">
        <v>1</v>
      </c>
      <c r="P315" s="3" t="s">
        <v>1230</v>
      </c>
      <c r="Q315" s="96" t="s">
        <v>1624</v>
      </c>
      <c r="R315" s="96"/>
      <c r="S315" s="3">
        <v>8</v>
      </c>
      <c r="U315" s="3">
        <v>10</v>
      </c>
      <c r="W315" s="96">
        <v>8</v>
      </c>
      <c r="X315" s="96"/>
      <c r="Y315" s="96"/>
      <c r="Z315" s="3">
        <v>1</v>
      </c>
      <c r="AA315" s="94" t="b">
        <v>1</v>
      </c>
      <c r="AB315" s="1"/>
      <c r="AC315" s="57" t="s">
        <v>1379</v>
      </c>
      <c r="AD315" s="1"/>
      <c r="AE315" s="57"/>
      <c r="AF315" s="1"/>
      <c r="AG315" s="1"/>
      <c r="AH315" s="1"/>
      <c r="AI315" s="1"/>
      <c r="AJ315" s="1"/>
      <c r="AK315" s="1"/>
      <c r="AL315" s="1"/>
      <c r="AM315" s="1"/>
      <c r="AN315" s="1"/>
      <c r="AO315" s="1"/>
      <c r="AP315" s="1"/>
      <c r="AQ315" s="1"/>
      <c r="AR315" s="1"/>
      <c r="AS315" s="1"/>
      <c r="AT315" s="1"/>
      <c r="AU315" s="1"/>
      <c r="AV315" s="1"/>
      <c r="AW315" s="1"/>
      <c r="AX315" s="1"/>
      <c r="AY315" s="1"/>
      <c r="AZ315" s="1"/>
      <c r="BA315" s="1"/>
      <c r="BB315" s="1"/>
      <c r="BC315" s="1"/>
      <c r="BD315" s="1"/>
      <c r="BE315" s="1"/>
      <c r="BF315" s="1"/>
      <c r="BG315" s="1"/>
      <c r="BH315" s="1"/>
      <c r="BI315" s="1"/>
      <c r="BJ315" s="1"/>
      <c r="BK315" s="1"/>
      <c r="BL315" s="1"/>
      <c r="BM315" s="1"/>
      <c r="BN315" s="1"/>
      <c r="BO315" s="1"/>
      <c r="BP315" s="1"/>
      <c r="BQ315" s="1"/>
      <c r="BR315" s="1"/>
      <c r="BS315" s="1"/>
      <c r="BT315" s="1"/>
      <c r="BU315" s="1"/>
      <c r="BV315" s="1"/>
      <c r="BW315" s="1"/>
      <c r="BX315" s="1"/>
      <c r="BY315" s="1"/>
      <c r="BZ315" s="1"/>
      <c r="CA315" s="1"/>
      <c r="CB315" s="1"/>
      <c r="CC315" s="1"/>
      <c r="CD315" s="1"/>
      <c r="CE315" s="1"/>
      <c r="CF315" s="1"/>
      <c r="CG315" s="1"/>
      <c r="CH315" s="1"/>
      <c r="CI315" s="1"/>
      <c r="CJ315" s="1"/>
      <c r="CK315" s="1"/>
      <c r="CL315" s="1"/>
      <c r="CM315" s="1"/>
      <c r="CN315" s="1"/>
      <c r="CO315" s="1"/>
      <c r="CP315" s="1"/>
      <c r="CQ315" s="1"/>
      <c r="CR315" s="1"/>
      <c r="CS315" s="1"/>
      <c r="CT315" s="1"/>
      <c r="CU315" s="1"/>
      <c r="CV315" s="1"/>
      <c r="CW315" s="1"/>
      <c r="CX315" s="1"/>
      <c r="CY315" s="1"/>
      <c r="CZ315" s="1"/>
      <c r="DA315" s="1"/>
      <c r="DB315" s="1"/>
      <c r="DC315" s="1"/>
      <c r="DD315" s="1"/>
      <c r="DE315" s="1"/>
      <c r="DF315" s="1"/>
      <c r="DG315" s="1"/>
      <c r="DH315" s="1"/>
      <c r="DI315" s="1"/>
      <c r="DJ315" s="1"/>
      <c r="DK315" s="1"/>
      <c r="DL315" s="1"/>
      <c r="DM315" s="1"/>
      <c r="DN315" s="1"/>
      <c r="DO315" s="1"/>
      <c r="DP315" s="1"/>
      <c r="DQ315" s="1"/>
      <c r="DR315" s="1"/>
      <c r="DS315" s="1"/>
      <c r="DT315" s="1"/>
      <c r="DU315" s="1"/>
      <c r="DV315" s="1"/>
      <c r="DW315" s="1"/>
      <c r="DX315" s="1"/>
      <c r="DY315" s="1"/>
      <c r="DZ315" s="1"/>
      <c r="EA315" s="1"/>
      <c r="EB315" s="1"/>
      <c r="EC315" s="1"/>
      <c r="ED315" s="1"/>
      <c r="EE315" s="1"/>
      <c r="EF315" s="1"/>
      <c r="EG315" s="1"/>
      <c r="EH315" s="1"/>
      <c r="EI315" s="1"/>
      <c r="EJ315" s="1"/>
      <c r="EK315" s="1"/>
      <c r="EL315" s="1"/>
      <c r="EM315" s="1"/>
      <c r="EN315" s="1"/>
      <c r="EO315" s="1"/>
      <c r="EP315" s="1"/>
      <c r="EQ315" s="1"/>
      <c r="ER315" s="1"/>
      <c r="ES315" s="1"/>
      <c r="ET315" s="1"/>
      <c r="EU315" s="1"/>
      <c r="EV315" s="1"/>
      <c r="EW315" s="1"/>
      <c r="EX315" s="1"/>
      <c r="EY315" s="1"/>
      <c r="EZ315" s="1"/>
      <c r="FA315" s="1"/>
      <c r="FB315" s="1"/>
      <c r="FC315" s="1"/>
      <c r="FD315" s="1"/>
      <c r="FE315" s="1"/>
      <c r="FF315" s="1"/>
      <c r="FG315" s="1"/>
      <c r="FH315" s="1"/>
      <c r="FI315" s="1"/>
      <c r="FJ315" s="1"/>
      <c r="FK315" s="1"/>
      <c r="FL315" s="1"/>
      <c r="FM315" s="1"/>
      <c r="FN315" s="1"/>
      <c r="FO315" s="1"/>
      <c r="FP315" s="1"/>
      <c r="FQ315" s="1"/>
      <c r="FR315" s="1"/>
      <c r="FS315" s="1"/>
      <c r="FT315" s="1"/>
      <c r="FU315" s="1"/>
      <c r="FV315" s="1"/>
      <c r="FW315" s="1"/>
      <c r="FX315" s="1"/>
      <c r="FY315" s="1"/>
      <c r="FZ315" s="1"/>
      <c r="GA315" s="1"/>
      <c r="GB315" s="1"/>
      <c r="GC315" s="1"/>
      <c r="GD315" s="1"/>
      <c r="GE315" s="1"/>
      <c r="GF315" s="1"/>
      <c r="GG315" s="1"/>
      <c r="GH315" s="1"/>
      <c r="GI315" s="1"/>
      <c r="GJ315" s="1"/>
      <c r="GK315" s="1"/>
      <c r="GL315" s="1"/>
      <c r="GM315" s="1"/>
      <c r="GN315" s="1"/>
      <c r="GO315" s="1"/>
      <c r="GP315" s="1"/>
      <c r="GQ315" s="1"/>
      <c r="GR315" s="1"/>
      <c r="GS315" s="1"/>
      <c r="GT315" s="1"/>
      <c r="GU315" s="1"/>
      <c r="GV315" s="1"/>
      <c r="GW315" s="1"/>
      <c r="GX315" s="1"/>
      <c r="GY315" s="1"/>
      <c r="GZ315" s="1"/>
      <c r="HA315" s="1"/>
      <c r="HB315" s="1"/>
      <c r="HC315" s="1"/>
      <c r="HD315" s="1"/>
      <c r="HE315" s="1"/>
      <c r="HF315" s="1"/>
      <c r="HG315" s="1"/>
      <c r="HH315" s="1"/>
      <c r="HI315" s="1"/>
      <c r="HJ315" s="1"/>
      <c r="HK315" s="1"/>
      <c r="HL315" s="1"/>
      <c r="HM315" s="1"/>
      <c r="HN315" s="1"/>
      <c r="HO315" s="1"/>
      <c r="HP315" s="1"/>
      <c r="HQ315" s="1"/>
      <c r="HR315" s="1"/>
      <c r="HS315" s="1"/>
      <c r="HT315" s="1"/>
      <c r="HU315" s="1"/>
      <c r="HV315" s="1"/>
      <c r="HW315" s="1"/>
      <c r="HX315" s="1"/>
      <c r="HY315" s="1"/>
      <c r="HZ315" s="1"/>
      <c r="IA315" s="1"/>
      <c r="IB315" s="1"/>
      <c r="IC315" s="1"/>
      <c r="ID315" s="1"/>
      <c r="IE315" s="1"/>
      <c r="IF315" s="1"/>
      <c r="IG315" s="1"/>
      <c r="IH315" s="1"/>
      <c r="II315" s="1"/>
      <c r="IJ315" s="1"/>
      <c r="IK315" s="1"/>
      <c r="IL315" s="1"/>
      <c r="IM315" s="1"/>
      <c r="IN315" s="1"/>
      <c r="IO315" s="1"/>
      <c r="IP315" s="1"/>
      <c r="IQ315" s="1"/>
      <c r="IR315" s="1"/>
      <c r="IS315" s="1"/>
      <c r="IT315" s="1"/>
      <c r="IU315" s="1"/>
      <c r="IV315" s="1"/>
      <c r="IW315" s="1"/>
      <c r="IX315" s="1"/>
      <c r="IY315" s="1"/>
      <c r="IZ315" s="1"/>
      <c r="JA315" s="1"/>
      <c r="JB315" s="1"/>
      <c r="JC315" s="1"/>
      <c r="JD315" s="1"/>
      <c r="JE315" s="1"/>
      <c r="JF315" s="1"/>
      <c r="JG315" s="1"/>
      <c r="JH315" s="1"/>
      <c r="JI315" s="1"/>
      <c r="JJ315" s="1"/>
      <c r="JK315" s="1"/>
      <c r="JL315" s="1"/>
      <c r="JM315" s="1"/>
      <c r="JN315" s="1"/>
      <c r="JO315" s="1"/>
      <c r="JP315" s="1"/>
      <c r="JQ315" s="1"/>
      <c r="JR315" s="1"/>
      <c r="JS315" s="1"/>
      <c r="JT315" s="1"/>
      <c r="JU315" s="1"/>
      <c r="JV315" s="1"/>
      <c r="JW315" s="1"/>
      <c r="JX315" s="1"/>
      <c r="JY315" s="1"/>
      <c r="JZ315" s="1"/>
      <c r="KA315" s="1"/>
      <c r="KB315" s="1"/>
      <c r="KC315" s="1"/>
      <c r="KD315" s="1"/>
      <c r="KE315" s="1"/>
      <c r="KF315" s="1"/>
      <c r="KG315" s="1"/>
      <c r="KH315" s="1"/>
      <c r="KI315" s="1"/>
      <c r="KJ315" s="1"/>
      <c r="KK315" s="1"/>
      <c r="KL315" s="1"/>
      <c r="KM315" s="1"/>
      <c r="KN315" s="1"/>
      <c r="KO315" s="1"/>
      <c r="KP315" s="1"/>
      <c r="KQ315" s="1"/>
      <c r="KR315" s="1"/>
      <c r="KS315" s="1"/>
      <c r="KT315" s="1"/>
      <c r="KU315" s="1"/>
      <c r="KV315" s="1"/>
      <c r="KW315" s="1"/>
      <c r="KX315" s="1"/>
      <c r="KY315" s="1"/>
      <c r="KZ315" s="1"/>
      <c r="LA315" s="1"/>
      <c r="LB315" s="1"/>
      <c r="LC315" s="1"/>
      <c r="LD315" s="1"/>
      <c r="LE315" s="1"/>
      <c r="LF315" s="1"/>
      <c r="LG315" s="1"/>
      <c r="LH315" s="1"/>
      <c r="LI315" s="1"/>
      <c r="LJ315" s="1"/>
      <c r="LK315" s="1"/>
      <c r="LL315" s="1"/>
      <c r="LM315" s="1"/>
      <c r="LN315" s="1"/>
      <c r="LO315" s="1"/>
      <c r="LP315" s="1"/>
      <c r="LQ315" s="1"/>
      <c r="LR315" s="1"/>
      <c r="LS315" s="1"/>
    </row>
    <row r="316" spans="1:331" s="46" customFormat="1" x14ac:dyDescent="0.25">
      <c r="A316" s="45" t="s">
        <v>261</v>
      </c>
      <c r="C316" s="96" t="s">
        <v>1783</v>
      </c>
      <c r="Q316" s="103"/>
      <c r="R316" s="103"/>
      <c r="W316" s="103"/>
      <c r="X316" s="103"/>
      <c r="Y316" s="103"/>
      <c r="Z316" s="45">
        <v>-1</v>
      </c>
      <c r="AA316" s="97" t="b">
        <v>0</v>
      </c>
      <c r="AB316" s="1"/>
      <c r="AC316" s="57" t="s">
        <v>1784</v>
      </c>
      <c r="AD316"/>
      <c r="AE316"/>
      <c r="AF316"/>
      <c r="AG316"/>
      <c r="AH316"/>
      <c r="AI316"/>
      <c r="AJ316"/>
      <c r="AK316"/>
      <c r="AL316"/>
      <c r="AM316"/>
      <c r="AN316"/>
      <c r="AO316"/>
      <c r="AP316"/>
      <c r="AQ316"/>
      <c r="AR316"/>
      <c r="AS316"/>
      <c r="AT316"/>
      <c r="AU316"/>
      <c r="AV316"/>
      <c r="AW316"/>
      <c r="AX316"/>
      <c r="AY316"/>
      <c r="AZ316"/>
      <c r="BA316"/>
      <c r="BB316"/>
      <c r="BC316"/>
      <c r="BD316"/>
      <c r="BE316"/>
      <c r="BF316"/>
      <c r="BG316"/>
      <c r="BH316"/>
      <c r="BI316"/>
      <c r="BJ316"/>
      <c r="BK316"/>
      <c r="BL316"/>
      <c r="BM316"/>
      <c r="BN316"/>
      <c r="BO316"/>
      <c r="BP316"/>
      <c r="BQ316"/>
      <c r="BR316"/>
      <c r="BS316"/>
      <c r="BT316"/>
      <c r="BU316"/>
      <c r="BV316"/>
    </row>
    <row r="317" spans="1:331" s="45" customFormat="1" x14ac:dyDescent="0.25">
      <c r="A317" s="45" t="s">
        <v>1749</v>
      </c>
      <c r="B317" s="45">
        <v>716372</v>
      </c>
      <c r="C317" s="96" t="s">
        <v>1783</v>
      </c>
      <c r="D317" s="45">
        <v>1</v>
      </c>
      <c r="E317" s="45" t="s">
        <v>703</v>
      </c>
      <c r="H317" s="45" t="s">
        <v>703</v>
      </c>
      <c r="I317" s="45" t="s">
        <v>703</v>
      </c>
      <c r="J317" s="45" t="s">
        <v>703</v>
      </c>
      <c r="K317" s="45" t="s">
        <v>703</v>
      </c>
      <c r="L317" s="45">
        <v>1</v>
      </c>
      <c r="M317" s="45" t="s">
        <v>699</v>
      </c>
      <c r="O317" s="45">
        <v>1</v>
      </c>
      <c r="P317" s="45" t="s">
        <v>699</v>
      </c>
      <c r="Q317" s="94" t="s">
        <v>1952</v>
      </c>
      <c r="R317" s="96"/>
      <c r="T317" s="45">
        <v>37</v>
      </c>
      <c r="W317" s="96">
        <v>37</v>
      </c>
      <c r="X317" s="96"/>
      <c r="Y317" s="96"/>
      <c r="Z317" s="45">
        <v>-1</v>
      </c>
      <c r="AA317" s="94" t="b">
        <v>0</v>
      </c>
      <c r="AB317" s="1"/>
      <c r="AC317" s="57" t="s">
        <v>1953</v>
      </c>
      <c r="AD317" s="1"/>
      <c r="AE317" s="1" t="s">
        <v>1837</v>
      </c>
      <c r="AF317" s="1"/>
      <c r="AG317" s="1"/>
      <c r="AH317" s="1"/>
      <c r="AI317" s="1"/>
      <c r="AJ317" s="1"/>
      <c r="AK317" s="1"/>
      <c r="AL317" s="1"/>
      <c r="AM317" s="1"/>
      <c r="AN317" s="1"/>
      <c r="AO317" s="1"/>
      <c r="AP317" s="1"/>
      <c r="AQ317" s="1"/>
      <c r="AR317" s="1"/>
      <c r="AS317" s="1"/>
      <c r="AT317" s="1"/>
      <c r="AU317" s="1"/>
      <c r="AV317" s="1"/>
      <c r="AW317" s="1"/>
      <c r="AX317" s="1"/>
      <c r="AY317" s="1"/>
      <c r="AZ317" s="1"/>
      <c r="BA317" s="1"/>
      <c r="BB317" s="1"/>
      <c r="BC317" s="1"/>
      <c r="BD317" s="1"/>
      <c r="BE317" s="1"/>
      <c r="BF317" s="1"/>
      <c r="BG317" s="1"/>
      <c r="BH317" s="1"/>
      <c r="BI317" s="1"/>
      <c r="BJ317" s="1"/>
      <c r="BK317" s="1"/>
      <c r="BL317" s="1"/>
      <c r="BM317" s="1"/>
      <c r="BN317" s="1"/>
      <c r="BO317" s="1"/>
      <c r="BP317" s="1"/>
      <c r="BQ317" s="1"/>
      <c r="BR317" s="1"/>
      <c r="BS317" s="1"/>
      <c r="BT317" s="1"/>
      <c r="BU317" s="1"/>
      <c r="BV317" s="1"/>
    </row>
    <row r="318" spans="1:331" s="45" customFormat="1" x14ac:dyDescent="0.25">
      <c r="A318" s="45" t="s">
        <v>1750</v>
      </c>
      <c r="B318" s="45">
        <v>713606</v>
      </c>
      <c r="C318" s="96" t="s">
        <v>1783</v>
      </c>
      <c r="D318" s="45">
        <v>0</v>
      </c>
      <c r="H318" s="45" t="s">
        <v>703</v>
      </c>
      <c r="I318" s="45" t="s">
        <v>136</v>
      </c>
      <c r="L318" s="45">
        <v>2</v>
      </c>
      <c r="M318" s="45" t="s">
        <v>696</v>
      </c>
      <c r="N318" s="45" t="s">
        <v>696</v>
      </c>
      <c r="O318" s="45">
        <v>1</v>
      </c>
      <c r="Q318" s="96"/>
      <c r="R318" s="96" t="s">
        <v>1328</v>
      </c>
      <c r="W318" s="96"/>
      <c r="X318" s="96"/>
      <c r="Y318" s="96"/>
      <c r="Z318" s="45">
        <v>-1</v>
      </c>
      <c r="AA318" s="94" t="b">
        <v>0</v>
      </c>
      <c r="AB318" s="1"/>
      <c r="AC318" s="57" t="s">
        <v>1838</v>
      </c>
      <c r="AD318" s="1"/>
      <c r="AE318" s="57" t="s">
        <v>1839</v>
      </c>
      <c r="AF318" s="1"/>
      <c r="AG318" s="1"/>
      <c r="AH318" s="1"/>
      <c r="AI318" s="1"/>
      <c r="AJ318" s="1"/>
      <c r="AK318" s="1"/>
      <c r="AL318" s="1"/>
      <c r="AM318" s="1"/>
      <c r="AN318" s="1"/>
      <c r="AO318" s="1"/>
      <c r="AP318" s="1"/>
      <c r="AQ318" s="1"/>
      <c r="AR318" s="1"/>
      <c r="AS318" s="1"/>
      <c r="AT318" s="1"/>
      <c r="AU318" s="1"/>
      <c r="AV318" s="1"/>
      <c r="AW318" s="1"/>
      <c r="AX318" s="1"/>
      <c r="AY318" s="1"/>
      <c r="AZ318" s="1"/>
      <c r="BA318" s="1"/>
      <c r="BB318" s="1"/>
      <c r="BC318" s="1"/>
      <c r="BD318" s="1"/>
      <c r="BE318" s="1"/>
      <c r="BF318" s="1"/>
      <c r="BG318" s="1"/>
      <c r="BH318" s="1"/>
      <c r="BI318" s="1"/>
      <c r="BJ318" s="1"/>
      <c r="BK318" s="1"/>
      <c r="BL318" s="1"/>
      <c r="BM318" s="1"/>
      <c r="BN318" s="1"/>
      <c r="BO318" s="1"/>
      <c r="BP318" s="1"/>
      <c r="BQ318" s="1"/>
      <c r="BR318" s="1"/>
      <c r="BS318" s="1"/>
      <c r="BT318" s="1"/>
      <c r="BU318" s="1"/>
      <c r="BV318" s="1"/>
    </row>
    <row r="319" spans="1:331" s="45" customFormat="1" x14ac:dyDescent="0.25">
      <c r="A319" s="45" t="s">
        <v>1751</v>
      </c>
      <c r="B319" s="45">
        <v>407709</v>
      </c>
      <c r="C319" s="96" t="s">
        <v>1783</v>
      </c>
      <c r="D319" s="45">
        <v>1</v>
      </c>
      <c r="E319" s="45" t="s">
        <v>1561</v>
      </c>
      <c r="H319" s="45" t="s">
        <v>720</v>
      </c>
      <c r="I319" s="45" t="s">
        <v>1561</v>
      </c>
      <c r="J319" s="45" t="s">
        <v>720</v>
      </c>
      <c r="K319" s="45" t="s">
        <v>1561</v>
      </c>
      <c r="L319" s="45">
        <v>0</v>
      </c>
      <c r="O319" s="45">
        <v>0</v>
      </c>
      <c r="Q319" s="96" t="s">
        <v>1752</v>
      </c>
      <c r="R319" s="96"/>
      <c r="W319" s="96"/>
      <c r="X319" s="96"/>
      <c r="Y319" s="96"/>
      <c r="Z319" s="45">
        <v>-1</v>
      </c>
      <c r="AA319" s="94" t="b">
        <v>0</v>
      </c>
      <c r="AB319" s="1"/>
      <c r="AC319" s="57" t="s">
        <v>1918</v>
      </c>
      <c r="AD319" s="1"/>
      <c r="AE319" s="57" t="s">
        <v>1840</v>
      </c>
      <c r="AF319" s="1"/>
      <c r="AG319" s="1"/>
      <c r="AH319" s="1"/>
      <c r="AI319" s="1"/>
      <c r="AJ319" s="1"/>
      <c r="AK319" s="1"/>
      <c r="AL319" s="1"/>
      <c r="AM319" s="1"/>
      <c r="AN319" s="1"/>
      <c r="AO319" s="1"/>
      <c r="AP319" s="1"/>
      <c r="AQ319" s="1"/>
      <c r="AR319" s="1"/>
      <c r="AS319" s="1"/>
      <c r="AT319" s="1"/>
      <c r="AU319" s="1"/>
      <c r="AV319" s="1"/>
      <c r="AW319" s="1"/>
      <c r="AX319" s="1"/>
      <c r="AY319" s="1"/>
      <c r="AZ319" s="1"/>
      <c r="BA319" s="1"/>
      <c r="BB319" s="1"/>
      <c r="BC319" s="1"/>
      <c r="BD319" s="1"/>
      <c r="BE319" s="1"/>
      <c r="BF319" s="1"/>
      <c r="BG319" s="1"/>
      <c r="BH319" s="1"/>
      <c r="BI319" s="1"/>
      <c r="BJ319" s="1"/>
      <c r="BK319" s="1"/>
      <c r="BL319" s="1"/>
      <c r="BM319" s="1"/>
      <c r="BN319" s="1"/>
      <c r="BO319" s="1"/>
      <c r="BP319" s="1"/>
      <c r="BQ319" s="1"/>
      <c r="BR319" s="1"/>
      <c r="BS319" s="1"/>
      <c r="BT319" s="1"/>
      <c r="BU319" s="1"/>
      <c r="BV319" s="1"/>
    </row>
    <row r="320" spans="1:331" s="18" customFormat="1" ht="15.75" x14ac:dyDescent="0.25">
      <c r="A320" s="18" t="s">
        <v>1753</v>
      </c>
      <c r="B320" s="18">
        <v>224454</v>
      </c>
      <c r="C320" s="101" t="s">
        <v>1783</v>
      </c>
      <c r="D320" s="18">
        <v>1</v>
      </c>
      <c r="E320" s="18" t="s">
        <v>1754</v>
      </c>
      <c r="H320" s="18" t="s">
        <v>1754</v>
      </c>
      <c r="I320" s="18" t="s">
        <v>1754</v>
      </c>
      <c r="J320" s="82" t="s">
        <v>1754</v>
      </c>
      <c r="K320" s="18" t="s">
        <v>1754</v>
      </c>
      <c r="L320" s="18">
        <v>1</v>
      </c>
      <c r="M320" s="18" t="s">
        <v>1755</v>
      </c>
      <c r="O320" s="18">
        <v>1</v>
      </c>
      <c r="P320" s="18" t="s">
        <v>1756</v>
      </c>
      <c r="Q320" s="101" t="s">
        <v>1757</v>
      </c>
      <c r="R320" s="101"/>
      <c r="S320" s="18">
        <v>17.8</v>
      </c>
      <c r="U320" s="18">
        <v>11</v>
      </c>
      <c r="W320" s="101">
        <v>18</v>
      </c>
      <c r="X320" s="101"/>
      <c r="Y320" s="101"/>
      <c r="Z320" s="18">
        <v>3</v>
      </c>
      <c r="AA320" s="98" t="b">
        <v>1</v>
      </c>
      <c r="AB320" s="84"/>
      <c r="AC320" s="86" t="s">
        <v>1945</v>
      </c>
      <c r="AD320" s="84"/>
      <c r="AE320" s="86" t="s">
        <v>1841</v>
      </c>
      <c r="AF320" s="84"/>
      <c r="AG320" s="84"/>
      <c r="AH320" s="84"/>
      <c r="AI320" s="84"/>
      <c r="AJ320" s="84"/>
      <c r="AK320" s="84"/>
      <c r="AL320" s="84"/>
      <c r="AM320" s="84"/>
      <c r="AN320" s="84"/>
      <c r="AO320" s="84"/>
      <c r="AP320" s="84"/>
      <c r="AQ320" s="84"/>
      <c r="AR320" s="84"/>
      <c r="AS320" s="84"/>
      <c r="AT320" s="84"/>
      <c r="AU320" s="84"/>
      <c r="AV320" s="84"/>
      <c r="AW320" s="84"/>
      <c r="AX320" s="84"/>
      <c r="AY320" s="84"/>
      <c r="AZ320" s="84"/>
      <c r="BA320" s="84"/>
      <c r="BB320" s="84"/>
      <c r="BC320" s="84"/>
      <c r="BD320" s="84"/>
      <c r="BE320" s="84"/>
      <c r="BF320" s="84"/>
      <c r="BG320" s="84"/>
      <c r="BH320" s="84"/>
      <c r="BI320" s="84"/>
      <c r="BJ320" s="84"/>
      <c r="BK320" s="84"/>
      <c r="BL320" s="84"/>
      <c r="BM320" s="84"/>
      <c r="BN320" s="84"/>
      <c r="BO320" s="84"/>
      <c r="BP320" s="84"/>
      <c r="BQ320" s="84"/>
      <c r="BR320" s="84"/>
      <c r="BS320" s="84"/>
      <c r="BT320" s="84"/>
      <c r="BU320" s="84"/>
      <c r="BV320" s="84"/>
    </row>
    <row r="321" spans="1:74" s="45" customFormat="1" x14ac:dyDescent="0.25">
      <c r="A321" s="45" t="s">
        <v>1758</v>
      </c>
      <c r="B321" s="45">
        <v>233824</v>
      </c>
      <c r="C321" s="96" t="s">
        <v>1783</v>
      </c>
      <c r="D321" s="45">
        <v>0</v>
      </c>
      <c r="H321" s="45" t="s">
        <v>1509</v>
      </c>
      <c r="I321" s="45" t="s">
        <v>1563</v>
      </c>
      <c r="J321" s="45" t="s">
        <v>1508</v>
      </c>
      <c r="K321" s="45" t="s">
        <v>1563</v>
      </c>
      <c r="L321" s="45">
        <v>3</v>
      </c>
      <c r="M321" s="45" t="s">
        <v>1759</v>
      </c>
      <c r="N321" s="45" t="s">
        <v>1756</v>
      </c>
      <c r="O321" s="45">
        <v>1</v>
      </c>
      <c r="P321" s="45" t="s">
        <v>1760</v>
      </c>
      <c r="Q321" s="96" t="s">
        <v>1761</v>
      </c>
      <c r="R321" s="96"/>
      <c r="S321" s="45">
        <v>11</v>
      </c>
      <c r="W321" s="96">
        <v>11</v>
      </c>
      <c r="X321" s="96"/>
      <c r="Y321" s="96"/>
      <c r="Z321" s="45">
        <v>-1</v>
      </c>
      <c r="AA321" s="94" t="b">
        <v>0</v>
      </c>
      <c r="AB321" s="1"/>
      <c r="AC321" s="57" t="s">
        <v>1954</v>
      </c>
      <c r="AD321" s="1"/>
      <c r="AE321" s="57" t="s">
        <v>1842</v>
      </c>
      <c r="AF321" s="1"/>
      <c r="AG321" s="1"/>
      <c r="AH321" s="1"/>
      <c r="AI321" s="1"/>
      <c r="AJ321" s="1"/>
      <c r="AK321" s="1"/>
      <c r="AL321" s="1"/>
      <c r="AM321" s="1"/>
      <c r="AN321" s="1"/>
      <c r="AO321" s="1"/>
      <c r="AP321" s="1"/>
      <c r="AQ321" s="1"/>
      <c r="AR321" s="1"/>
      <c r="AS321" s="1"/>
      <c r="AT321" s="1"/>
      <c r="AU321" s="1"/>
      <c r="AV321" s="1"/>
      <c r="AW321" s="1"/>
      <c r="AX321" s="1"/>
      <c r="AY321" s="1"/>
      <c r="AZ321" s="1"/>
      <c r="BA321" s="1"/>
      <c r="BB321" s="1"/>
      <c r="BC321" s="1"/>
      <c r="BD321" s="1"/>
      <c r="BE321" s="1"/>
      <c r="BF321" s="1"/>
      <c r="BG321" s="1"/>
      <c r="BH321" s="1"/>
      <c r="BI321" s="1"/>
      <c r="BJ321" s="1"/>
      <c r="BK321" s="1"/>
      <c r="BL321" s="1"/>
      <c r="BM321" s="1"/>
      <c r="BN321" s="1"/>
      <c r="BO321" s="1"/>
      <c r="BP321" s="1"/>
      <c r="BQ321" s="1"/>
      <c r="BR321" s="1"/>
      <c r="BS321" s="1"/>
      <c r="BT321" s="1"/>
      <c r="BU321" s="1"/>
      <c r="BV321" s="1"/>
    </row>
    <row r="322" spans="1:74" s="18" customFormat="1" ht="15.75" x14ac:dyDescent="0.25">
      <c r="A322" s="18" t="s">
        <v>1762</v>
      </c>
      <c r="B322" s="18" t="s">
        <v>1835</v>
      </c>
      <c r="C322" s="101" t="s">
        <v>1783</v>
      </c>
      <c r="D322" s="18">
        <v>1</v>
      </c>
      <c r="E322" s="18" t="s">
        <v>1508</v>
      </c>
      <c r="H322" s="18" t="s">
        <v>1752</v>
      </c>
      <c r="I322" s="18" t="s">
        <v>1508</v>
      </c>
      <c r="J322" s="18" t="s">
        <v>1763</v>
      </c>
      <c r="K322" s="18" t="s">
        <v>1752</v>
      </c>
      <c r="L322" s="18">
        <v>1</v>
      </c>
      <c r="M322" s="18" t="s">
        <v>1764</v>
      </c>
      <c r="O322" s="18">
        <v>1</v>
      </c>
      <c r="Q322" s="101" t="s">
        <v>1765</v>
      </c>
      <c r="R322" s="101"/>
      <c r="S322" s="18">
        <v>12</v>
      </c>
      <c r="U322" s="18">
        <v>13</v>
      </c>
      <c r="W322" s="101">
        <v>12</v>
      </c>
      <c r="X322" s="101"/>
      <c r="Y322" s="101"/>
      <c r="Z322" s="18">
        <v>3</v>
      </c>
      <c r="AA322" s="98" t="b">
        <v>1</v>
      </c>
      <c r="AB322" s="84" t="s">
        <v>1895</v>
      </c>
      <c r="AC322" s="86" t="s">
        <v>1955</v>
      </c>
      <c r="AD322" s="84"/>
      <c r="AE322" s="86" t="s">
        <v>1843</v>
      </c>
      <c r="AF322" s="84"/>
      <c r="AG322" s="84"/>
      <c r="AH322" s="84"/>
      <c r="AI322" s="84"/>
      <c r="AJ322" s="84"/>
      <c r="AK322" s="84"/>
      <c r="AL322" s="84"/>
      <c r="AM322" s="84"/>
      <c r="AN322" s="84"/>
      <c r="AO322" s="84"/>
      <c r="AP322" s="84"/>
      <c r="AQ322" s="84"/>
      <c r="AR322" s="84"/>
      <c r="AS322" s="84"/>
      <c r="AT322" s="84"/>
      <c r="AU322" s="84"/>
      <c r="AV322" s="84"/>
      <c r="AW322" s="84"/>
      <c r="AX322" s="84"/>
      <c r="AY322" s="84"/>
      <c r="AZ322" s="84"/>
      <c r="BA322" s="84"/>
      <c r="BB322" s="84"/>
      <c r="BC322" s="84"/>
      <c r="BD322" s="84"/>
      <c r="BE322" s="84"/>
      <c r="BF322" s="84"/>
      <c r="BG322" s="84"/>
      <c r="BH322" s="84"/>
      <c r="BI322" s="84"/>
      <c r="BJ322" s="84"/>
      <c r="BK322" s="84"/>
      <c r="BL322" s="84"/>
      <c r="BM322" s="84"/>
      <c r="BN322" s="84"/>
      <c r="BO322" s="84"/>
      <c r="BP322" s="84"/>
      <c r="BQ322" s="84"/>
      <c r="BR322" s="84"/>
      <c r="BS322" s="84"/>
      <c r="BT322" s="84"/>
      <c r="BU322" s="84"/>
      <c r="BV322" s="84"/>
    </row>
    <row r="323" spans="1:74" s="45" customFormat="1" x14ac:dyDescent="0.25">
      <c r="A323" s="45" t="s">
        <v>1766</v>
      </c>
      <c r="B323" s="45">
        <v>718339</v>
      </c>
      <c r="C323" s="96" t="s">
        <v>1783</v>
      </c>
      <c r="D323" s="45">
        <v>1</v>
      </c>
      <c r="E323" s="45" t="s">
        <v>1767</v>
      </c>
      <c r="H323" s="45" t="s">
        <v>1763</v>
      </c>
      <c r="I323" s="45" t="s">
        <v>1768</v>
      </c>
      <c r="J323" s="45" t="s">
        <v>1767</v>
      </c>
      <c r="K323" s="45" t="s">
        <v>1768</v>
      </c>
      <c r="L323" s="45">
        <v>0</v>
      </c>
      <c r="O323" s="45">
        <v>1</v>
      </c>
      <c r="P323" s="45" t="s">
        <v>1769</v>
      </c>
      <c r="Q323" s="96" t="s">
        <v>1763</v>
      </c>
      <c r="R323" s="96"/>
      <c r="S323" s="45">
        <v>10</v>
      </c>
      <c r="W323" s="96">
        <v>10</v>
      </c>
      <c r="X323" s="96"/>
      <c r="Y323" s="96"/>
      <c r="Z323" s="45">
        <v>-1</v>
      </c>
      <c r="AA323" s="94" t="b">
        <v>0</v>
      </c>
      <c r="AB323" s="1"/>
      <c r="AC323" s="57" t="s">
        <v>1956</v>
      </c>
      <c r="AD323" s="1"/>
      <c r="AE323" s="57" t="s">
        <v>1844</v>
      </c>
      <c r="AF323" s="1"/>
      <c r="AG323" s="1"/>
      <c r="AH323" s="1"/>
      <c r="AI323" s="1"/>
      <c r="AJ323" s="1"/>
      <c r="AK323" s="1"/>
      <c r="AL323" s="1"/>
      <c r="AM323" s="1"/>
      <c r="AN323" s="1"/>
      <c r="AO323" s="1"/>
      <c r="AP323" s="1"/>
      <c r="AQ323" s="1"/>
      <c r="AR323" s="1"/>
      <c r="AS323" s="1"/>
      <c r="AT323" s="1"/>
      <c r="AU323" s="1"/>
      <c r="AV323" s="1"/>
      <c r="AW323" s="1"/>
      <c r="AX323" s="1"/>
      <c r="AY323" s="1"/>
      <c r="AZ323" s="1"/>
      <c r="BA323" s="1"/>
      <c r="BB323" s="1"/>
      <c r="BC323" s="1"/>
      <c r="BD323" s="1"/>
      <c r="BE323" s="1"/>
      <c r="BF323" s="1"/>
      <c r="BG323" s="1"/>
      <c r="BH323" s="1"/>
      <c r="BI323" s="1"/>
      <c r="BJ323" s="1"/>
      <c r="BK323" s="1"/>
      <c r="BL323" s="1"/>
      <c r="BM323" s="1"/>
      <c r="BN323" s="1"/>
      <c r="BO323" s="1"/>
      <c r="BP323" s="1"/>
      <c r="BQ323" s="1"/>
      <c r="BR323" s="1"/>
      <c r="BS323" s="1"/>
      <c r="BT323" s="1"/>
      <c r="BU323" s="1"/>
      <c r="BV323" s="1"/>
    </row>
    <row r="324" spans="1:74" s="45" customFormat="1" x14ac:dyDescent="0.25">
      <c r="A324" s="45" t="s">
        <v>1770</v>
      </c>
      <c r="B324" s="45">
        <v>713500</v>
      </c>
      <c r="C324" s="96" t="s">
        <v>1783</v>
      </c>
      <c r="D324" s="45">
        <v>0</v>
      </c>
      <c r="H324" s="45" t="s">
        <v>1771</v>
      </c>
      <c r="I324" s="45" t="s">
        <v>1535</v>
      </c>
      <c r="J324" s="45" t="s">
        <v>1771</v>
      </c>
      <c r="K324" s="45" t="s">
        <v>123</v>
      </c>
      <c r="L324" s="45">
        <v>0</v>
      </c>
      <c r="O324" s="45">
        <v>1</v>
      </c>
      <c r="P324" s="45" t="s">
        <v>1555</v>
      </c>
      <c r="Q324" s="94" t="s">
        <v>1474</v>
      </c>
      <c r="R324" s="96"/>
      <c r="T324" s="45">
        <v>20</v>
      </c>
      <c r="W324" s="96">
        <v>20</v>
      </c>
      <c r="X324" s="96"/>
      <c r="Y324" s="96"/>
      <c r="Z324" s="45">
        <v>-1</v>
      </c>
      <c r="AA324" s="94" t="b">
        <v>0</v>
      </c>
      <c r="AB324" s="1" t="s">
        <v>1890</v>
      </c>
      <c r="AC324" s="57" t="s">
        <v>1957</v>
      </c>
      <c r="AD324" s="1"/>
      <c r="AE324" s="57"/>
      <c r="AF324" s="1"/>
      <c r="AG324" s="1"/>
      <c r="AH324" s="1"/>
      <c r="AI324" s="1"/>
      <c r="AJ324" s="1"/>
      <c r="AK324" s="1"/>
      <c r="AL324" s="1"/>
      <c r="AM324" s="1"/>
      <c r="AN324" s="1"/>
      <c r="AO324" s="1"/>
      <c r="AP324" s="1"/>
      <c r="AQ324" s="1"/>
      <c r="AR324" s="1"/>
      <c r="AS324" s="1"/>
      <c r="AT324" s="1"/>
      <c r="AU324" s="1"/>
      <c r="AV324" s="1"/>
      <c r="AW324" s="1"/>
      <c r="AX324" s="1"/>
      <c r="AY324" s="1"/>
      <c r="AZ324" s="1"/>
      <c r="BA324" s="1"/>
      <c r="BB324" s="1"/>
      <c r="BC324" s="1"/>
      <c r="BD324" s="1"/>
      <c r="BE324" s="1"/>
      <c r="BF324" s="1"/>
      <c r="BG324" s="1"/>
      <c r="BH324" s="1"/>
      <c r="BI324" s="1"/>
      <c r="BJ324" s="1"/>
      <c r="BK324" s="1"/>
      <c r="BL324" s="1"/>
      <c r="BM324" s="1"/>
      <c r="BN324" s="1"/>
      <c r="BO324" s="1"/>
      <c r="BP324" s="1"/>
      <c r="BQ324" s="1"/>
      <c r="BR324" s="1"/>
      <c r="BS324" s="1"/>
      <c r="BT324" s="1"/>
      <c r="BU324" s="1"/>
      <c r="BV324" s="1"/>
    </row>
    <row r="325" spans="1:74" s="45" customFormat="1" x14ac:dyDescent="0.25">
      <c r="A325" s="45" t="s">
        <v>1772</v>
      </c>
      <c r="B325" s="45">
        <v>718749</v>
      </c>
      <c r="C325" s="96" t="s">
        <v>1783</v>
      </c>
      <c r="D325" s="45">
        <v>0</v>
      </c>
      <c r="H325" s="45" t="s">
        <v>1773</v>
      </c>
      <c r="I325" s="45" t="s">
        <v>1773</v>
      </c>
      <c r="J325" s="45" t="s">
        <v>1774</v>
      </c>
      <c r="K325" s="45" t="s">
        <v>1773</v>
      </c>
      <c r="L325" s="45">
        <v>0</v>
      </c>
      <c r="O325" s="45">
        <v>1</v>
      </c>
      <c r="P325" s="45" t="s">
        <v>1775</v>
      </c>
      <c r="Q325" s="96"/>
      <c r="R325" s="96" t="s">
        <v>1775</v>
      </c>
      <c r="W325" s="96"/>
      <c r="X325" s="96"/>
      <c r="Y325" s="96"/>
      <c r="Z325" s="45">
        <v>-1</v>
      </c>
      <c r="AA325" s="94" t="b">
        <v>0</v>
      </c>
      <c r="AB325" s="1"/>
      <c r="AC325" s="57" t="s">
        <v>1852</v>
      </c>
      <c r="AD325" s="1"/>
      <c r="AE325" s="57"/>
      <c r="AF325" s="1"/>
      <c r="AG325" s="1"/>
      <c r="AH325" s="1"/>
      <c r="AI325" s="1"/>
      <c r="AJ325" s="1"/>
      <c r="AK325" s="1"/>
      <c r="AL325" s="1"/>
      <c r="AM325" s="1"/>
      <c r="AN325" s="1"/>
      <c r="AO325" s="1"/>
      <c r="AP325" s="1"/>
      <c r="AQ325" s="1"/>
      <c r="AR325" s="1"/>
      <c r="AS325" s="1"/>
      <c r="AT325" s="1"/>
      <c r="AU325" s="1"/>
      <c r="AV325" s="1"/>
      <c r="AW325" s="1"/>
      <c r="AX325" s="1"/>
      <c r="AY325" s="1"/>
      <c r="AZ325" s="1"/>
      <c r="BA325" s="1"/>
      <c r="BB325" s="1"/>
      <c r="BC325" s="1"/>
      <c r="BD325" s="1"/>
      <c r="BE325" s="1"/>
      <c r="BF325" s="1"/>
      <c r="BG325" s="1"/>
      <c r="BH325" s="1"/>
      <c r="BI325" s="1"/>
      <c r="BJ325" s="1"/>
      <c r="BK325" s="1"/>
      <c r="BL325" s="1"/>
      <c r="BM325" s="1"/>
      <c r="BN325" s="1"/>
      <c r="BO325" s="1"/>
      <c r="BP325" s="1"/>
      <c r="BQ325" s="1"/>
      <c r="BR325" s="1"/>
      <c r="BS325" s="1"/>
      <c r="BT325" s="1"/>
      <c r="BU325" s="1"/>
      <c r="BV325" s="1"/>
    </row>
    <row r="326" spans="1:74" s="45" customFormat="1" x14ac:dyDescent="0.25">
      <c r="A326" s="45" t="s">
        <v>1776</v>
      </c>
      <c r="B326" s="45">
        <v>718753</v>
      </c>
      <c r="C326" s="96" t="s">
        <v>1783</v>
      </c>
      <c r="D326" s="45">
        <v>0</v>
      </c>
      <c r="H326" s="45" t="s">
        <v>1777</v>
      </c>
      <c r="I326" s="45" t="s">
        <v>1760</v>
      </c>
      <c r="J326" s="45" t="s">
        <v>1774</v>
      </c>
      <c r="K326" s="45" t="s">
        <v>1777</v>
      </c>
      <c r="L326" s="45">
        <v>0</v>
      </c>
      <c r="O326" s="45">
        <v>1</v>
      </c>
      <c r="P326" s="45" t="s">
        <v>1778</v>
      </c>
      <c r="Q326" s="96" t="s">
        <v>1779</v>
      </c>
      <c r="R326" s="96"/>
      <c r="S326" s="45">
        <v>20</v>
      </c>
      <c r="W326" s="96">
        <v>20</v>
      </c>
      <c r="X326" s="96"/>
      <c r="Y326" s="96"/>
      <c r="Z326" s="45">
        <v>-1</v>
      </c>
      <c r="AA326" s="94" t="b">
        <v>0</v>
      </c>
      <c r="AB326" s="1"/>
      <c r="AC326" s="57" t="s">
        <v>1851</v>
      </c>
      <c r="AD326" s="1"/>
      <c r="AE326" s="57"/>
      <c r="AF326" s="1"/>
      <c r="AG326" s="1"/>
      <c r="AH326" s="1"/>
      <c r="AI326" s="1"/>
      <c r="AJ326" s="1"/>
      <c r="AK326" s="1"/>
      <c r="AL326" s="1"/>
      <c r="AM326" s="1"/>
      <c r="AN326" s="1"/>
      <c r="AO326" s="1"/>
      <c r="AP326" s="1"/>
      <c r="AQ326" s="1"/>
      <c r="AR326" s="1"/>
      <c r="AS326" s="1"/>
      <c r="AT326" s="1"/>
      <c r="AU326" s="1"/>
      <c r="AV326" s="1"/>
      <c r="AW326" s="1"/>
      <c r="AX326" s="1"/>
      <c r="AY326" s="1"/>
      <c r="AZ326" s="1"/>
      <c r="BA326" s="1"/>
      <c r="BB326" s="1"/>
      <c r="BC326" s="1"/>
      <c r="BD326" s="1"/>
      <c r="BE326" s="1"/>
      <c r="BF326" s="1"/>
      <c r="BG326" s="1"/>
      <c r="BH326" s="1"/>
      <c r="BI326" s="1"/>
      <c r="BJ326" s="1"/>
      <c r="BK326" s="1"/>
      <c r="BL326" s="1"/>
      <c r="BM326" s="1"/>
      <c r="BN326" s="1"/>
      <c r="BO326" s="1"/>
      <c r="BP326" s="1"/>
      <c r="BQ326" s="1"/>
      <c r="BR326" s="1"/>
      <c r="BS326" s="1"/>
      <c r="BT326" s="1"/>
      <c r="BU326" s="1"/>
      <c r="BV326" s="1"/>
    </row>
    <row r="327" spans="1:74" s="49" customFormat="1" x14ac:dyDescent="0.25">
      <c r="A327" s="49" t="s">
        <v>1780</v>
      </c>
      <c r="B327" s="49">
        <v>717561</v>
      </c>
      <c r="C327" s="96" t="s">
        <v>1783</v>
      </c>
      <c r="D327" s="49">
        <v>0</v>
      </c>
      <c r="H327" s="49" t="s">
        <v>1781</v>
      </c>
      <c r="I327" s="49" t="s">
        <v>1781</v>
      </c>
      <c r="J327" s="49" t="s">
        <v>1760</v>
      </c>
      <c r="K327" s="49" t="s">
        <v>1781</v>
      </c>
      <c r="L327" s="49">
        <v>0</v>
      </c>
      <c r="O327" s="49">
        <v>1</v>
      </c>
      <c r="Q327" s="96"/>
      <c r="R327" s="96" t="s">
        <v>1782</v>
      </c>
      <c r="S327" s="49">
        <v>6</v>
      </c>
      <c r="W327" s="96">
        <v>6</v>
      </c>
      <c r="X327" s="96"/>
      <c r="Y327" s="96"/>
      <c r="Z327" s="49">
        <v>9</v>
      </c>
      <c r="AA327" s="94" t="b">
        <v>1</v>
      </c>
      <c r="AB327" s="1"/>
      <c r="AC327" s="57"/>
      <c r="AD327" s="1"/>
      <c r="AE327" s="57"/>
      <c r="AF327" s="1"/>
      <c r="AG327" s="1"/>
      <c r="AH327" s="1"/>
      <c r="AI327" s="1"/>
      <c r="AJ327" s="1"/>
      <c r="AK327" s="1"/>
      <c r="AL327" s="1"/>
      <c r="AM327" s="1"/>
      <c r="AN327" s="1"/>
      <c r="AO327" s="1"/>
      <c r="AP327" s="1"/>
      <c r="AQ327" s="1"/>
      <c r="AR327" s="1"/>
      <c r="AS327" s="1"/>
      <c r="AT327" s="1"/>
      <c r="AU327" s="1"/>
      <c r="AV327" s="1"/>
      <c r="AW327" s="1"/>
      <c r="AX327" s="1"/>
      <c r="AY327" s="1"/>
      <c r="AZ327" s="1"/>
      <c r="BA327" s="1"/>
      <c r="BB327" s="1"/>
      <c r="BC327" s="1"/>
      <c r="BD327" s="1"/>
      <c r="BE327" s="1"/>
      <c r="BF327" s="1"/>
      <c r="BG327" s="1"/>
      <c r="BH327" s="1"/>
      <c r="BI327" s="1"/>
      <c r="BJ327" s="1"/>
      <c r="BK327" s="1"/>
      <c r="BL327" s="1"/>
      <c r="BM327" s="1"/>
      <c r="BN327" s="1"/>
      <c r="BO327" s="1"/>
      <c r="BP327" s="1"/>
      <c r="BQ327" s="1"/>
      <c r="BR327" s="1"/>
      <c r="BS327" s="1"/>
      <c r="BT327" s="1"/>
      <c r="BU327" s="1"/>
      <c r="BV327" s="1"/>
    </row>
    <row r="328" spans="1:74" s="45" customFormat="1" x14ac:dyDescent="0.25">
      <c r="A328" s="45" t="s">
        <v>1801</v>
      </c>
      <c r="B328" s="45">
        <v>519696</v>
      </c>
      <c r="C328" s="96" t="s">
        <v>1783</v>
      </c>
      <c r="D328" s="45">
        <v>2</v>
      </c>
      <c r="E328" s="45" t="s">
        <v>1802</v>
      </c>
      <c r="F328" s="45" t="s">
        <v>1802</v>
      </c>
      <c r="H328" s="45" t="s">
        <v>1803</v>
      </c>
      <c r="I328" s="45" t="s">
        <v>1777</v>
      </c>
      <c r="J328" s="47" t="s">
        <v>1735</v>
      </c>
      <c r="K328" s="45" t="s">
        <v>1803</v>
      </c>
      <c r="L328" s="45">
        <v>1</v>
      </c>
      <c r="M328" s="45" t="s">
        <v>1803</v>
      </c>
      <c r="O328" s="45">
        <v>1</v>
      </c>
      <c r="Q328" s="96" t="s">
        <v>1804</v>
      </c>
      <c r="R328" s="96"/>
      <c r="T328" s="45">
        <v>20.7</v>
      </c>
      <c r="W328" s="96">
        <v>21</v>
      </c>
      <c r="X328" s="96"/>
      <c r="Y328" s="96"/>
      <c r="Z328" s="45">
        <v>-1</v>
      </c>
      <c r="AA328" s="94" t="b">
        <v>1</v>
      </c>
      <c r="AB328" s="17" t="s">
        <v>1890</v>
      </c>
      <c r="AC328" s="57" t="s">
        <v>1951</v>
      </c>
      <c r="AD328" s="1"/>
      <c r="AE328" s="57" t="s">
        <v>1845</v>
      </c>
      <c r="AF328" s="1"/>
      <c r="AG328" s="1"/>
      <c r="AH328" s="1"/>
      <c r="AI328" s="1"/>
      <c r="AJ328" s="1"/>
      <c r="AK328" s="1"/>
      <c r="AL328" s="1"/>
      <c r="AM328" s="1"/>
      <c r="AN328" s="1"/>
      <c r="AO328" s="1"/>
      <c r="AP328" s="1"/>
      <c r="AQ328" s="1"/>
      <c r="AR328" s="1"/>
      <c r="AS328" s="1"/>
      <c r="AT328" s="1"/>
      <c r="AU328" s="1"/>
      <c r="AV328" s="1"/>
      <c r="AW328" s="1"/>
      <c r="AX328" s="1"/>
      <c r="AY328" s="1"/>
      <c r="AZ328" s="1"/>
      <c r="BA328" s="1"/>
      <c r="BB328" s="1"/>
      <c r="BC328" s="1"/>
      <c r="BD328" s="1"/>
      <c r="BE328" s="1"/>
      <c r="BF328" s="1"/>
      <c r="BG328" s="1"/>
      <c r="BH328" s="1"/>
      <c r="BI328" s="1"/>
      <c r="BJ328" s="1"/>
      <c r="BK328" s="1"/>
      <c r="BL328" s="1"/>
      <c r="BM328" s="1"/>
      <c r="BN328" s="1"/>
      <c r="BO328" s="1"/>
      <c r="BP328" s="1"/>
      <c r="BQ328" s="1"/>
      <c r="BR328" s="1"/>
      <c r="BS328" s="1"/>
      <c r="BT328" s="1"/>
      <c r="BU328" s="1"/>
      <c r="BV328" s="1"/>
    </row>
    <row r="329" spans="1:74" s="45" customFormat="1" x14ac:dyDescent="0.25">
      <c r="A329" s="45" t="s">
        <v>1805</v>
      </c>
      <c r="B329" s="45">
        <v>55178</v>
      </c>
      <c r="C329" s="96" t="s">
        <v>1783</v>
      </c>
      <c r="D329" s="45">
        <v>0</v>
      </c>
      <c r="H329" s="45" t="s">
        <v>1468</v>
      </c>
      <c r="I329" s="45" t="s">
        <v>1775</v>
      </c>
      <c r="J329" s="45" t="s">
        <v>1806</v>
      </c>
      <c r="K329" s="45" t="s">
        <v>1807</v>
      </c>
      <c r="L329" s="45">
        <v>0</v>
      </c>
      <c r="O329" s="45">
        <v>0</v>
      </c>
      <c r="Q329" s="96" t="s">
        <v>1808</v>
      </c>
      <c r="R329" s="96"/>
      <c r="T329" s="45">
        <v>4</v>
      </c>
      <c r="W329" s="96">
        <v>4</v>
      </c>
      <c r="X329" s="96"/>
      <c r="Y329" s="96"/>
      <c r="Z329" s="45">
        <v>-1</v>
      </c>
      <c r="AA329" s="94" t="b">
        <v>0</v>
      </c>
      <c r="AB329" s="1"/>
      <c r="AC329" s="57" t="s">
        <v>1853</v>
      </c>
      <c r="AD329" s="1"/>
      <c r="AE329" s="57" t="s">
        <v>1846</v>
      </c>
      <c r="AF329" s="1"/>
      <c r="AG329" s="1"/>
      <c r="AH329" s="1"/>
      <c r="AI329" s="1"/>
      <c r="AJ329" s="1"/>
      <c r="AK329" s="1"/>
      <c r="AL329" s="1"/>
      <c r="AM329" s="1"/>
      <c r="AN329" s="1"/>
      <c r="AO329" s="1"/>
      <c r="AP329" s="1"/>
      <c r="AQ329" s="1"/>
      <c r="AR329" s="1"/>
      <c r="AS329" s="1"/>
      <c r="AT329" s="1"/>
      <c r="AU329" s="1"/>
      <c r="AV329" s="1"/>
      <c r="AW329" s="1"/>
      <c r="AX329" s="1"/>
      <c r="AY329" s="1"/>
      <c r="AZ329" s="1"/>
      <c r="BA329" s="1"/>
      <c r="BB329" s="1"/>
      <c r="BC329" s="1"/>
      <c r="BD329" s="1"/>
      <c r="BE329" s="1"/>
      <c r="BF329" s="1"/>
      <c r="BG329" s="1"/>
      <c r="BH329" s="1"/>
      <c r="BI329" s="1"/>
      <c r="BJ329" s="1"/>
      <c r="BK329" s="1"/>
      <c r="BL329" s="1"/>
      <c r="BM329" s="1"/>
      <c r="BN329" s="1"/>
      <c r="BO329" s="1"/>
      <c r="BP329" s="1"/>
      <c r="BQ329" s="1"/>
      <c r="BR329" s="1"/>
      <c r="BS329" s="1"/>
      <c r="BT329" s="1"/>
      <c r="BU329" s="1"/>
      <c r="BV329" s="1"/>
    </row>
    <row r="330" spans="1:74" s="45" customFormat="1" x14ac:dyDescent="0.25">
      <c r="A330" s="45" t="s">
        <v>1809</v>
      </c>
      <c r="B330" s="45">
        <v>719992</v>
      </c>
      <c r="C330" s="96" t="s">
        <v>1783</v>
      </c>
      <c r="D330" s="45">
        <v>0</v>
      </c>
      <c r="H330" s="45" t="s">
        <v>1779</v>
      </c>
      <c r="I330" s="45" t="s">
        <v>1810</v>
      </c>
      <c r="J330" s="45" t="s">
        <v>1811</v>
      </c>
      <c r="K330" s="45" t="s">
        <v>1810</v>
      </c>
      <c r="L330" s="45">
        <v>0</v>
      </c>
      <c r="O330" s="45">
        <v>1</v>
      </c>
      <c r="P330" s="45" t="s">
        <v>1812</v>
      </c>
      <c r="Q330" s="96" t="s">
        <v>1813</v>
      </c>
      <c r="R330" s="96"/>
      <c r="W330" s="96"/>
      <c r="X330" s="96"/>
      <c r="Y330" s="96"/>
      <c r="Z330" s="45">
        <v>-1</v>
      </c>
      <c r="AA330" s="94" t="b">
        <v>0</v>
      </c>
      <c r="AB330" s="1"/>
      <c r="AC330" s="57" t="s">
        <v>1854</v>
      </c>
      <c r="AD330" s="1"/>
      <c r="AE330" s="57" t="s">
        <v>1847</v>
      </c>
      <c r="AF330" s="1"/>
      <c r="AG330" s="1"/>
      <c r="AH330" s="1"/>
      <c r="AI330" s="1"/>
      <c r="AJ330" s="1"/>
      <c r="AK330" s="1"/>
      <c r="AL330" s="1"/>
      <c r="AM330" s="1"/>
      <c r="AN330" s="1"/>
      <c r="AO330" s="1"/>
      <c r="AP330" s="1"/>
      <c r="AQ330" s="1"/>
      <c r="AR330" s="1"/>
      <c r="AS330" s="1"/>
      <c r="AT330" s="1"/>
      <c r="AU330" s="1"/>
      <c r="AV330" s="1"/>
      <c r="AW330" s="1"/>
      <c r="AX330" s="1"/>
      <c r="AY330" s="1"/>
      <c r="AZ330" s="1"/>
      <c r="BA330" s="1"/>
      <c r="BB330" s="1"/>
      <c r="BC330" s="1"/>
      <c r="BD330" s="1"/>
      <c r="BE330" s="1"/>
      <c r="BF330" s="1"/>
      <c r="BG330" s="1"/>
      <c r="BH330" s="1"/>
      <c r="BI330" s="1"/>
      <c r="BJ330" s="1"/>
      <c r="BK330" s="1"/>
      <c r="BL330" s="1"/>
      <c r="BM330" s="1"/>
      <c r="BN330" s="1"/>
      <c r="BO330" s="1"/>
      <c r="BP330" s="1"/>
      <c r="BQ330" s="1"/>
      <c r="BR330" s="1"/>
      <c r="BS330" s="1"/>
      <c r="BT330" s="1"/>
      <c r="BU330" s="1"/>
      <c r="BV330" s="1"/>
    </row>
    <row r="331" spans="1:74" s="3" customFormat="1" x14ac:dyDescent="0.25">
      <c r="A331" s="3" t="s">
        <v>1814</v>
      </c>
      <c r="B331" s="3">
        <v>636308</v>
      </c>
      <c r="C331" s="96" t="s">
        <v>1783</v>
      </c>
      <c r="D331" s="3">
        <v>0</v>
      </c>
      <c r="H331" s="3" t="s">
        <v>1808</v>
      </c>
      <c r="I331" s="3" t="s">
        <v>1815</v>
      </c>
      <c r="J331" s="3" t="s">
        <v>1808</v>
      </c>
      <c r="K331" s="3" t="s">
        <v>1815</v>
      </c>
      <c r="L331" s="3">
        <v>1</v>
      </c>
      <c r="M331" s="3" t="s">
        <v>1736</v>
      </c>
      <c r="O331" s="3">
        <v>1</v>
      </c>
      <c r="P331" s="3" t="s">
        <v>1816</v>
      </c>
      <c r="Q331" s="96" t="s">
        <v>1817</v>
      </c>
      <c r="R331" s="96"/>
      <c r="S331" s="3">
        <v>13</v>
      </c>
      <c r="T331" s="3">
        <v>18</v>
      </c>
      <c r="W331" s="96">
        <v>18</v>
      </c>
      <c r="X331" s="96"/>
      <c r="Y331" s="96"/>
      <c r="Z331" s="3">
        <v>1</v>
      </c>
      <c r="AA331" s="94" t="b">
        <v>1</v>
      </c>
      <c r="AB331" s="1"/>
      <c r="AC331" s="57" t="s">
        <v>1855</v>
      </c>
      <c r="AD331" s="1"/>
      <c r="AE331" s="57" t="s">
        <v>1848</v>
      </c>
      <c r="AF331" s="1"/>
      <c r="AG331" s="1"/>
      <c r="AH331" s="1"/>
      <c r="AI331" s="1"/>
      <c r="AJ331" s="1"/>
      <c r="AK331" s="1"/>
      <c r="AL331" s="1"/>
      <c r="AM331" s="1"/>
      <c r="AN331" s="1"/>
      <c r="AO331" s="1"/>
      <c r="AP331" s="1"/>
      <c r="AQ331" s="1"/>
      <c r="AR331" s="1"/>
      <c r="AS331" s="1"/>
      <c r="AT331" s="1"/>
      <c r="AU331" s="1"/>
      <c r="AV331" s="1"/>
      <c r="AW331" s="1"/>
      <c r="AX331" s="1"/>
      <c r="AY331" s="1"/>
      <c r="AZ331" s="1"/>
      <c r="BA331" s="1"/>
      <c r="BB331" s="1"/>
      <c r="BC331" s="1"/>
      <c r="BD331" s="1"/>
      <c r="BE331" s="1"/>
      <c r="BF331" s="1"/>
      <c r="BG331" s="1"/>
      <c r="BH331" s="1"/>
      <c r="BI331" s="1"/>
      <c r="BJ331" s="1"/>
      <c r="BK331" s="1"/>
      <c r="BL331" s="1"/>
      <c r="BM331" s="1"/>
      <c r="BN331" s="1"/>
      <c r="BO331" s="1"/>
      <c r="BP331" s="1"/>
      <c r="BQ331" s="1"/>
      <c r="BR331" s="1"/>
      <c r="BS331" s="1"/>
      <c r="BT331" s="1"/>
      <c r="BU331" s="1"/>
      <c r="BV331" s="1"/>
    </row>
    <row r="332" spans="1:74" s="26" customFormat="1" ht="15.75" x14ac:dyDescent="0.25">
      <c r="A332" s="26" t="s">
        <v>1818</v>
      </c>
      <c r="B332" s="26">
        <v>101444</v>
      </c>
      <c r="C332" s="100" t="s">
        <v>1783</v>
      </c>
      <c r="D332" s="26">
        <v>0</v>
      </c>
      <c r="H332" s="90" t="s">
        <v>1804</v>
      </c>
      <c r="I332" s="90" t="s">
        <v>1808</v>
      </c>
      <c r="J332" s="90" t="s">
        <v>1958</v>
      </c>
      <c r="K332" s="90" t="s">
        <v>1808</v>
      </c>
      <c r="L332" s="90">
        <v>0</v>
      </c>
      <c r="M332" s="90"/>
      <c r="N332" s="90"/>
      <c r="O332" s="90">
        <v>0</v>
      </c>
      <c r="P332" s="90"/>
      <c r="Q332" s="95" t="s">
        <v>1820</v>
      </c>
      <c r="R332" s="100"/>
      <c r="T332" s="26">
        <v>10</v>
      </c>
      <c r="W332" s="100">
        <v>10</v>
      </c>
      <c r="X332" s="100"/>
      <c r="Y332" s="100"/>
      <c r="Z332" s="26">
        <v>5</v>
      </c>
      <c r="AA332" s="95" t="b">
        <v>1</v>
      </c>
      <c r="AB332" s="83"/>
      <c r="AC332" s="85" t="s">
        <v>1959</v>
      </c>
      <c r="AD332" s="83"/>
      <c r="AE332" s="85" t="s">
        <v>1846</v>
      </c>
      <c r="AF332" s="83"/>
      <c r="AG332" s="83"/>
      <c r="AH332" s="83"/>
      <c r="AI332" s="83"/>
      <c r="AJ332" s="83"/>
      <c r="AK332" s="83"/>
      <c r="AL332" s="83"/>
      <c r="AM332" s="83"/>
      <c r="AN332" s="83"/>
      <c r="AO332" s="83"/>
      <c r="AP332" s="83"/>
      <c r="AQ332" s="83"/>
      <c r="AR332" s="83"/>
      <c r="AS332" s="83"/>
      <c r="AT332" s="83"/>
      <c r="AU332" s="83"/>
      <c r="AV332" s="83"/>
      <c r="AW332" s="83"/>
      <c r="AX332" s="83"/>
      <c r="AY332" s="83"/>
      <c r="AZ332" s="83"/>
      <c r="BA332" s="83"/>
      <c r="BB332" s="83"/>
      <c r="BC332" s="83"/>
      <c r="BD332" s="83"/>
      <c r="BE332" s="83"/>
      <c r="BF332" s="83"/>
      <c r="BG332" s="83"/>
      <c r="BH332" s="83"/>
      <c r="BI332" s="83"/>
      <c r="BJ332" s="83"/>
      <c r="BK332" s="83"/>
      <c r="BL332" s="83"/>
      <c r="BM332" s="83"/>
      <c r="BN332" s="83"/>
      <c r="BO332" s="83"/>
      <c r="BP332" s="83"/>
      <c r="BQ332" s="83"/>
      <c r="BR332" s="83"/>
      <c r="BS332" s="83"/>
      <c r="BT332" s="83"/>
      <c r="BU332" s="83"/>
      <c r="BV332" s="83"/>
    </row>
    <row r="333" spans="1:74" s="45" customFormat="1" x14ac:dyDescent="0.25">
      <c r="A333" s="45" t="s">
        <v>1821</v>
      </c>
      <c r="B333" s="45">
        <v>629002</v>
      </c>
      <c r="C333" s="96" t="s">
        <v>1783</v>
      </c>
      <c r="D333" s="45">
        <v>0</v>
      </c>
      <c r="H333" s="45" t="s">
        <v>1822</v>
      </c>
      <c r="I333" s="45" t="s">
        <v>1823</v>
      </c>
      <c r="J333" s="45" t="s">
        <v>1824</v>
      </c>
      <c r="K333" s="45" t="s">
        <v>1822</v>
      </c>
      <c r="L333" s="45">
        <v>0</v>
      </c>
      <c r="O333" s="45">
        <v>1</v>
      </c>
      <c r="Q333" s="96"/>
      <c r="R333" s="96" t="s">
        <v>1825</v>
      </c>
      <c r="T333" s="45">
        <v>11</v>
      </c>
      <c r="W333" s="96">
        <v>11</v>
      </c>
      <c r="X333" s="96"/>
      <c r="Y333" s="96"/>
      <c r="Z333" s="45">
        <v>-1</v>
      </c>
      <c r="AA333" s="94" t="b">
        <v>0</v>
      </c>
      <c r="AB333" s="1"/>
      <c r="AC333" s="57" t="s">
        <v>1854</v>
      </c>
      <c r="AD333" s="1"/>
      <c r="AE333" s="57" t="s">
        <v>1846</v>
      </c>
      <c r="AF333" s="1"/>
      <c r="AG333" s="1"/>
      <c r="AH333" s="1"/>
      <c r="AI333" s="1"/>
      <c r="AJ333" s="1"/>
      <c r="AK333" s="1"/>
      <c r="AL333" s="1"/>
      <c r="AM333" s="1"/>
      <c r="AN333" s="1"/>
      <c r="AO333" s="1"/>
      <c r="AP333" s="1"/>
      <c r="AQ333" s="1"/>
      <c r="AR333" s="1"/>
      <c r="AS333" s="1"/>
      <c r="AT333" s="1"/>
      <c r="AU333" s="1"/>
      <c r="AV333" s="1"/>
      <c r="AW333" s="1"/>
      <c r="AX333" s="1"/>
      <c r="AY333" s="1"/>
      <c r="AZ333" s="1"/>
      <c r="BA333" s="1"/>
      <c r="BB333" s="1"/>
      <c r="BC333" s="1"/>
      <c r="BD333" s="1"/>
      <c r="BE333" s="1"/>
      <c r="BF333" s="1"/>
      <c r="BG333" s="1"/>
      <c r="BH333" s="1"/>
      <c r="BI333" s="1"/>
      <c r="BJ333" s="1"/>
      <c r="BK333" s="1"/>
      <c r="BL333" s="1"/>
      <c r="BM333" s="1"/>
      <c r="BN333" s="1"/>
      <c r="BO333" s="1"/>
      <c r="BP333" s="1"/>
      <c r="BQ333" s="1"/>
      <c r="BR333" s="1"/>
      <c r="BS333" s="1"/>
      <c r="BT333" s="1"/>
      <c r="BU333" s="1"/>
      <c r="BV333" s="1"/>
    </row>
    <row r="334" spans="1:74" s="45" customFormat="1" x14ac:dyDescent="0.25">
      <c r="A334" s="45" t="s">
        <v>1826</v>
      </c>
      <c r="B334" s="45">
        <v>659523</v>
      </c>
      <c r="C334" s="96" t="s">
        <v>1783</v>
      </c>
      <c r="D334" s="45">
        <v>2</v>
      </c>
      <c r="E334" s="45" t="s">
        <v>1827</v>
      </c>
      <c r="F334" s="45" t="s">
        <v>1827</v>
      </c>
      <c r="H334" s="45" t="s">
        <v>1828</v>
      </c>
      <c r="I334" s="45" t="s">
        <v>1823</v>
      </c>
      <c r="J334" s="45" t="s">
        <v>1829</v>
      </c>
      <c r="K334" s="45" t="s">
        <v>1827</v>
      </c>
      <c r="L334" s="45">
        <v>1</v>
      </c>
      <c r="M334" s="45" t="s">
        <v>1830</v>
      </c>
      <c r="O334" s="45">
        <v>0</v>
      </c>
      <c r="Q334" s="96" t="s">
        <v>1831</v>
      </c>
      <c r="R334" s="96"/>
      <c r="W334" s="96"/>
      <c r="X334" s="96"/>
      <c r="Y334" s="96"/>
      <c r="Z334" s="45">
        <v>-1</v>
      </c>
      <c r="AA334" s="94" t="b">
        <v>0</v>
      </c>
      <c r="AB334" s="1"/>
      <c r="AC334" s="57" t="s">
        <v>1854</v>
      </c>
      <c r="AD334" s="1"/>
      <c r="AE334" s="57" t="s">
        <v>1849</v>
      </c>
      <c r="AF334" s="1"/>
      <c r="AG334" s="1"/>
      <c r="AH334" s="1"/>
      <c r="AI334" s="1"/>
      <c r="AJ334" s="1"/>
      <c r="AK334" s="1"/>
      <c r="AL334" s="1"/>
      <c r="AM334" s="1"/>
      <c r="AN334" s="1"/>
      <c r="AO334" s="1"/>
      <c r="AP334" s="1"/>
      <c r="AQ334" s="1"/>
      <c r="AR334" s="1"/>
      <c r="AS334" s="1"/>
      <c r="AT334" s="1"/>
      <c r="AU334" s="1"/>
      <c r="AV334" s="1"/>
      <c r="AW334" s="1"/>
      <c r="AX334" s="1"/>
      <c r="AY334" s="1"/>
      <c r="AZ334" s="1"/>
      <c r="BA334" s="1"/>
      <c r="BB334" s="1"/>
      <c r="BC334" s="1"/>
      <c r="BD334" s="1"/>
      <c r="BE334" s="1"/>
      <c r="BF334" s="1"/>
      <c r="BG334" s="1"/>
      <c r="BH334" s="1"/>
      <c r="BI334" s="1"/>
      <c r="BJ334" s="1"/>
      <c r="BK334" s="1"/>
      <c r="BL334" s="1"/>
      <c r="BM334" s="1"/>
      <c r="BN334" s="1"/>
      <c r="BO334" s="1"/>
      <c r="BP334" s="1"/>
      <c r="BQ334" s="1"/>
      <c r="BR334" s="1"/>
      <c r="BS334" s="1"/>
      <c r="BT334" s="1"/>
      <c r="BU334" s="1"/>
      <c r="BV334" s="1"/>
    </row>
    <row r="335" spans="1:74" s="45" customFormat="1" x14ac:dyDescent="0.25">
      <c r="A335" s="45" t="s">
        <v>1832</v>
      </c>
      <c r="B335" s="45">
        <v>721580</v>
      </c>
      <c r="C335" s="96" t="s">
        <v>1783</v>
      </c>
      <c r="D335" s="45">
        <v>0</v>
      </c>
      <c r="H335" s="45" t="s">
        <v>1833</v>
      </c>
      <c r="I335" s="45" t="s">
        <v>1829</v>
      </c>
      <c r="J335" s="45" t="s">
        <v>1856</v>
      </c>
      <c r="K335" s="45" t="s">
        <v>1833</v>
      </c>
      <c r="L335" s="45">
        <v>0</v>
      </c>
      <c r="O335" s="45">
        <v>1</v>
      </c>
      <c r="P335" s="45" t="s">
        <v>1830</v>
      </c>
      <c r="Q335" s="96" t="s">
        <v>1834</v>
      </c>
      <c r="R335" s="96"/>
      <c r="W335" s="96"/>
      <c r="X335" s="96"/>
      <c r="Y335" s="96"/>
      <c r="Z335" s="45">
        <v>-1</v>
      </c>
      <c r="AA335" s="94" t="b">
        <v>0</v>
      </c>
      <c r="AB335" s="1" t="s">
        <v>1895</v>
      </c>
      <c r="AC335" s="57" t="s">
        <v>1857</v>
      </c>
      <c r="AD335" s="1"/>
      <c r="AE335" s="57" t="s">
        <v>1850</v>
      </c>
      <c r="AF335" s="1"/>
      <c r="AG335" s="1"/>
      <c r="AH335" s="1"/>
      <c r="AI335" s="1"/>
      <c r="AJ335" s="1"/>
      <c r="AK335" s="1"/>
      <c r="AL335" s="1"/>
      <c r="AM335" s="1"/>
      <c r="AN335" s="1"/>
      <c r="AO335" s="1"/>
      <c r="AP335" s="1"/>
      <c r="AQ335" s="1"/>
      <c r="AR335" s="1"/>
      <c r="AS335" s="1"/>
      <c r="AT335" s="1"/>
      <c r="AU335" s="1"/>
      <c r="AV335" s="1"/>
      <c r="AW335" s="1"/>
      <c r="AX335" s="1"/>
      <c r="AY335" s="1"/>
      <c r="AZ335" s="1"/>
      <c r="BA335" s="1"/>
      <c r="BB335" s="1"/>
      <c r="BC335" s="1"/>
      <c r="BD335" s="1"/>
      <c r="BE335" s="1"/>
      <c r="BF335" s="1"/>
      <c r="BG335" s="1"/>
      <c r="BH335" s="1"/>
      <c r="BI335" s="1"/>
      <c r="BJ335" s="1"/>
      <c r="BK335" s="1"/>
      <c r="BL335" s="1"/>
      <c r="BM335" s="1"/>
      <c r="BN335" s="1"/>
      <c r="BO335" s="1"/>
      <c r="BP335" s="1"/>
      <c r="BQ335" s="1"/>
      <c r="BR335" s="1"/>
      <c r="BS335" s="1"/>
      <c r="BT335" s="1"/>
      <c r="BU335" s="1"/>
      <c r="BV335" s="1"/>
    </row>
    <row r="336" spans="1:74" s="25" customFormat="1" x14ac:dyDescent="0.25">
      <c r="A336" s="1"/>
      <c r="B336" s="13"/>
      <c r="C336" s="96"/>
      <c r="D336" s="1"/>
      <c r="E336" s="1"/>
      <c r="F336" s="1"/>
      <c r="G336" s="1"/>
      <c r="H336" s="1"/>
      <c r="I336" s="1"/>
      <c r="J336" s="1"/>
      <c r="K336" s="1"/>
      <c r="L336" s="1"/>
      <c r="M336" s="1"/>
      <c r="N336" s="1"/>
      <c r="O336" s="1"/>
      <c r="P336" s="1"/>
      <c r="Q336" s="96"/>
      <c r="R336" s="96"/>
      <c r="S336" s="1"/>
      <c r="T336" s="1"/>
      <c r="U336" s="1"/>
      <c r="V336" s="1"/>
      <c r="W336" s="96"/>
      <c r="X336" s="96"/>
      <c r="Y336" s="96"/>
      <c r="Z336" s="1"/>
      <c r="AA336" s="94"/>
      <c r="AB336" s="1"/>
      <c r="AC336" s="57"/>
      <c r="AD336" s="1"/>
      <c r="AE336" s="57"/>
      <c r="AF336" s="1"/>
      <c r="AG336" s="1"/>
      <c r="AH336" s="1"/>
      <c r="AI336" s="1"/>
      <c r="AJ336" s="1"/>
      <c r="AK336" s="1"/>
      <c r="AL336" s="1"/>
      <c r="AM336" s="1"/>
      <c r="AN336" s="1"/>
      <c r="AO336" s="1"/>
      <c r="AP336" s="1"/>
      <c r="AQ336" s="1"/>
      <c r="AR336" s="1"/>
      <c r="AS336" s="1"/>
      <c r="AT336" s="1"/>
      <c r="AU336" s="1"/>
      <c r="AV336" s="1"/>
      <c r="AW336" s="1"/>
      <c r="AX336" s="1"/>
      <c r="AY336" s="1"/>
      <c r="AZ336" s="1"/>
      <c r="BA336" s="1"/>
      <c r="BB336" s="1"/>
      <c r="BC336" s="1"/>
      <c r="BD336" s="1"/>
      <c r="BE336" s="1"/>
      <c r="BF336" s="1"/>
      <c r="BG336" s="1"/>
      <c r="BH336" s="1"/>
      <c r="BI336" s="1"/>
      <c r="BJ336" s="1"/>
      <c r="BK336" s="1"/>
      <c r="BL336" s="1"/>
      <c r="BM336" s="1"/>
      <c r="BN336" s="1"/>
      <c r="BO336" s="1"/>
      <c r="BP336" s="1"/>
      <c r="BQ336" s="1"/>
      <c r="BR336" s="1"/>
      <c r="BS336" s="1"/>
      <c r="BT336" s="1"/>
      <c r="BU336" s="1"/>
      <c r="BV336" s="1"/>
    </row>
    <row r="337" spans="1:74" s="79" customFormat="1" x14ac:dyDescent="0.25">
      <c r="A337" s="1"/>
      <c r="B337" s="13"/>
      <c r="C337" s="96"/>
      <c r="D337" s="1"/>
      <c r="E337" s="1"/>
      <c r="F337" s="1"/>
      <c r="G337" s="1"/>
      <c r="H337" s="1"/>
      <c r="I337" s="1"/>
      <c r="J337" s="1"/>
      <c r="K337" s="1"/>
      <c r="L337" s="1"/>
      <c r="M337" s="1"/>
      <c r="N337" s="1"/>
      <c r="O337" s="1"/>
      <c r="P337" s="1"/>
      <c r="Q337" s="96"/>
      <c r="R337" s="96"/>
      <c r="S337" s="1"/>
      <c r="T337" s="1"/>
      <c r="U337" s="1"/>
      <c r="V337" s="1"/>
      <c r="W337" s="96"/>
      <c r="X337" s="96"/>
      <c r="Y337" s="96"/>
      <c r="Z337" s="1"/>
      <c r="AA337" s="94"/>
      <c r="AC337" s="57" t="s">
        <v>1721</v>
      </c>
      <c r="AE337" s="87"/>
    </row>
    <row r="338" spans="1:74" s="45" customFormat="1" x14ac:dyDescent="0.25">
      <c r="A338" s="1"/>
      <c r="B338" s="13"/>
      <c r="C338" s="96"/>
      <c r="D338" s="1"/>
      <c r="E338" s="1"/>
      <c r="F338" s="1"/>
      <c r="G338" s="1"/>
      <c r="H338" s="1"/>
      <c r="I338" s="1"/>
      <c r="J338" s="1"/>
      <c r="K338" s="1"/>
      <c r="L338" s="1"/>
      <c r="M338" s="1"/>
      <c r="N338" s="1"/>
      <c r="O338" s="1"/>
      <c r="P338" s="1"/>
      <c r="Q338" s="96"/>
      <c r="R338" s="96"/>
      <c r="S338" s="1"/>
      <c r="T338" s="1"/>
      <c r="U338" s="1"/>
      <c r="V338" s="1"/>
      <c r="W338" s="96"/>
      <c r="X338" s="96"/>
      <c r="Y338" s="96"/>
      <c r="Z338" s="1"/>
      <c r="AA338" s="94"/>
      <c r="AB338" s="1"/>
      <c r="AC338" s="57" t="s">
        <v>1636</v>
      </c>
      <c r="AD338" s="1"/>
      <c r="AE338" s="57"/>
      <c r="AF338" s="1"/>
      <c r="AG338" s="1"/>
      <c r="AH338" s="1"/>
      <c r="AI338" s="1"/>
      <c r="AJ338" s="1"/>
      <c r="AK338" s="1"/>
      <c r="AL338" s="1"/>
      <c r="AM338" s="1"/>
      <c r="AN338" s="1"/>
      <c r="AO338" s="1"/>
      <c r="AP338" s="1"/>
      <c r="AQ338" s="1"/>
      <c r="AR338" s="1"/>
      <c r="AS338" s="1"/>
      <c r="AT338" s="1"/>
      <c r="AU338" s="1"/>
      <c r="AV338" s="1"/>
      <c r="AW338" s="1"/>
      <c r="AX338" s="1"/>
      <c r="AY338" s="1"/>
      <c r="AZ338" s="1"/>
      <c r="BA338" s="1"/>
      <c r="BB338" s="1"/>
      <c r="BC338" s="1"/>
      <c r="BD338" s="1"/>
      <c r="BE338" s="1"/>
      <c r="BF338" s="1"/>
      <c r="BG338" s="1"/>
      <c r="BH338" s="1"/>
      <c r="BI338" s="1"/>
      <c r="BJ338" s="1"/>
      <c r="BK338" s="1"/>
      <c r="BL338" s="1"/>
      <c r="BM338" s="1"/>
      <c r="BN338" s="1"/>
      <c r="BO338" s="1"/>
      <c r="BP338" s="1"/>
      <c r="BQ338" s="1"/>
      <c r="BR338" s="1"/>
      <c r="BS338" s="1"/>
      <c r="BT338" s="1"/>
      <c r="BU338" s="1"/>
      <c r="BV338" s="1"/>
    </row>
    <row r="339" spans="1:74" s="49" customFormat="1" x14ac:dyDescent="0.25">
      <c r="A339" s="1"/>
      <c r="B339" s="13"/>
      <c r="C339" s="96"/>
      <c r="D339" s="1"/>
      <c r="E339" s="1"/>
      <c r="F339" s="1"/>
      <c r="G339" s="1"/>
      <c r="H339" s="1"/>
      <c r="I339" s="1"/>
      <c r="J339" s="1"/>
      <c r="K339" s="1"/>
      <c r="L339" s="1"/>
      <c r="M339" s="1"/>
      <c r="N339" s="1"/>
      <c r="O339" s="1"/>
      <c r="P339" s="1"/>
      <c r="Q339" s="96"/>
      <c r="R339" s="96"/>
      <c r="S339" s="1"/>
      <c r="T339" s="1"/>
      <c r="U339" s="1"/>
      <c r="V339" s="1"/>
      <c r="W339" s="96"/>
      <c r="X339" s="96"/>
      <c r="Y339" s="96"/>
      <c r="Z339" s="1"/>
      <c r="AA339" s="94"/>
      <c r="AB339" s="1"/>
      <c r="AC339" s="57" t="s">
        <v>1634</v>
      </c>
      <c r="AD339" s="1"/>
      <c r="AE339" s="57"/>
      <c r="AF339" s="1"/>
      <c r="AG339" s="1"/>
      <c r="AH339" s="1"/>
      <c r="AI339" s="1"/>
      <c r="AJ339" s="1"/>
      <c r="AK339" s="1"/>
      <c r="AL339" s="1"/>
      <c r="AM339" s="1"/>
      <c r="AN339" s="1"/>
      <c r="AO339" s="1"/>
      <c r="AP339" s="1"/>
      <c r="AQ339" s="1"/>
      <c r="AR339" s="1"/>
      <c r="AS339" s="1"/>
      <c r="AT339" s="1"/>
      <c r="AU339" s="1"/>
      <c r="AV339" s="1"/>
      <c r="AW339" s="1"/>
      <c r="AX339" s="1"/>
      <c r="AY339" s="1"/>
      <c r="AZ339" s="1"/>
      <c r="BA339" s="1"/>
      <c r="BB339" s="1"/>
      <c r="BC339" s="1"/>
      <c r="BD339" s="1"/>
      <c r="BE339" s="1"/>
      <c r="BF339" s="1"/>
      <c r="BG339" s="1"/>
      <c r="BH339" s="1"/>
      <c r="BI339" s="1"/>
      <c r="BJ339" s="1"/>
      <c r="BK339" s="1"/>
      <c r="BL339" s="1"/>
      <c r="BM339" s="1"/>
      <c r="BN339" s="1"/>
      <c r="BO339" s="1"/>
      <c r="BP339" s="1"/>
      <c r="BQ339" s="1"/>
      <c r="BR339" s="1"/>
      <c r="BS339" s="1"/>
      <c r="BT339" s="1"/>
      <c r="BU339" s="1"/>
      <c r="BV339" s="1"/>
    </row>
    <row r="340" spans="1:74" s="25" customFormat="1" x14ac:dyDescent="0.25">
      <c r="A340" s="1"/>
      <c r="B340" s="13"/>
      <c r="C340" s="96"/>
      <c r="D340" s="1"/>
      <c r="E340" s="1"/>
      <c r="F340" s="1"/>
      <c r="G340" s="1"/>
      <c r="H340" s="1"/>
      <c r="I340" s="1"/>
      <c r="J340" s="1"/>
      <c r="K340" s="1"/>
      <c r="L340" s="1"/>
      <c r="M340" s="1"/>
      <c r="N340" s="1"/>
      <c r="O340" s="1"/>
      <c r="P340" s="1"/>
      <c r="Q340" s="96"/>
      <c r="R340" s="96"/>
      <c r="S340" s="1"/>
      <c r="T340" s="1"/>
      <c r="U340" s="1"/>
      <c r="V340" s="1"/>
      <c r="W340" s="96"/>
      <c r="X340" s="96"/>
      <c r="Y340" s="96"/>
      <c r="Z340" s="1"/>
      <c r="AA340" s="94"/>
      <c r="AB340" s="1"/>
      <c r="AC340" s="57"/>
      <c r="AD340" s="1"/>
      <c r="AE340" s="57"/>
      <c r="AF340" s="1"/>
      <c r="AG340" s="1"/>
      <c r="AH340" s="1"/>
      <c r="AI340" s="1"/>
      <c r="AJ340" s="1"/>
      <c r="AK340" s="1"/>
      <c r="AL340" s="1"/>
      <c r="AM340" s="1"/>
      <c r="AN340" s="1"/>
      <c r="AO340" s="1"/>
      <c r="AP340" s="1"/>
      <c r="AQ340" s="1"/>
      <c r="AR340" s="1"/>
      <c r="AS340" s="1"/>
      <c r="AT340" s="1"/>
      <c r="AU340" s="1"/>
      <c r="AV340" s="1"/>
      <c r="AW340" s="1"/>
      <c r="AX340" s="1"/>
      <c r="AY340" s="1"/>
      <c r="AZ340" s="1"/>
      <c r="BA340" s="1"/>
      <c r="BB340" s="1"/>
      <c r="BC340" s="1"/>
      <c r="BD340" s="1"/>
      <c r="BE340" s="1"/>
      <c r="BF340" s="1"/>
      <c r="BG340" s="1"/>
      <c r="BH340" s="1"/>
      <c r="BI340" s="1"/>
      <c r="BJ340" s="1"/>
      <c r="BK340" s="1"/>
      <c r="BL340" s="1"/>
      <c r="BM340" s="1"/>
      <c r="BN340" s="1"/>
      <c r="BO340" s="1"/>
      <c r="BP340" s="1"/>
      <c r="BQ340" s="1"/>
      <c r="BR340" s="1"/>
      <c r="BS340" s="1"/>
      <c r="BT340" s="1"/>
      <c r="BU340" s="1"/>
      <c r="BV340" s="1"/>
    </row>
    <row r="341" spans="1:74" s="45" customFormat="1" x14ac:dyDescent="0.25">
      <c r="A341" s="1"/>
      <c r="B341" s="13"/>
      <c r="C341" s="96"/>
      <c r="D341" s="91"/>
      <c r="E341" s="1"/>
      <c r="F341" s="1"/>
      <c r="G341" s="1"/>
      <c r="H341" s="1"/>
      <c r="I341" s="1"/>
      <c r="J341" s="91"/>
      <c r="K341" s="1"/>
      <c r="L341" s="1"/>
      <c r="M341" s="1"/>
      <c r="N341" s="1"/>
      <c r="O341" s="1"/>
      <c r="P341" s="1"/>
      <c r="Q341" s="96"/>
      <c r="R341" s="96"/>
      <c r="S341" s="1"/>
      <c r="T341" s="1"/>
      <c r="U341" s="1"/>
      <c r="V341" s="1"/>
      <c r="W341" s="96"/>
      <c r="X341" s="96"/>
      <c r="Y341" s="96"/>
      <c r="Z341" s="1"/>
      <c r="AA341" s="94"/>
      <c r="AB341" s="1"/>
      <c r="AC341" s="57" t="s">
        <v>1722</v>
      </c>
      <c r="AD341" s="1"/>
      <c r="AE341" s="57"/>
      <c r="AF341" s="1"/>
      <c r="AG341" s="1"/>
      <c r="AH341" s="1"/>
      <c r="AI341" s="1"/>
      <c r="AJ341" s="1"/>
      <c r="AK341" s="1"/>
      <c r="AL341" s="1"/>
      <c r="AM341" s="1"/>
      <c r="AN341" s="1"/>
      <c r="AO341" s="1"/>
      <c r="AP341" s="1"/>
      <c r="AQ341" s="1"/>
      <c r="AR341" s="1"/>
      <c r="AS341" s="1"/>
      <c r="AT341" s="1"/>
      <c r="AU341" s="1"/>
      <c r="AV341" s="1"/>
      <c r="AW341" s="1"/>
      <c r="AX341" s="1"/>
      <c r="AY341" s="1"/>
      <c r="AZ341" s="1"/>
      <c r="BA341" s="1"/>
      <c r="BB341" s="1"/>
      <c r="BC341" s="1"/>
      <c r="BD341" s="1"/>
      <c r="BE341" s="1"/>
      <c r="BF341" s="1"/>
      <c r="BG341" s="1"/>
      <c r="BH341" s="1"/>
      <c r="BI341" s="1"/>
      <c r="BJ341" s="1"/>
      <c r="BK341" s="1"/>
      <c r="BL341" s="1"/>
      <c r="BM341" s="1"/>
      <c r="BN341" s="1"/>
      <c r="BO341" s="1"/>
      <c r="BP341" s="1"/>
      <c r="BQ341" s="1"/>
      <c r="BR341" s="1"/>
      <c r="BS341" s="1"/>
      <c r="BT341" s="1"/>
      <c r="BU341" s="1"/>
      <c r="BV341" s="1"/>
    </row>
    <row r="342" spans="1:74" x14ac:dyDescent="0.25">
      <c r="C342" s="96"/>
      <c r="AC342" s="57" t="s">
        <v>1723</v>
      </c>
    </row>
    <row r="343" spans="1:74" x14ac:dyDescent="0.25">
      <c r="C343" s="96"/>
      <c r="L343" s="91"/>
      <c r="P343" s="91"/>
      <c r="AC343" s="57" t="s">
        <v>1724</v>
      </c>
    </row>
    <row r="344" spans="1:74" s="49" customFormat="1" x14ac:dyDescent="0.25">
      <c r="A344" s="1"/>
      <c r="B344" s="13"/>
      <c r="C344" s="96"/>
      <c r="D344" s="1"/>
      <c r="E344" s="1"/>
      <c r="F344" s="1"/>
      <c r="G344" s="1"/>
      <c r="H344" s="1"/>
      <c r="I344" s="1"/>
      <c r="J344" s="1"/>
      <c r="K344" s="1"/>
      <c r="L344" s="1"/>
      <c r="M344" s="1"/>
      <c r="N344" s="1"/>
      <c r="O344" s="1"/>
      <c r="P344" s="1"/>
      <c r="Q344" s="96"/>
      <c r="R344" s="96"/>
      <c r="S344" s="1"/>
      <c r="T344" s="1"/>
      <c r="U344" s="1"/>
      <c r="V344" s="1"/>
      <c r="W344" s="96"/>
      <c r="X344" s="96"/>
      <c r="Y344" s="96"/>
      <c r="Z344" s="1"/>
      <c r="AA344" s="94"/>
      <c r="AB344" s="1"/>
      <c r="AC344" s="57"/>
      <c r="AD344" s="1"/>
      <c r="AE344" s="57"/>
      <c r="AF344" s="1"/>
      <c r="AG344" s="1"/>
      <c r="AH344" s="1"/>
      <c r="AI344" s="1"/>
      <c r="AJ344" s="1"/>
      <c r="AK344" s="1"/>
      <c r="AL344" s="1"/>
      <c r="AM344" s="1"/>
      <c r="AN344" s="1"/>
      <c r="AO344" s="1"/>
      <c r="AP344" s="1"/>
      <c r="AQ344" s="1"/>
      <c r="AR344" s="1"/>
      <c r="AS344" s="1"/>
      <c r="AT344" s="1"/>
      <c r="AU344" s="1"/>
      <c r="AV344" s="1"/>
      <c r="AW344" s="1"/>
      <c r="AX344" s="1"/>
      <c r="AY344" s="1"/>
      <c r="AZ344" s="1"/>
      <c r="BA344" s="1"/>
      <c r="BB344" s="1"/>
      <c r="BC344" s="1"/>
      <c r="BD344" s="1"/>
      <c r="BE344" s="1"/>
      <c r="BF344" s="1"/>
      <c r="BG344" s="1"/>
      <c r="BH344" s="1"/>
      <c r="BI344" s="1"/>
      <c r="BJ344" s="1"/>
      <c r="BK344" s="1"/>
      <c r="BL344" s="1"/>
      <c r="BM344" s="1"/>
      <c r="BN344" s="1"/>
      <c r="BO344" s="1"/>
      <c r="BP344" s="1"/>
      <c r="BQ344" s="1"/>
      <c r="BR344" s="1"/>
      <c r="BS344" s="1"/>
      <c r="BT344" s="1"/>
      <c r="BU344" s="1"/>
      <c r="BV344" s="1"/>
    </row>
    <row r="345" spans="1:74" s="25" customFormat="1" x14ac:dyDescent="0.25">
      <c r="A345" s="1"/>
      <c r="B345" s="13"/>
      <c r="C345" s="96"/>
      <c r="D345" s="1"/>
      <c r="E345" s="1"/>
      <c r="F345" s="1"/>
      <c r="G345" s="1"/>
      <c r="H345" s="1"/>
      <c r="I345" s="1"/>
      <c r="J345" s="1"/>
      <c r="K345" s="1"/>
      <c r="L345" s="1"/>
      <c r="M345" s="1"/>
      <c r="N345" s="1"/>
      <c r="O345" s="1"/>
      <c r="P345" s="1"/>
      <c r="Q345" s="96"/>
      <c r="R345" s="96"/>
      <c r="S345" s="1"/>
      <c r="T345" s="1"/>
      <c r="U345" s="1"/>
      <c r="V345" s="1"/>
      <c r="W345" s="96"/>
      <c r="X345" s="96"/>
      <c r="Y345" s="96"/>
      <c r="Z345" s="1"/>
      <c r="AA345" s="94"/>
      <c r="AB345" s="1"/>
      <c r="AC345" s="57"/>
      <c r="AD345" s="1"/>
      <c r="AE345" s="57"/>
      <c r="AF345" s="1"/>
      <c r="AG345" s="1"/>
      <c r="AH345" s="1"/>
      <c r="AI345" s="1"/>
      <c r="AJ345" s="1"/>
      <c r="AK345" s="1"/>
      <c r="AL345" s="1"/>
      <c r="AM345" s="1"/>
      <c r="AN345" s="1"/>
      <c r="AO345" s="1"/>
      <c r="AP345" s="1"/>
      <c r="AQ345" s="1"/>
      <c r="AR345" s="1"/>
      <c r="AS345" s="1"/>
      <c r="AT345" s="1"/>
      <c r="AU345" s="1"/>
      <c r="AV345" s="1"/>
      <c r="AW345" s="1"/>
      <c r="AX345" s="1"/>
      <c r="AY345" s="1"/>
      <c r="AZ345" s="1"/>
      <c r="BA345" s="1"/>
      <c r="BB345" s="1"/>
      <c r="BC345" s="1"/>
      <c r="BD345" s="1"/>
      <c r="BE345" s="1"/>
      <c r="BF345" s="1"/>
      <c r="BG345" s="1"/>
      <c r="BH345" s="1"/>
      <c r="BI345" s="1"/>
      <c r="BJ345" s="1"/>
      <c r="BK345" s="1"/>
      <c r="BL345" s="1"/>
      <c r="BM345" s="1"/>
      <c r="BN345" s="1"/>
      <c r="BO345" s="1"/>
      <c r="BP345" s="1"/>
      <c r="BQ345" s="1"/>
      <c r="BR345" s="1"/>
      <c r="BS345" s="1"/>
      <c r="BT345" s="1"/>
      <c r="BU345" s="1"/>
      <c r="BV345" s="1"/>
    </row>
    <row r="346" spans="1:74" x14ac:dyDescent="0.25">
      <c r="C346" s="96"/>
      <c r="D346" s="57"/>
      <c r="AC346" s="57" t="s">
        <v>1633</v>
      </c>
    </row>
    <row r="347" spans="1:74" s="45" customFormat="1" x14ac:dyDescent="0.25">
      <c r="A347" s="1"/>
      <c r="B347" s="13"/>
      <c r="C347" s="96"/>
      <c r="D347" s="1"/>
      <c r="E347" s="1"/>
      <c r="F347" s="1"/>
      <c r="G347" s="1"/>
      <c r="H347" s="1"/>
      <c r="I347" s="1"/>
      <c r="J347" s="1"/>
      <c r="K347" s="1"/>
      <c r="L347" s="1"/>
      <c r="M347" s="1"/>
      <c r="N347" s="1"/>
      <c r="O347" s="1"/>
      <c r="P347" s="1"/>
      <c r="Q347" s="96"/>
      <c r="R347" s="96"/>
      <c r="S347" s="1"/>
      <c r="T347" s="1"/>
      <c r="U347" s="1"/>
      <c r="V347" s="1"/>
      <c r="W347" s="96"/>
      <c r="X347" s="96"/>
      <c r="Y347" s="96"/>
      <c r="Z347" s="1"/>
      <c r="AA347" s="94"/>
      <c r="AB347" s="1"/>
      <c r="AC347" s="57" t="s">
        <v>1637</v>
      </c>
      <c r="AD347" s="1"/>
      <c r="AE347" s="57"/>
      <c r="AF347" s="1"/>
      <c r="AG347" s="1"/>
      <c r="AH347" s="1"/>
      <c r="AI347" s="1"/>
      <c r="AJ347" s="1"/>
      <c r="AK347" s="1"/>
      <c r="AL347" s="1"/>
      <c r="AM347" s="1"/>
      <c r="AN347" s="1"/>
      <c r="AO347" s="1"/>
      <c r="AP347" s="1"/>
      <c r="AQ347" s="1"/>
      <c r="AR347" s="1"/>
      <c r="AS347" s="1"/>
      <c r="AT347" s="1"/>
      <c r="AU347" s="1"/>
      <c r="AV347" s="1"/>
      <c r="AW347" s="1"/>
      <c r="AX347" s="1"/>
      <c r="AY347" s="1"/>
      <c r="AZ347" s="1"/>
      <c r="BA347" s="1"/>
      <c r="BB347" s="1"/>
      <c r="BC347" s="1"/>
      <c r="BD347" s="1"/>
      <c r="BE347" s="1"/>
      <c r="BF347" s="1"/>
      <c r="BG347" s="1"/>
      <c r="BH347" s="1"/>
      <c r="BI347" s="1"/>
      <c r="BJ347" s="1"/>
      <c r="BK347" s="1"/>
      <c r="BL347" s="1"/>
      <c r="BM347" s="1"/>
      <c r="BN347" s="1"/>
      <c r="BO347" s="1"/>
      <c r="BP347" s="1"/>
      <c r="BQ347" s="1"/>
      <c r="BR347" s="1"/>
      <c r="BS347" s="1"/>
      <c r="BT347" s="1"/>
      <c r="BU347" s="1"/>
      <c r="BV347" s="1"/>
    </row>
    <row r="348" spans="1:74" s="25" customFormat="1" x14ac:dyDescent="0.25">
      <c r="A348" s="1"/>
      <c r="B348" s="13"/>
      <c r="C348" s="96"/>
      <c r="D348" s="1"/>
      <c r="E348" s="1"/>
      <c r="F348" s="1"/>
      <c r="G348" s="1"/>
      <c r="H348" s="1"/>
      <c r="I348" s="1"/>
      <c r="J348" s="1"/>
      <c r="K348" s="1"/>
      <c r="L348" s="1"/>
      <c r="M348" s="1"/>
      <c r="N348" s="1"/>
      <c r="O348" s="1"/>
      <c r="P348" s="1"/>
      <c r="Q348" s="96"/>
      <c r="R348" s="96"/>
      <c r="S348" s="1"/>
      <c r="T348" s="1"/>
      <c r="U348" s="1"/>
      <c r="V348" s="1"/>
      <c r="W348" s="96"/>
      <c r="X348" s="96"/>
      <c r="Y348" s="96"/>
      <c r="Z348" s="1"/>
      <c r="AA348" s="94"/>
      <c r="AB348" s="1"/>
      <c r="AC348" s="57"/>
      <c r="AD348" s="1"/>
      <c r="AE348" s="57"/>
      <c r="AF348" s="1"/>
      <c r="AG348" s="1"/>
      <c r="AH348" s="1"/>
      <c r="AI348" s="1"/>
      <c r="AJ348" s="1"/>
      <c r="AK348" s="1"/>
      <c r="AL348" s="1"/>
      <c r="AM348" s="1"/>
      <c r="AN348" s="1"/>
      <c r="AO348" s="1"/>
      <c r="AP348" s="1"/>
      <c r="AQ348" s="1"/>
      <c r="AR348" s="1"/>
      <c r="AS348" s="1"/>
      <c r="AT348" s="1"/>
      <c r="AU348" s="1"/>
      <c r="AV348" s="1"/>
      <c r="AW348" s="1"/>
      <c r="AX348" s="1"/>
      <c r="AY348" s="1"/>
      <c r="AZ348" s="1"/>
      <c r="BA348" s="1"/>
      <c r="BB348" s="1"/>
      <c r="BC348" s="1"/>
      <c r="BD348" s="1"/>
      <c r="BE348" s="1"/>
      <c r="BF348" s="1"/>
      <c r="BG348" s="1"/>
      <c r="BH348" s="1"/>
      <c r="BI348" s="1"/>
      <c r="BJ348" s="1"/>
      <c r="BK348" s="1"/>
      <c r="BL348" s="1"/>
      <c r="BM348" s="1"/>
      <c r="BN348" s="1"/>
      <c r="BO348" s="1"/>
      <c r="BP348" s="1"/>
      <c r="BQ348" s="1"/>
      <c r="BR348" s="1"/>
      <c r="BS348" s="1"/>
      <c r="BT348" s="1"/>
      <c r="BU348" s="1"/>
      <c r="BV348" s="1"/>
    </row>
    <row r="349" spans="1:74" x14ac:dyDescent="0.25">
      <c r="C349" s="96"/>
    </row>
    <row r="350" spans="1:74" s="45" customFormat="1" x14ac:dyDescent="0.25">
      <c r="A350" s="1"/>
      <c r="B350" s="13"/>
      <c r="C350" s="96"/>
      <c r="D350" s="1"/>
      <c r="E350" s="1"/>
      <c r="F350" s="1"/>
      <c r="G350" s="1"/>
      <c r="H350" s="1"/>
      <c r="I350" s="1"/>
      <c r="J350" s="1"/>
      <c r="K350" s="1"/>
      <c r="L350" s="1"/>
      <c r="M350" s="1"/>
      <c r="N350" s="1"/>
      <c r="O350" s="1"/>
      <c r="P350" s="1"/>
      <c r="Q350" s="96"/>
      <c r="R350" s="96"/>
      <c r="S350" s="1"/>
      <c r="T350" s="1"/>
      <c r="U350" s="1"/>
      <c r="V350" s="1"/>
      <c r="W350" s="96"/>
      <c r="X350" s="96"/>
      <c r="Y350" s="96"/>
      <c r="Z350" s="1"/>
      <c r="AA350" s="94"/>
      <c r="AB350" s="1"/>
      <c r="AC350" s="57" t="s">
        <v>1636</v>
      </c>
      <c r="AD350" s="1"/>
      <c r="AE350" s="57"/>
      <c r="AF350" s="1"/>
      <c r="AG350" s="1"/>
      <c r="AH350" s="1"/>
      <c r="AI350" s="1"/>
      <c r="AJ350" s="1"/>
      <c r="AK350" s="1"/>
      <c r="AL350" s="1"/>
      <c r="AM350" s="1"/>
      <c r="AN350" s="1"/>
      <c r="AO350" s="1"/>
      <c r="AP350" s="1"/>
      <c r="AQ350" s="1"/>
      <c r="AR350" s="1"/>
      <c r="AS350" s="1"/>
      <c r="AT350" s="1"/>
      <c r="AU350" s="1"/>
      <c r="AV350" s="1"/>
      <c r="AW350" s="1"/>
      <c r="AX350" s="1"/>
      <c r="AY350" s="1"/>
      <c r="AZ350" s="1"/>
      <c r="BA350" s="1"/>
      <c r="BB350" s="1"/>
      <c r="BC350" s="1"/>
      <c r="BD350" s="1"/>
      <c r="BE350" s="1"/>
      <c r="BF350" s="1"/>
      <c r="BG350" s="1"/>
      <c r="BH350" s="1"/>
      <c r="BI350" s="1"/>
      <c r="BJ350" s="1"/>
      <c r="BK350" s="1"/>
      <c r="BL350" s="1"/>
      <c r="BM350" s="1"/>
      <c r="BN350" s="1"/>
      <c r="BO350" s="1"/>
      <c r="BP350" s="1"/>
      <c r="BQ350" s="1"/>
      <c r="BR350" s="1"/>
      <c r="BS350" s="1"/>
      <c r="BT350" s="1"/>
      <c r="BU350" s="1"/>
      <c r="BV350" s="1"/>
    </row>
    <row r="351" spans="1:74" s="40" customFormat="1" x14ac:dyDescent="0.25">
      <c r="A351" s="1"/>
      <c r="B351" s="13"/>
      <c r="C351" s="96"/>
      <c r="D351" s="1"/>
      <c r="E351" s="1"/>
      <c r="F351" s="1"/>
      <c r="G351" s="1"/>
      <c r="H351" s="1"/>
      <c r="I351" s="1"/>
      <c r="J351" s="1"/>
      <c r="K351" s="1"/>
      <c r="L351" s="1"/>
      <c r="M351" s="1"/>
      <c r="N351" s="1"/>
      <c r="O351" s="1"/>
      <c r="P351" s="1"/>
      <c r="Q351" s="96"/>
      <c r="R351" s="96"/>
      <c r="S351" s="1"/>
      <c r="T351" s="1"/>
      <c r="U351" s="1"/>
      <c r="V351" s="1"/>
      <c r="W351" s="96"/>
      <c r="X351" s="96"/>
      <c r="Y351" s="96"/>
      <c r="Z351" s="1"/>
      <c r="AA351" s="94"/>
      <c r="AB351" s="1"/>
      <c r="AC351" s="57"/>
      <c r="AD351" s="1"/>
      <c r="AE351" s="57"/>
      <c r="AF351" s="1"/>
      <c r="AG351" s="1"/>
      <c r="AH351" s="1"/>
      <c r="AI351" s="1"/>
      <c r="AJ351" s="1"/>
      <c r="AK351" s="1"/>
      <c r="AL351" s="1"/>
      <c r="AM351" s="1"/>
      <c r="AN351" s="1"/>
      <c r="AO351" s="1"/>
      <c r="AP351" s="1"/>
      <c r="AQ351" s="1"/>
      <c r="AR351" s="1"/>
      <c r="AS351" s="1"/>
      <c r="AT351" s="1"/>
      <c r="AU351" s="1"/>
      <c r="AV351" s="1"/>
      <c r="AW351" s="1"/>
      <c r="AX351" s="1"/>
      <c r="AY351" s="1"/>
      <c r="AZ351" s="1"/>
      <c r="BA351" s="1"/>
      <c r="BB351" s="1"/>
      <c r="BC351" s="1"/>
      <c r="BD351" s="1"/>
      <c r="BE351" s="1"/>
      <c r="BF351" s="1"/>
      <c r="BG351" s="1"/>
      <c r="BH351" s="1"/>
      <c r="BI351" s="1"/>
      <c r="BJ351" s="1"/>
      <c r="BK351" s="1"/>
      <c r="BL351" s="1"/>
      <c r="BM351" s="1"/>
      <c r="BN351" s="1"/>
      <c r="BO351" s="1"/>
      <c r="BP351" s="1"/>
      <c r="BQ351" s="1"/>
      <c r="BR351" s="1"/>
      <c r="BS351" s="1"/>
      <c r="BT351" s="1"/>
      <c r="BU351" s="1"/>
      <c r="BV351" s="1"/>
    </row>
    <row r="352" spans="1:74" x14ac:dyDescent="0.25">
      <c r="C352" s="96"/>
    </row>
    <row r="353" spans="1:74" x14ac:dyDescent="0.25">
      <c r="C353" s="96"/>
    </row>
    <row r="354" spans="1:74" x14ac:dyDescent="0.25">
      <c r="C354" s="96"/>
    </row>
    <row r="355" spans="1:74" x14ac:dyDescent="0.25">
      <c r="C355" s="96"/>
    </row>
    <row r="356" spans="1:74" s="40" customFormat="1" x14ac:dyDescent="0.25">
      <c r="A356" s="1"/>
      <c r="B356" s="13"/>
      <c r="C356" s="96"/>
      <c r="D356" s="1"/>
      <c r="E356" s="1"/>
      <c r="F356" s="1"/>
      <c r="G356" s="1"/>
      <c r="H356" s="1"/>
      <c r="I356" s="1"/>
      <c r="J356" s="1"/>
      <c r="K356" s="1"/>
      <c r="L356" s="1"/>
      <c r="M356" s="1"/>
      <c r="N356" s="1"/>
      <c r="O356" s="1"/>
      <c r="P356" s="1"/>
      <c r="Q356" s="96"/>
      <c r="R356" s="96"/>
      <c r="S356" s="1"/>
      <c r="T356" s="1"/>
      <c r="U356" s="1"/>
      <c r="V356" s="1"/>
      <c r="W356" s="96"/>
      <c r="X356" s="96"/>
      <c r="Y356" s="96"/>
      <c r="Z356" s="1"/>
      <c r="AA356" s="94"/>
      <c r="AB356" s="1"/>
      <c r="AC356" s="57"/>
      <c r="AD356" s="1"/>
      <c r="AE356" s="57"/>
      <c r="AF356" s="1"/>
      <c r="AG356" s="1"/>
      <c r="AH356" s="1"/>
      <c r="AI356" s="1"/>
      <c r="AJ356" s="1"/>
      <c r="AK356" s="1"/>
      <c r="AL356" s="1"/>
      <c r="AM356" s="1"/>
      <c r="AN356" s="1"/>
      <c r="AO356" s="1"/>
      <c r="AP356" s="1"/>
      <c r="AQ356" s="1"/>
      <c r="AR356" s="1"/>
      <c r="AS356" s="1"/>
      <c r="AT356" s="1"/>
      <c r="AU356" s="1"/>
      <c r="AV356" s="1"/>
      <c r="AW356" s="1"/>
      <c r="AX356" s="1"/>
      <c r="AY356" s="1"/>
      <c r="AZ356" s="1"/>
      <c r="BA356" s="1"/>
      <c r="BB356" s="1"/>
      <c r="BC356" s="1"/>
      <c r="BD356" s="1"/>
      <c r="BE356" s="1"/>
      <c r="BF356" s="1"/>
      <c r="BG356" s="1"/>
      <c r="BH356" s="1"/>
      <c r="BI356" s="1"/>
      <c r="BJ356" s="1"/>
      <c r="BK356" s="1"/>
      <c r="BL356" s="1"/>
      <c r="BM356" s="1"/>
      <c r="BN356" s="1"/>
      <c r="BO356" s="1"/>
      <c r="BP356" s="1"/>
      <c r="BQ356" s="1"/>
      <c r="BR356" s="1"/>
      <c r="BS356" s="1"/>
      <c r="BT356" s="1"/>
      <c r="BU356" s="1"/>
      <c r="BV356" s="1"/>
    </row>
    <row r="357" spans="1:74" s="40" customFormat="1" x14ac:dyDescent="0.25">
      <c r="A357" s="1"/>
      <c r="B357" s="13"/>
      <c r="C357" s="96"/>
      <c r="D357" s="1"/>
      <c r="E357" s="1"/>
      <c r="F357" s="1"/>
      <c r="G357" s="1"/>
      <c r="H357" s="1"/>
      <c r="I357" s="1"/>
      <c r="J357" s="1"/>
      <c r="K357" s="1"/>
      <c r="L357" s="1"/>
      <c r="M357" s="1"/>
      <c r="N357" s="1"/>
      <c r="O357" s="1"/>
      <c r="P357" s="1"/>
      <c r="Q357" s="96"/>
      <c r="R357" s="96"/>
      <c r="S357" s="1"/>
      <c r="T357" s="1"/>
      <c r="U357" s="1"/>
      <c r="V357" s="1"/>
      <c r="W357" s="96"/>
      <c r="X357" s="96"/>
      <c r="Y357" s="96"/>
      <c r="Z357" s="1"/>
      <c r="AA357" s="94"/>
      <c r="AB357" s="1"/>
      <c r="AC357" s="57" t="s">
        <v>1634</v>
      </c>
      <c r="AD357" s="1"/>
      <c r="AE357" s="57"/>
      <c r="AF357" s="1"/>
      <c r="AG357" s="1"/>
      <c r="AH357" s="1"/>
      <c r="AI357" s="1"/>
      <c r="AJ357" s="1"/>
      <c r="AK357" s="1"/>
      <c r="AL357" s="1"/>
      <c r="AM357" s="1"/>
      <c r="AN357" s="1"/>
      <c r="AO357" s="1"/>
      <c r="AP357" s="1"/>
      <c r="AQ357" s="1"/>
      <c r="AR357" s="1"/>
      <c r="AS357" s="1"/>
      <c r="AT357" s="1"/>
      <c r="AU357" s="1"/>
      <c r="AV357" s="1"/>
      <c r="AW357" s="1"/>
      <c r="AX357" s="1"/>
      <c r="AY357" s="1"/>
      <c r="AZ357" s="1"/>
      <c r="BA357" s="1"/>
      <c r="BB357" s="1"/>
      <c r="BC357" s="1"/>
      <c r="BD357" s="1"/>
      <c r="BE357" s="1"/>
      <c r="BF357" s="1"/>
      <c r="BG357" s="1"/>
      <c r="BH357" s="1"/>
      <c r="BI357" s="1"/>
      <c r="BJ357" s="1"/>
      <c r="BK357" s="1"/>
      <c r="BL357" s="1"/>
      <c r="BM357" s="1"/>
      <c r="BN357" s="1"/>
      <c r="BO357" s="1"/>
      <c r="BP357" s="1"/>
      <c r="BQ357" s="1"/>
      <c r="BR357" s="1"/>
      <c r="BS357" s="1"/>
      <c r="BT357" s="1"/>
      <c r="BU357" s="1"/>
      <c r="BV357" s="1"/>
    </row>
    <row r="358" spans="1:74" s="45" customFormat="1" x14ac:dyDescent="0.25">
      <c r="A358" s="1"/>
      <c r="B358" s="13"/>
      <c r="C358" s="96"/>
      <c r="D358" s="1"/>
      <c r="E358" s="1"/>
      <c r="F358" s="1"/>
      <c r="G358" s="1"/>
      <c r="H358" s="1"/>
      <c r="I358" s="1"/>
      <c r="J358" s="1"/>
      <c r="K358" s="1"/>
      <c r="L358" s="1"/>
      <c r="M358" s="1"/>
      <c r="N358" s="1"/>
      <c r="O358" s="1"/>
      <c r="P358" s="1"/>
      <c r="Q358" s="96"/>
      <c r="R358" s="96"/>
      <c r="S358" s="1"/>
      <c r="T358" s="1"/>
      <c r="U358" s="1"/>
      <c r="V358" s="1"/>
      <c r="W358" s="96"/>
      <c r="X358" s="96"/>
      <c r="Y358" s="96"/>
      <c r="Z358" s="1"/>
      <c r="AA358" s="94"/>
      <c r="AB358" s="1"/>
      <c r="AC358" s="57" t="s">
        <v>1637</v>
      </c>
      <c r="AD358" s="1"/>
      <c r="AE358" s="57"/>
      <c r="AF358" s="1"/>
      <c r="AG358" s="1"/>
      <c r="AH358" s="1"/>
      <c r="AI358" s="1"/>
      <c r="AJ358" s="1"/>
      <c r="AK358" s="1"/>
      <c r="AL358" s="1"/>
      <c r="AM358" s="1"/>
      <c r="AN358" s="1"/>
      <c r="AO358" s="1"/>
      <c r="AP358" s="1"/>
      <c r="AQ358" s="1"/>
      <c r="AR358" s="1"/>
      <c r="AS358" s="1"/>
      <c r="AT358" s="1"/>
      <c r="AU358" s="1"/>
      <c r="AV358" s="1"/>
      <c r="AW358" s="1"/>
      <c r="AX358" s="1"/>
      <c r="AY358" s="1"/>
      <c r="AZ358" s="1"/>
      <c r="BA358" s="1"/>
      <c r="BB358" s="1"/>
      <c r="BC358" s="1"/>
      <c r="BD358" s="1"/>
      <c r="BE358" s="1"/>
      <c r="BF358" s="1"/>
      <c r="BG358" s="1"/>
      <c r="BH358" s="1"/>
      <c r="BI358" s="1"/>
      <c r="BJ358" s="1"/>
      <c r="BK358" s="1"/>
      <c r="BL358" s="1"/>
      <c r="BM358" s="1"/>
      <c r="BN358" s="1"/>
      <c r="BO358" s="1"/>
      <c r="BP358" s="1"/>
      <c r="BQ358" s="1"/>
      <c r="BR358" s="1"/>
      <c r="BS358" s="1"/>
      <c r="BT358" s="1"/>
      <c r="BU358" s="1"/>
      <c r="BV358" s="1"/>
    </row>
    <row r="359" spans="1:74" s="45" customFormat="1" x14ac:dyDescent="0.25">
      <c r="A359" s="1"/>
      <c r="B359" s="13"/>
      <c r="C359" s="96"/>
      <c r="D359" s="1"/>
      <c r="E359" s="1"/>
      <c r="F359" s="1"/>
      <c r="G359" s="1"/>
      <c r="H359" s="1"/>
      <c r="I359" s="1"/>
      <c r="J359" s="1"/>
      <c r="K359" s="1"/>
      <c r="L359" s="1"/>
      <c r="M359" s="1"/>
      <c r="N359" s="1"/>
      <c r="O359" s="1"/>
      <c r="P359" s="1"/>
      <c r="Q359" s="96"/>
      <c r="R359" s="96"/>
      <c r="S359" s="1"/>
      <c r="T359" s="1"/>
      <c r="U359" s="1"/>
      <c r="V359" s="1"/>
      <c r="W359" s="96"/>
      <c r="X359" s="96"/>
      <c r="Y359" s="96"/>
      <c r="Z359" s="1"/>
      <c r="AA359" s="94"/>
      <c r="AB359" s="1"/>
      <c r="AC359" s="57" t="s">
        <v>1637</v>
      </c>
      <c r="AD359" s="1"/>
      <c r="AE359" s="57"/>
      <c r="AF359" s="1"/>
      <c r="AG359" s="1"/>
      <c r="AH359" s="1"/>
      <c r="AI359" s="1"/>
      <c r="AJ359" s="1"/>
      <c r="AK359" s="1"/>
      <c r="AL359" s="1"/>
      <c r="AM359" s="1"/>
      <c r="AN359" s="1"/>
      <c r="AO359" s="1"/>
      <c r="AP359" s="1"/>
      <c r="AQ359" s="1"/>
      <c r="AR359" s="1"/>
      <c r="AS359" s="1"/>
      <c r="AT359" s="1"/>
      <c r="AU359" s="1"/>
      <c r="AV359" s="1"/>
      <c r="AW359" s="1"/>
      <c r="AX359" s="1"/>
      <c r="AY359" s="1"/>
      <c r="AZ359" s="1"/>
      <c r="BA359" s="1"/>
      <c r="BB359" s="1"/>
      <c r="BC359" s="1"/>
      <c r="BD359" s="1"/>
      <c r="BE359" s="1"/>
      <c r="BF359" s="1"/>
      <c r="BG359" s="1"/>
      <c r="BH359" s="1"/>
      <c r="BI359" s="1"/>
      <c r="BJ359" s="1"/>
      <c r="BK359" s="1"/>
      <c r="BL359" s="1"/>
      <c r="BM359" s="1"/>
      <c r="BN359" s="1"/>
      <c r="BO359" s="1"/>
      <c r="BP359" s="1"/>
      <c r="BQ359" s="1"/>
      <c r="BR359" s="1"/>
      <c r="BS359" s="1"/>
      <c r="BT359" s="1"/>
      <c r="BU359" s="1"/>
      <c r="BV359" s="1"/>
    </row>
    <row r="360" spans="1:74" s="40" customFormat="1" x14ac:dyDescent="0.25">
      <c r="A360" s="1"/>
      <c r="B360" s="13"/>
      <c r="C360" s="96"/>
      <c r="D360" s="1"/>
      <c r="E360" s="1"/>
      <c r="F360" s="1"/>
      <c r="G360" s="1"/>
      <c r="H360" s="1"/>
      <c r="I360" s="1"/>
      <c r="J360" s="1"/>
      <c r="K360" s="1"/>
      <c r="L360" s="1"/>
      <c r="M360" s="1"/>
      <c r="N360" s="1"/>
      <c r="O360" s="1"/>
      <c r="P360" s="1"/>
      <c r="Q360" s="96"/>
      <c r="R360" s="96"/>
      <c r="S360" s="1"/>
      <c r="T360" s="1"/>
      <c r="U360" s="1"/>
      <c r="V360" s="1"/>
      <c r="W360" s="96"/>
      <c r="X360" s="96"/>
      <c r="Y360" s="96"/>
      <c r="Z360" s="1"/>
      <c r="AA360" s="94"/>
      <c r="AB360" s="1"/>
      <c r="AC360" s="57"/>
      <c r="AD360" s="1"/>
      <c r="AE360" s="57"/>
      <c r="AF360" s="1"/>
      <c r="AG360" s="1"/>
      <c r="AH360" s="1"/>
      <c r="AI360" s="1"/>
      <c r="AJ360" s="1"/>
      <c r="AK360" s="1"/>
      <c r="AL360" s="1"/>
      <c r="AM360" s="1"/>
      <c r="AN360" s="1"/>
      <c r="AO360" s="1"/>
      <c r="AP360" s="1"/>
      <c r="AQ360" s="1"/>
      <c r="AR360" s="1"/>
      <c r="AS360" s="1"/>
      <c r="AT360" s="1"/>
      <c r="AU360" s="1"/>
      <c r="AV360" s="1"/>
      <c r="AW360" s="1"/>
      <c r="AX360" s="1"/>
      <c r="AY360" s="1"/>
      <c r="AZ360" s="1"/>
      <c r="BA360" s="1"/>
      <c r="BB360" s="1"/>
      <c r="BC360" s="1"/>
      <c r="BD360" s="1"/>
      <c r="BE360" s="1"/>
      <c r="BF360" s="1"/>
      <c r="BG360" s="1"/>
      <c r="BH360" s="1"/>
      <c r="BI360" s="1"/>
      <c r="BJ360" s="1"/>
      <c r="BK360" s="1"/>
      <c r="BL360" s="1"/>
      <c r="BM360" s="1"/>
      <c r="BN360" s="1"/>
      <c r="BO360" s="1"/>
      <c r="BP360" s="1"/>
      <c r="BQ360" s="1"/>
      <c r="BR360" s="1"/>
      <c r="BS360" s="1"/>
      <c r="BT360" s="1"/>
      <c r="BU360" s="1"/>
      <c r="BV360" s="1"/>
    </row>
    <row r="361" spans="1:74" x14ac:dyDescent="0.25">
      <c r="C361" s="96"/>
    </row>
    <row r="362" spans="1:74" s="49" customFormat="1" x14ac:dyDescent="0.25">
      <c r="A362" s="1"/>
      <c r="B362" s="13"/>
      <c r="C362" s="96"/>
      <c r="D362" s="1"/>
      <c r="E362" s="1"/>
      <c r="F362" s="1"/>
      <c r="G362" s="1"/>
      <c r="H362" s="1"/>
      <c r="I362" s="1"/>
      <c r="J362" s="1"/>
      <c r="K362" s="1"/>
      <c r="L362" s="1"/>
      <c r="M362" s="1"/>
      <c r="N362" s="1"/>
      <c r="O362" s="1"/>
      <c r="P362" s="1"/>
      <c r="Q362" s="96"/>
      <c r="R362" s="96"/>
      <c r="S362" s="1"/>
      <c r="T362" s="1"/>
      <c r="U362" s="1"/>
      <c r="V362" s="1"/>
      <c r="W362" s="96"/>
      <c r="X362" s="96"/>
      <c r="Y362" s="96"/>
      <c r="Z362" s="1"/>
      <c r="AA362" s="94"/>
      <c r="AB362" s="1"/>
      <c r="AC362" s="57"/>
      <c r="AD362" s="1"/>
      <c r="AE362" s="57"/>
      <c r="AF362" s="1"/>
      <c r="AG362" s="1"/>
      <c r="AH362" s="1"/>
      <c r="AI362" s="1"/>
      <c r="AJ362" s="1"/>
      <c r="AK362" s="1"/>
      <c r="AL362" s="1"/>
      <c r="AM362" s="1"/>
      <c r="AN362" s="1"/>
      <c r="AO362" s="1"/>
      <c r="AP362" s="1"/>
      <c r="AQ362" s="1"/>
      <c r="AR362" s="1"/>
      <c r="AS362" s="1"/>
      <c r="AT362" s="1"/>
      <c r="AU362" s="1"/>
      <c r="AV362" s="1"/>
      <c r="AW362" s="1"/>
      <c r="AX362" s="1"/>
      <c r="AY362" s="1"/>
      <c r="AZ362" s="1"/>
      <c r="BA362" s="1"/>
      <c r="BB362" s="1"/>
      <c r="BC362" s="1"/>
      <c r="BD362" s="1"/>
      <c r="BE362" s="1"/>
      <c r="BF362" s="1"/>
      <c r="BG362" s="1"/>
      <c r="BH362" s="1"/>
      <c r="BI362" s="1"/>
      <c r="BJ362" s="1"/>
      <c r="BK362" s="1"/>
      <c r="BL362" s="1"/>
      <c r="BM362" s="1"/>
      <c r="BN362" s="1"/>
      <c r="BO362" s="1"/>
      <c r="BP362" s="1"/>
      <c r="BQ362" s="1"/>
      <c r="BR362" s="1"/>
      <c r="BS362" s="1"/>
      <c r="BT362" s="1"/>
      <c r="BU362" s="1"/>
      <c r="BV362" s="1"/>
    </row>
    <row r="363" spans="1:74" s="25" customFormat="1" x14ac:dyDescent="0.25">
      <c r="A363" s="1"/>
      <c r="B363" s="13"/>
      <c r="C363" s="96"/>
      <c r="D363" s="1"/>
      <c r="E363" s="1"/>
      <c r="F363" s="1"/>
      <c r="G363" s="1"/>
      <c r="H363" s="1"/>
      <c r="I363" s="1"/>
      <c r="J363" s="1"/>
      <c r="K363" s="1"/>
      <c r="L363" s="1"/>
      <c r="M363" s="1"/>
      <c r="N363" s="1"/>
      <c r="O363" s="1"/>
      <c r="P363" s="1"/>
      <c r="Q363" s="96"/>
      <c r="R363" s="96"/>
      <c r="S363" s="1"/>
      <c r="T363" s="1"/>
      <c r="U363" s="1"/>
      <c r="V363" s="1"/>
      <c r="W363" s="96"/>
      <c r="X363" s="96"/>
      <c r="Y363" s="96"/>
      <c r="Z363" s="1"/>
      <c r="AA363" s="94"/>
      <c r="AB363" s="1"/>
      <c r="AC363" s="57"/>
      <c r="AD363" s="1"/>
      <c r="AE363" s="57"/>
      <c r="AF363" s="1"/>
      <c r="AG363" s="1"/>
      <c r="AH363" s="1"/>
      <c r="AI363" s="1"/>
      <c r="AJ363" s="1"/>
      <c r="AK363" s="1"/>
      <c r="AL363" s="1"/>
      <c r="AM363" s="1"/>
      <c r="AN363" s="1"/>
      <c r="AO363" s="1"/>
      <c r="AP363" s="1"/>
      <c r="AQ363" s="1"/>
      <c r="AR363" s="1"/>
      <c r="AS363" s="1"/>
      <c r="AT363" s="1"/>
      <c r="AU363" s="1"/>
      <c r="AV363" s="1"/>
      <c r="AW363" s="1"/>
      <c r="AX363" s="1"/>
      <c r="AY363" s="1"/>
      <c r="AZ363" s="1"/>
      <c r="BA363" s="1"/>
      <c r="BB363" s="1"/>
      <c r="BC363" s="1"/>
      <c r="BD363" s="1"/>
      <c r="BE363" s="1"/>
      <c r="BF363" s="1"/>
      <c r="BG363" s="1"/>
      <c r="BH363" s="1"/>
      <c r="BI363" s="1"/>
      <c r="BJ363" s="1"/>
      <c r="BK363" s="1"/>
      <c r="BL363" s="1"/>
      <c r="BM363" s="1"/>
      <c r="BN363" s="1"/>
      <c r="BO363" s="1"/>
      <c r="BP363" s="1"/>
      <c r="BQ363" s="1"/>
      <c r="BR363" s="1"/>
      <c r="BS363" s="1"/>
      <c r="BT363" s="1"/>
      <c r="BU363" s="1"/>
      <c r="BV363" s="1"/>
    </row>
    <row r="364" spans="1:74" x14ac:dyDescent="0.25">
      <c r="C364" s="96"/>
    </row>
    <row r="365" spans="1:74" s="45" customFormat="1" x14ac:dyDescent="0.25">
      <c r="A365" s="1"/>
      <c r="B365" s="13"/>
      <c r="C365" s="96"/>
      <c r="D365" s="1"/>
      <c r="E365" s="1"/>
      <c r="F365" s="1"/>
      <c r="G365" s="1"/>
      <c r="H365" s="1"/>
      <c r="I365" s="1"/>
      <c r="J365" s="1"/>
      <c r="K365" s="1"/>
      <c r="L365" s="1"/>
      <c r="M365" s="1"/>
      <c r="N365" s="1"/>
      <c r="O365" s="1"/>
      <c r="P365" s="1"/>
      <c r="Q365" s="96"/>
      <c r="R365" s="96"/>
      <c r="S365" s="1"/>
      <c r="T365" s="1"/>
      <c r="U365" s="1"/>
      <c r="V365" s="1"/>
      <c r="W365" s="96"/>
      <c r="X365" s="96"/>
      <c r="Y365" s="96"/>
      <c r="Z365" s="1"/>
      <c r="AA365" s="94"/>
      <c r="AB365" s="1"/>
      <c r="AC365" s="57" t="s">
        <v>1637</v>
      </c>
      <c r="AD365" s="1"/>
      <c r="AE365" s="57"/>
      <c r="AF365" s="1"/>
      <c r="AG365" s="1"/>
      <c r="AH365" s="1"/>
      <c r="AI365" s="1"/>
      <c r="AJ365" s="1"/>
      <c r="AK365" s="1"/>
      <c r="AL365" s="1"/>
      <c r="AM365" s="1"/>
      <c r="AN365" s="1"/>
      <c r="AO365" s="1"/>
      <c r="AP365" s="1"/>
      <c r="AQ365" s="1"/>
      <c r="AR365" s="1"/>
      <c r="AS365" s="1"/>
      <c r="AT365" s="1"/>
      <c r="AU365" s="1"/>
      <c r="AV365" s="1"/>
      <c r="AW365" s="1"/>
      <c r="AX365" s="1"/>
      <c r="AY365" s="1"/>
      <c r="AZ365" s="1"/>
      <c r="BA365" s="1"/>
      <c r="BB365" s="1"/>
      <c r="BC365" s="1"/>
      <c r="BD365" s="1"/>
      <c r="BE365" s="1"/>
      <c r="BF365" s="1"/>
      <c r="BG365" s="1"/>
      <c r="BH365" s="1"/>
      <c r="BI365" s="1"/>
      <c r="BJ365" s="1"/>
      <c r="BK365" s="1"/>
      <c r="BL365" s="1"/>
      <c r="BM365" s="1"/>
      <c r="BN365" s="1"/>
      <c r="BO365" s="1"/>
      <c r="BP365" s="1"/>
      <c r="BQ365" s="1"/>
      <c r="BR365" s="1"/>
      <c r="BS365" s="1"/>
      <c r="BT365" s="1"/>
      <c r="BU365" s="1"/>
      <c r="BV365" s="1"/>
    </row>
    <row r="366" spans="1:74" x14ac:dyDescent="0.25">
      <c r="C366" s="96"/>
    </row>
    <row r="367" spans="1:74" x14ac:dyDescent="0.25">
      <c r="C367" s="96"/>
    </row>
    <row r="368" spans="1:74" s="45" customFormat="1" x14ac:dyDescent="0.25">
      <c r="A368" s="1"/>
      <c r="B368" s="13"/>
      <c r="C368" s="96"/>
      <c r="D368" s="1"/>
      <c r="E368" s="1"/>
      <c r="F368" s="1"/>
      <c r="G368" s="1"/>
      <c r="H368" s="1"/>
      <c r="I368" s="1"/>
      <c r="J368" s="1"/>
      <c r="K368" s="1"/>
      <c r="L368" s="1"/>
      <c r="M368" s="1"/>
      <c r="N368" s="1"/>
      <c r="O368" s="1"/>
      <c r="P368" s="1"/>
      <c r="Q368" s="96"/>
      <c r="R368" s="96"/>
      <c r="S368" s="1"/>
      <c r="T368" s="1"/>
      <c r="U368" s="1"/>
      <c r="V368" s="1"/>
      <c r="W368" s="96"/>
      <c r="X368" s="96"/>
      <c r="Y368" s="96"/>
      <c r="Z368" s="1"/>
      <c r="AA368" s="94"/>
      <c r="AB368" s="1"/>
      <c r="AC368" s="57" t="s">
        <v>1637</v>
      </c>
      <c r="AD368" s="1"/>
      <c r="AE368" s="57"/>
      <c r="AF368" s="1"/>
      <c r="AG368" s="1"/>
      <c r="AH368" s="1"/>
      <c r="AI368" s="1"/>
      <c r="AJ368" s="1"/>
      <c r="AK368" s="1"/>
      <c r="AL368" s="1"/>
      <c r="AM368" s="1"/>
      <c r="AN368" s="1"/>
      <c r="AO368" s="1"/>
      <c r="AP368" s="1"/>
      <c r="AQ368" s="1"/>
      <c r="AR368" s="1"/>
      <c r="AS368" s="1"/>
      <c r="AT368" s="1"/>
      <c r="AU368" s="1"/>
      <c r="AV368" s="1"/>
      <c r="AW368" s="1"/>
      <c r="AX368" s="1"/>
      <c r="AY368" s="1"/>
      <c r="AZ368" s="1"/>
      <c r="BA368" s="1"/>
      <c r="BB368" s="1"/>
      <c r="BC368" s="1"/>
      <c r="BD368" s="1"/>
      <c r="BE368" s="1"/>
      <c r="BF368" s="1"/>
      <c r="BG368" s="1"/>
      <c r="BH368" s="1"/>
      <c r="BI368" s="1"/>
      <c r="BJ368" s="1"/>
      <c r="BK368" s="1"/>
      <c r="BL368" s="1"/>
      <c r="BM368" s="1"/>
      <c r="BN368" s="1"/>
      <c r="BO368" s="1"/>
      <c r="BP368" s="1"/>
      <c r="BQ368" s="1"/>
      <c r="BR368" s="1"/>
      <c r="BS368" s="1"/>
      <c r="BT368" s="1"/>
      <c r="BU368" s="1"/>
      <c r="BV368" s="1"/>
    </row>
    <row r="369" spans="1:74" s="45" customFormat="1" x14ac:dyDescent="0.25">
      <c r="A369" s="1"/>
      <c r="B369" s="13"/>
      <c r="C369" s="96"/>
      <c r="D369" s="1"/>
      <c r="E369" s="1"/>
      <c r="F369" s="1"/>
      <c r="G369" s="1"/>
      <c r="H369" s="1"/>
      <c r="I369" s="1"/>
      <c r="J369" s="1"/>
      <c r="K369" s="1"/>
      <c r="L369" s="1"/>
      <c r="M369" s="1"/>
      <c r="N369" s="1"/>
      <c r="O369" s="1"/>
      <c r="P369" s="1"/>
      <c r="Q369" s="96"/>
      <c r="R369" s="96"/>
      <c r="S369" s="1"/>
      <c r="T369" s="1"/>
      <c r="U369" s="1"/>
      <c r="V369" s="1"/>
      <c r="W369" s="96"/>
      <c r="X369" s="96"/>
      <c r="Y369" s="96"/>
      <c r="Z369" s="1"/>
      <c r="AA369" s="94"/>
      <c r="AB369" s="1"/>
      <c r="AC369" s="57" t="s">
        <v>1637</v>
      </c>
      <c r="AD369" s="1"/>
      <c r="AE369" s="57"/>
      <c r="AF369" s="1"/>
      <c r="AG369" s="1"/>
      <c r="AH369" s="1"/>
      <c r="AI369" s="1"/>
      <c r="AJ369" s="1"/>
      <c r="AK369" s="1"/>
      <c r="AL369" s="1"/>
      <c r="AM369" s="1"/>
      <c r="AN369" s="1"/>
      <c r="AO369" s="1"/>
      <c r="AP369" s="1"/>
      <c r="AQ369" s="1"/>
      <c r="AR369" s="1"/>
      <c r="AS369" s="1"/>
      <c r="AT369" s="1"/>
      <c r="AU369" s="1"/>
      <c r="AV369" s="1"/>
      <c r="AW369" s="1"/>
      <c r="AX369" s="1"/>
      <c r="AY369" s="1"/>
      <c r="AZ369" s="1"/>
      <c r="BA369" s="1"/>
      <c r="BB369" s="1"/>
      <c r="BC369" s="1"/>
      <c r="BD369" s="1"/>
      <c r="BE369" s="1"/>
      <c r="BF369" s="1"/>
      <c r="BG369" s="1"/>
      <c r="BH369" s="1"/>
      <c r="BI369" s="1"/>
      <c r="BJ369" s="1"/>
      <c r="BK369" s="1"/>
      <c r="BL369" s="1"/>
      <c r="BM369" s="1"/>
      <c r="BN369" s="1"/>
      <c r="BO369" s="1"/>
      <c r="BP369" s="1"/>
      <c r="BQ369" s="1"/>
      <c r="BR369" s="1"/>
      <c r="BS369" s="1"/>
      <c r="BT369" s="1"/>
      <c r="BU369" s="1"/>
      <c r="BV369" s="1"/>
    </row>
    <row r="370" spans="1:74" s="25" customFormat="1" x14ac:dyDescent="0.25">
      <c r="A370" s="1"/>
      <c r="B370" s="13"/>
      <c r="C370" s="96"/>
      <c r="D370" s="1"/>
      <c r="E370" s="1"/>
      <c r="F370" s="1"/>
      <c r="G370" s="1"/>
      <c r="H370" s="1"/>
      <c r="I370" s="1"/>
      <c r="J370" s="1"/>
      <c r="K370" s="1"/>
      <c r="L370" s="1"/>
      <c r="M370" s="1"/>
      <c r="N370" s="1"/>
      <c r="O370" s="1"/>
      <c r="P370" s="1"/>
      <c r="Q370" s="96"/>
      <c r="R370" s="96"/>
      <c r="S370" s="1"/>
      <c r="T370" s="1"/>
      <c r="U370" s="1"/>
      <c r="V370" s="1"/>
      <c r="W370" s="96"/>
      <c r="X370" s="96"/>
      <c r="Y370" s="96"/>
      <c r="Z370" s="1"/>
      <c r="AA370" s="94"/>
      <c r="AB370" s="1"/>
      <c r="AC370" s="57"/>
      <c r="AD370" s="1"/>
      <c r="AE370" s="57"/>
      <c r="AF370" s="1"/>
      <c r="AG370" s="1"/>
      <c r="AH370" s="1"/>
      <c r="AI370" s="1"/>
      <c r="AJ370" s="1"/>
      <c r="AK370" s="1"/>
      <c r="AL370" s="1"/>
      <c r="AM370" s="1"/>
      <c r="AN370" s="1"/>
      <c r="AO370" s="1"/>
      <c r="AP370" s="1"/>
      <c r="AQ370" s="1"/>
      <c r="AR370" s="1"/>
      <c r="AS370" s="1"/>
      <c r="AT370" s="1"/>
      <c r="AU370" s="1"/>
      <c r="AV370" s="1"/>
      <c r="AW370" s="1"/>
      <c r="AX370" s="1"/>
      <c r="AY370" s="1"/>
      <c r="AZ370" s="1"/>
      <c r="BA370" s="1"/>
      <c r="BB370" s="1"/>
      <c r="BC370" s="1"/>
      <c r="BD370" s="1"/>
      <c r="BE370" s="1"/>
      <c r="BF370" s="1"/>
      <c r="BG370" s="1"/>
      <c r="BH370" s="1"/>
      <c r="BI370" s="1"/>
      <c r="BJ370" s="1"/>
      <c r="BK370" s="1"/>
      <c r="BL370" s="1"/>
      <c r="BM370" s="1"/>
      <c r="BN370" s="1"/>
      <c r="BO370" s="1"/>
      <c r="BP370" s="1"/>
      <c r="BQ370" s="1"/>
      <c r="BR370" s="1"/>
      <c r="BS370" s="1"/>
      <c r="BT370" s="1"/>
      <c r="BU370" s="1"/>
      <c r="BV370" s="1"/>
    </row>
    <row r="371" spans="1:74" s="49" customFormat="1" x14ac:dyDescent="0.25">
      <c r="A371" s="1"/>
      <c r="B371" s="13"/>
      <c r="C371" s="96"/>
      <c r="D371" s="1"/>
      <c r="E371" s="1"/>
      <c r="F371" s="1"/>
      <c r="G371" s="1"/>
      <c r="H371" s="1"/>
      <c r="I371" s="1"/>
      <c r="J371" s="1"/>
      <c r="K371" s="1"/>
      <c r="L371" s="1"/>
      <c r="M371" s="1"/>
      <c r="N371" s="1"/>
      <c r="O371" s="1"/>
      <c r="P371" s="1"/>
      <c r="Q371" s="96"/>
      <c r="R371" s="96"/>
      <c r="S371" s="1"/>
      <c r="T371" s="1"/>
      <c r="U371" s="1"/>
      <c r="V371" s="1"/>
      <c r="W371" s="96"/>
      <c r="X371" s="96"/>
      <c r="Y371" s="96"/>
      <c r="Z371" s="1"/>
      <c r="AA371" s="94"/>
      <c r="AB371" s="1"/>
      <c r="AC371" s="57"/>
      <c r="AD371" s="1"/>
      <c r="AE371" s="57"/>
      <c r="AF371" s="1"/>
      <c r="AG371" s="1"/>
      <c r="AH371" s="1"/>
      <c r="AI371" s="1"/>
      <c r="AJ371" s="1"/>
      <c r="AK371" s="1"/>
      <c r="AL371" s="1"/>
      <c r="AM371" s="1"/>
      <c r="AN371" s="1"/>
      <c r="AO371" s="1"/>
      <c r="AP371" s="1"/>
      <c r="AQ371" s="1"/>
      <c r="AR371" s="1"/>
      <c r="AS371" s="1"/>
      <c r="AT371" s="1"/>
      <c r="AU371" s="1"/>
      <c r="AV371" s="1"/>
      <c r="AW371" s="1"/>
      <c r="AX371" s="1"/>
      <c r="AY371" s="1"/>
      <c r="AZ371" s="1"/>
      <c r="BA371" s="1"/>
      <c r="BB371" s="1"/>
      <c r="BC371" s="1"/>
      <c r="BD371" s="1"/>
      <c r="BE371" s="1"/>
      <c r="BF371" s="1"/>
      <c r="BG371" s="1"/>
      <c r="BH371" s="1"/>
      <c r="BI371" s="1"/>
      <c r="BJ371" s="1"/>
      <c r="BK371" s="1"/>
      <c r="BL371" s="1"/>
      <c r="BM371" s="1"/>
      <c r="BN371" s="1"/>
      <c r="BO371" s="1"/>
      <c r="BP371" s="1"/>
      <c r="BQ371" s="1"/>
      <c r="BR371" s="1"/>
      <c r="BS371" s="1"/>
      <c r="BT371" s="1"/>
      <c r="BU371" s="1"/>
      <c r="BV371" s="1"/>
    </row>
    <row r="372" spans="1:74" s="45" customFormat="1" x14ac:dyDescent="0.25">
      <c r="A372" s="1"/>
      <c r="B372" s="13"/>
      <c r="C372" s="96"/>
      <c r="D372" s="1"/>
      <c r="E372" s="1"/>
      <c r="F372" s="1"/>
      <c r="G372" s="1"/>
      <c r="H372" s="1"/>
      <c r="I372" s="1"/>
      <c r="J372" s="1"/>
      <c r="K372" s="1"/>
      <c r="L372" s="1"/>
      <c r="M372" s="1"/>
      <c r="N372" s="1"/>
      <c r="O372" s="1"/>
      <c r="P372" s="1"/>
      <c r="Q372" s="96"/>
      <c r="R372" s="96"/>
      <c r="S372" s="1"/>
      <c r="T372" s="1"/>
      <c r="U372" s="1"/>
      <c r="V372" s="1"/>
      <c r="W372" s="96"/>
      <c r="X372" s="96"/>
      <c r="Y372" s="96"/>
      <c r="Z372" s="1"/>
      <c r="AA372" s="94"/>
      <c r="AB372" s="1"/>
      <c r="AC372" s="57" t="s">
        <v>1637</v>
      </c>
      <c r="AD372" s="1"/>
      <c r="AE372" s="57"/>
      <c r="AF372" s="1"/>
      <c r="AG372" s="1"/>
      <c r="AH372" s="1"/>
      <c r="AI372" s="1"/>
      <c r="AJ372" s="1"/>
      <c r="AK372" s="1"/>
      <c r="AL372" s="1"/>
      <c r="AM372" s="1"/>
      <c r="AN372" s="1"/>
      <c r="AO372" s="1"/>
      <c r="AP372" s="1"/>
      <c r="AQ372" s="1"/>
      <c r="AR372" s="1"/>
      <c r="AS372" s="1"/>
      <c r="AT372" s="1"/>
      <c r="AU372" s="1"/>
      <c r="AV372" s="1"/>
      <c r="AW372" s="1"/>
      <c r="AX372" s="1"/>
      <c r="AY372" s="1"/>
      <c r="AZ372" s="1"/>
      <c r="BA372" s="1"/>
      <c r="BB372" s="1"/>
      <c r="BC372" s="1"/>
      <c r="BD372" s="1"/>
      <c r="BE372" s="1"/>
      <c r="BF372" s="1"/>
      <c r="BG372" s="1"/>
      <c r="BH372" s="1"/>
      <c r="BI372" s="1"/>
      <c r="BJ372" s="1"/>
      <c r="BK372" s="1"/>
      <c r="BL372" s="1"/>
      <c r="BM372" s="1"/>
      <c r="BN372" s="1"/>
      <c r="BO372" s="1"/>
      <c r="BP372" s="1"/>
      <c r="BQ372" s="1"/>
      <c r="BR372" s="1"/>
      <c r="BS372" s="1"/>
      <c r="BT372" s="1"/>
      <c r="BU372" s="1"/>
      <c r="BV372" s="1"/>
    </row>
    <row r="373" spans="1:74" x14ac:dyDescent="0.25">
      <c r="C373" s="96"/>
    </row>
    <row r="374" spans="1:74" s="49" customFormat="1" x14ac:dyDescent="0.25">
      <c r="A374" s="1"/>
      <c r="B374" s="13"/>
      <c r="C374" s="96"/>
      <c r="D374" s="1"/>
      <c r="E374" s="1"/>
      <c r="F374" s="1"/>
      <c r="G374" s="1"/>
      <c r="H374" s="1"/>
      <c r="I374" s="1"/>
      <c r="J374" s="1"/>
      <c r="K374" s="1"/>
      <c r="L374" s="1"/>
      <c r="M374" s="1"/>
      <c r="N374" s="1"/>
      <c r="O374" s="1"/>
      <c r="P374" s="1"/>
      <c r="Q374" s="96"/>
      <c r="R374" s="96"/>
      <c r="S374" s="1"/>
      <c r="T374" s="1"/>
      <c r="U374" s="1"/>
      <c r="V374" s="1"/>
      <c r="W374" s="96"/>
      <c r="X374" s="96"/>
      <c r="Y374" s="96"/>
      <c r="Z374" s="1"/>
      <c r="AA374" s="94"/>
      <c r="AB374" s="1"/>
      <c r="AC374" s="57"/>
      <c r="AD374" s="1"/>
      <c r="AE374" s="57"/>
      <c r="AF374" s="1"/>
      <c r="AG374" s="1"/>
      <c r="AH374" s="1"/>
      <c r="AI374" s="1"/>
      <c r="AJ374" s="1"/>
      <c r="AK374" s="1"/>
      <c r="AL374" s="1"/>
      <c r="AM374" s="1"/>
      <c r="AN374" s="1"/>
      <c r="AO374" s="1"/>
      <c r="AP374" s="1"/>
      <c r="AQ374" s="1"/>
      <c r="AR374" s="1"/>
      <c r="AS374" s="1"/>
      <c r="AT374" s="1"/>
      <c r="AU374" s="1"/>
      <c r="AV374" s="1"/>
      <c r="AW374" s="1"/>
      <c r="AX374" s="1"/>
      <c r="AY374" s="1"/>
      <c r="AZ374" s="1"/>
      <c r="BA374" s="1"/>
      <c r="BB374" s="1"/>
      <c r="BC374" s="1"/>
      <c r="BD374" s="1"/>
      <c r="BE374" s="1"/>
      <c r="BF374" s="1"/>
      <c r="BG374" s="1"/>
      <c r="BH374" s="1"/>
      <c r="BI374" s="1"/>
      <c r="BJ374" s="1"/>
      <c r="BK374" s="1"/>
      <c r="BL374" s="1"/>
      <c r="BM374" s="1"/>
      <c r="BN374" s="1"/>
      <c r="BO374" s="1"/>
      <c r="BP374" s="1"/>
      <c r="BQ374" s="1"/>
      <c r="BR374" s="1"/>
      <c r="BS374" s="1"/>
      <c r="BT374" s="1"/>
      <c r="BU374" s="1"/>
      <c r="BV374" s="1"/>
    </row>
    <row r="375" spans="1:74" s="25" customFormat="1" x14ac:dyDescent="0.25">
      <c r="A375" s="1"/>
      <c r="B375" s="13"/>
      <c r="C375" s="96"/>
      <c r="D375" s="1"/>
      <c r="E375" s="1"/>
      <c r="F375" s="1"/>
      <c r="G375" s="1"/>
      <c r="H375" s="1"/>
      <c r="I375" s="1"/>
      <c r="J375" s="1"/>
      <c r="K375" s="1"/>
      <c r="L375" s="1"/>
      <c r="M375" s="1"/>
      <c r="N375" s="1"/>
      <c r="O375" s="1"/>
      <c r="P375" s="1"/>
      <c r="Q375" s="96"/>
      <c r="R375" s="96"/>
      <c r="S375" s="1"/>
      <c r="T375" s="1"/>
      <c r="U375" s="1"/>
      <c r="V375" s="1"/>
      <c r="W375" s="96"/>
      <c r="X375" s="96"/>
      <c r="Y375" s="96"/>
      <c r="Z375" s="1"/>
      <c r="AA375" s="94"/>
      <c r="AB375" s="1"/>
      <c r="AC375" s="57"/>
      <c r="AD375" s="1"/>
      <c r="AE375" s="57"/>
      <c r="AF375" s="1"/>
      <c r="AG375" s="1"/>
      <c r="AH375" s="1"/>
      <c r="AI375" s="1"/>
      <c r="AJ375" s="1"/>
      <c r="AK375" s="1"/>
      <c r="AL375" s="1"/>
      <c r="AM375" s="1"/>
      <c r="AN375" s="1"/>
      <c r="AO375" s="1"/>
      <c r="AP375" s="1"/>
      <c r="AQ375" s="1"/>
      <c r="AR375" s="1"/>
      <c r="AS375" s="1"/>
      <c r="AT375" s="1"/>
      <c r="AU375" s="1"/>
      <c r="AV375" s="1"/>
      <c r="AW375" s="1"/>
      <c r="AX375" s="1"/>
      <c r="AY375" s="1"/>
      <c r="AZ375" s="1"/>
      <c r="BA375" s="1"/>
      <c r="BB375" s="1"/>
      <c r="BC375" s="1"/>
      <c r="BD375" s="1"/>
      <c r="BE375" s="1"/>
      <c r="BF375" s="1"/>
      <c r="BG375" s="1"/>
      <c r="BH375" s="1"/>
      <c r="BI375" s="1"/>
      <c r="BJ375" s="1"/>
      <c r="BK375" s="1"/>
      <c r="BL375" s="1"/>
      <c r="BM375" s="1"/>
      <c r="BN375" s="1"/>
      <c r="BO375" s="1"/>
      <c r="BP375" s="1"/>
      <c r="BQ375" s="1"/>
      <c r="BR375" s="1"/>
      <c r="BS375" s="1"/>
      <c r="BT375" s="1"/>
      <c r="BU375" s="1"/>
      <c r="BV375" s="1"/>
    </row>
    <row r="376" spans="1:74" x14ac:dyDescent="0.25">
      <c r="C376" s="96"/>
    </row>
    <row r="377" spans="1:74" x14ac:dyDescent="0.25">
      <c r="C377" s="96"/>
    </row>
    <row r="378" spans="1:74" s="49" customFormat="1" x14ac:dyDescent="0.25">
      <c r="A378" s="1"/>
      <c r="B378" s="13"/>
      <c r="C378" s="96"/>
      <c r="D378" s="1"/>
      <c r="E378" s="1"/>
      <c r="F378" s="1"/>
      <c r="G378" s="1"/>
      <c r="H378" s="1"/>
      <c r="I378" s="1"/>
      <c r="J378" s="1"/>
      <c r="K378" s="1"/>
      <c r="L378" s="1"/>
      <c r="M378" s="1"/>
      <c r="N378" s="1"/>
      <c r="O378" s="1"/>
      <c r="P378" s="1"/>
      <c r="Q378" s="96"/>
      <c r="R378" s="96"/>
      <c r="S378" s="1"/>
      <c r="T378" s="1"/>
      <c r="U378" s="1"/>
      <c r="V378" s="1"/>
      <c r="W378" s="96"/>
      <c r="X378" s="96"/>
      <c r="Y378" s="96"/>
      <c r="Z378" s="1"/>
      <c r="AA378" s="94"/>
      <c r="AB378" s="1"/>
      <c r="AC378" s="57"/>
      <c r="AD378" s="1"/>
      <c r="AE378" s="57"/>
      <c r="AF378" s="1"/>
      <c r="AG378" s="1"/>
      <c r="AH378" s="1"/>
      <c r="AI378" s="1"/>
      <c r="AJ378" s="1"/>
      <c r="AK378" s="1"/>
      <c r="AL378" s="1"/>
      <c r="AM378" s="1"/>
      <c r="AN378" s="1"/>
      <c r="AO378" s="1"/>
      <c r="AP378" s="1"/>
      <c r="AQ378" s="1"/>
      <c r="AR378" s="1"/>
      <c r="AS378" s="1"/>
      <c r="AT378" s="1"/>
      <c r="AU378" s="1"/>
      <c r="AV378" s="1"/>
      <c r="AW378" s="1"/>
      <c r="AX378" s="1"/>
      <c r="AY378" s="1"/>
      <c r="AZ378" s="1"/>
      <c r="BA378" s="1"/>
      <c r="BB378" s="1"/>
      <c r="BC378" s="1"/>
      <c r="BD378" s="1"/>
      <c r="BE378" s="1"/>
      <c r="BF378" s="1"/>
      <c r="BG378" s="1"/>
      <c r="BH378" s="1"/>
      <c r="BI378" s="1"/>
      <c r="BJ378" s="1"/>
      <c r="BK378" s="1"/>
      <c r="BL378" s="1"/>
      <c r="BM378" s="1"/>
      <c r="BN378" s="1"/>
      <c r="BO378" s="1"/>
      <c r="BP378" s="1"/>
      <c r="BQ378" s="1"/>
      <c r="BR378" s="1"/>
      <c r="BS378" s="1"/>
      <c r="BT378" s="1"/>
      <c r="BU378" s="1"/>
      <c r="BV378" s="1"/>
    </row>
    <row r="379" spans="1:74" s="25" customFormat="1" x14ac:dyDescent="0.25">
      <c r="A379" s="1"/>
      <c r="B379" s="13"/>
      <c r="C379" s="96"/>
      <c r="D379" s="1"/>
      <c r="E379" s="1"/>
      <c r="F379" s="1"/>
      <c r="G379" s="1"/>
      <c r="H379" s="1"/>
      <c r="I379" s="1"/>
      <c r="J379" s="1"/>
      <c r="K379" s="1"/>
      <c r="L379" s="1"/>
      <c r="M379" s="1"/>
      <c r="N379" s="1"/>
      <c r="O379" s="1"/>
      <c r="P379" s="1"/>
      <c r="Q379" s="96"/>
      <c r="R379" s="96"/>
      <c r="S379" s="1"/>
      <c r="T379" s="1"/>
      <c r="U379" s="1"/>
      <c r="V379" s="1"/>
      <c r="W379" s="96"/>
      <c r="X379" s="96"/>
      <c r="Y379" s="96"/>
      <c r="Z379" s="1"/>
      <c r="AA379" s="94"/>
      <c r="AB379" s="1"/>
      <c r="AC379" s="57"/>
      <c r="AD379" s="1"/>
      <c r="AE379" s="57"/>
      <c r="AF379" s="1"/>
      <c r="AG379" s="1"/>
      <c r="AH379" s="1"/>
      <c r="AI379" s="1"/>
      <c r="AJ379" s="1"/>
      <c r="AK379" s="1"/>
      <c r="AL379" s="1"/>
      <c r="AM379" s="1"/>
      <c r="AN379" s="1"/>
      <c r="AO379" s="1"/>
      <c r="AP379" s="1"/>
      <c r="AQ379" s="1"/>
      <c r="AR379" s="1"/>
      <c r="AS379" s="1"/>
      <c r="AT379" s="1"/>
      <c r="AU379" s="1"/>
      <c r="AV379" s="1"/>
      <c r="AW379" s="1"/>
      <c r="AX379" s="1"/>
      <c r="AY379" s="1"/>
      <c r="AZ379" s="1"/>
      <c r="BA379" s="1"/>
      <c r="BB379" s="1"/>
      <c r="BC379" s="1"/>
      <c r="BD379" s="1"/>
      <c r="BE379" s="1"/>
      <c r="BF379" s="1"/>
      <c r="BG379" s="1"/>
      <c r="BH379" s="1"/>
      <c r="BI379" s="1"/>
      <c r="BJ379" s="1"/>
      <c r="BK379" s="1"/>
      <c r="BL379" s="1"/>
      <c r="BM379" s="1"/>
      <c r="BN379" s="1"/>
      <c r="BO379" s="1"/>
      <c r="BP379" s="1"/>
      <c r="BQ379" s="1"/>
      <c r="BR379" s="1"/>
      <c r="BS379" s="1"/>
      <c r="BT379" s="1"/>
      <c r="BU379" s="1"/>
      <c r="BV379" s="1"/>
    </row>
    <row r="380" spans="1:74" s="25" customFormat="1" x14ac:dyDescent="0.25">
      <c r="A380" s="1"/>
      <c r="B380" s="13"/>
      <c r="C380" s="96"/>
      <c r="D380" s="1"/>
      <c r="E380" s="1"/>
      <c r="F380" s="1"/>
      <c r="G380" s="1"/>
      <c r="H380" s="1"/>
      <c r="I380" s="1"/>
      <c r="J380" s="1"/>
      <c r="K380" s="1"/>
      <c r="L380" s="1"/>
      <c r="M380" s="1"/>
      <c r="N380" s="1"/>
      <c r="O380" s="1"/>
      <c r="P380" s="1"/>
      <c r="Q380" s="96"/>
      <c r="R380" s="96"/>
      <c r="S380" s="1"/>
      <c r="T380" s="1"/>
      <c r="U380" s="1"/>
      <c r="V380" s="1"/>
      <c r="W380" s="96"/>
      <c r="X380" s="96"/>
      <c r="Y380" s="96"/>
      <c r="Z380" s="1"/>
      <c r="AA380" s="94"/>
      <c r="AB380" s="1"/>
      <c r="AC380" s="57"/>
      <c r="AD380" s="1"/>
      <c r="AE380" s="57"/>
      <c r="AF380" s="1"/>
      <c r="AG380" s="1"/>
      <c r="AH380" s="1"/>
      <c r="AI380" s="1"/>
      <c r="AJ380" s="1"/>
      <c r="AK380" s="1"/>
      <c r="AL380" s="1"/>
      <c r="AM380" s="1"/>
      <c r="AN380" s="1"/>
      <c r="AO380" s="1"/>
      <c r="AP380" s="1"/>
      <c r="AQ380" s="1"/>
      <c r="AR380" s="1"/>
      <c r="AS380" s="1"/>
      <c r="AT380" s="1"/>
      <c r="AU380" s="1"/>
      <c r="AV380" s="1"/>
      <c r="AW380" s="1"/>
      <c r="AX380" s="1"/>
      <c r="AY380" s="1"/>
      <c r="AZ380" s="1"/>
      <c r="BA380" s="1"/>
      <c r="BB380" s="1"/>
      <c r="BC380" s="1"/>
      <c r="BD380" s="1"/>
      <c r="BE380" s="1"/>
      <c r="BF380" s="1"/>
      <c r="BG380" s="1"/>
      <c r="BH380" s="1"/>
      <c r="BI380" s="1"/>
      <c r="BJ380" s="1"/>
      <c r="BK380" s="1"/>
      <c r="BL380" s="1"/>
      <c r="BM380" s="1"/>
      <c r="BN380" s="1"/>
      <c r="BO380" s="1"/>
      <c r="BP380" s="1"/>
      <c r="BQ380" s="1"/>
      <c r="BR380" s="1"/>
      <c r="BS380" s="1"/>
      <c r="BT380" s="1"/>
      <c r="BU380" s="1"/>
      <c r="BV380" s="1"/>
    </row>
    <row r="381" spans="1:74" s="45" customFormat="1" x14ac:dyDescent="0.25">
      <c r="A381" s="1"/>
      <c r="B381" s="13"/>
      <c r="C381" s="96"/>
      <c r="D381" s="1"/>
      <c r="E381" s="1"/>
      <c r="F381" s="1"/>
      <c r="G381" s="1"/>
      <c r="H381" s="1"/>
      <c r="I381" s="1"/>
      <c r="J381" s="1"/>
      <c r="K381" s="1"/>
      <c r="L381" s="1"/>
      <c r="M381" s="1"/>
      <c r="N381" s="1"/>
      <c r="O381" s="1"/>
      <c r="P381" s="1"/>
      <c r="Q381" s="96"/>
      <c r="R381" s="96"/>
      <c r="S381" s="1"/>
      <c r="T381" s="1"/>
      <c r="U381" s="1"/>
      <c r="V381" s="1"/>
      <c r="W381" s="96"/>
      <c r="X381" s="96"/>
      <c r="Y381" s="96"/>
      <c r="Z381" s="1"/>
      <c r="AA381" s="94"/>
      <c r="AB381" s="1"/>
      <c r="AC381" s="57" t="s">
        <v>1637</v>
      </c>
      <c r="AD381" s="1"/>
      <c r="AE381" s="57"/>
      <c r="AF381" s="1"/>
      <c r="AG381" s="1"/>
      <c r="AH381" s="1"/>
      <c r="AI381" s="1"/>
      <c r="AJ381" s="1"/>
      <c r="AK381" s="1"/>
      <c r="AL381" s="1"/>
      <c r="AM381" s="1"/>
      <c r="AN381" s="1"/>
      <c r="AO381" s="1"/>
      <c r="AP381" s="1"/>
      <c r="AQ381" s="1"/>
      <c r="AR381" s="1"/>
      <c r="AS381" s="1"/>
      <c r="AT381" s="1"/>
      <c r="AU381" s="1"/>
      <c r="AV381" s="1"/>
      <c r="AW381" s="1"/>
      <c r="AX381" s="1"/>
      <c r="AY381" s="1"/>
      <c r="AZ381" s="1"/>
      <c r="BA381" s="1"/>
      <c r="BB381" s="1"/>
      <c r="BC381" s="1"/>
      <c r="BD381" s="1"/>
      <c r="BE381" s="1"/>
      <c r="BF381" s="1"/>
      <c r="BG381" s="1"/>
      <c r="BH381" s="1"/>
      <c r="BI381" s="1"/>
      <c r="BJ381" s="1"/>
      <c r="BK381" s="1"/>
      <c r="BL381" s="1"/>
      <c r="BM381" s="1"/>
      <c r="BN381" s="1"/>
      <c r="BO381" s="1"/>
      <c r="BP381" s="1"/>
      <c r="BQ381" s="1"/>
      <c r="BR381" s="1"/>
      <c r="BS381" s="1"/>
      <c r="BT381" s="1"/>
      <c r="BU381" s="1"/>
      <c r="BV381" s="1"/>
    </row>
    <row r="382" spans="1:74" x14ac:dyDescent="0.25">
      <c r="C382" s="96"/>
    </row>
    <row r="383" spans="1:74" s="45" customFormat="1" x14ac:dyDescent="0.25">
      <c r="A383" s="1"/>
      <c r="B383" s="13"/>
      <c r="C383" s="96"/>
      <c r="D383" s="1"/>
      <c r="E383" s="1"/>
      <c r="F383" s="1"/>
      <c r="G383" s="1"/>
      <c r="H383" s="1"/>
      <c r="I383" s="1"/>
      <c r="J383" s="1"/>
      <c r="K383" s="1"/>
      <c r="L383" s="1"/>
      <c r="M383" s="1"/>
      <c r="N383" s="1"/>
      <c r="O383" s="1"/>
      <c r="P383" s="1"/>
      <c r="Q383" s="96"/>
      <c r="R383" s="96"/>
      <c r="S383" s="1"/>
      <c r="T383" s="1"/>
      <c r="U383" s="1"/>
      <c r="V383" s="1"/>
      <c r="W383" s="96"/>
      <c r="X383" s="96"/>
      <c r="Y383" s="96"/>
      <c r="Z383" s="1"/>
      <c r="AA383" s="94"/>
      <c r="AB383" s="1"/>
      <c r="AC383" s="57" t="s">
        <v>1637</v>
      </c>
      <c r="AD383" s="1"/>
      <c r="AE383" s="57"/>
      <c r="AF383" s="1"/>
      <c r="AG383" s="1"/>
      <c r="AH383" s="1"/>
      <c r="AI383" s="1"/>
      <c r="AJ383" s="1"/>
      <c r="AK383" s="1"/>
      <c r="AL383" s="1"/>
      <c r="AM383" s="1"/>
      <c r="AN383" s="1"/>
      <c r="AO383" s="1"/>
      <c r="AP383" s="1"/>
      <c r="AQ383" s="1"/>
      <c r="AR383" s="1"/>
      <c r="AS383" s="1"/>
      <c r="AT383" s="1"/>
      <c r="AU383" s="1"/>
      <c r="AV383" s="1"/>
      <c r="AW383" s="1"/>
      <c r="AX383" s="1"/>
      <c r="AY383" s="1"/>
      <c r="AZ383" s="1"/>
      <c r="BA383" s="1"/>
      <c r="BB383" s="1"/>
      <c r="BC383" s="1"/>
      <c r="BD383" s="1"/>
      <c r="BE383" s="1"/>
      <c r="BF383" s="1"/>
      <c r="BG383" s="1"/>
      <c r="BH383" s="1"/>
      <c r="BI383" s="1"/>
      <c r="BJ383" s="1"/>
      <c r="BK383" s="1"/>
      <c r="BL383" s="1"/>
      <c r="BM383" s="1"/>
      <c r="BN383" s="1"/>
      <c r="BO383" s="1"/>
      <c r="BP383" s="1"/>
      <c r="BQ383" s="1"/>
      <c r="BR383" s="1"/>
      <c r="BS383" s="1"/>
      <c r="BT383" s="1"/>
      <c r="BU383" s="1"/>
      <c r="BV383" s="1"/>
    </row>
    <row r="384" spans="1:74" s="45" customFormat="1" x14ac:dyDescent="0.25">
      <c r="A384" s="1"/>
      <c r="B384" s="13"/>
      <c r="C384" s="96"/>
      <c r="D384" s="1"/>
      <c r="E384" s="1"/>
      <c r="F384" s="1"/>
      <c r="G384" s="1"/>
      <c r="H384" s="1"/>
      <c r="I384" s="1"/>
      <c r="J384" s="1"/>
      <c r="K384" s="1"/>
      <c r="L384" s="1"/>
      <c r="M384" s="1"/>
      <c r="N384" s="1"/>
      <c r="O384" s="1"/>
      <c r="P384" s="1"/>
      <c r="Q384" s="96"/>
      <c r="R384" s="96"/>
      <c r="S384" s="1"/>
      <c r="T384" s="1"/>
      <c r="U384" s="1"/>
      <c r="V384" s="1"/>
      <c r="W384" s="96"/>
      <c r="X384" s="96"/>
      <c r="Y384" s="96"/>
      <c r="Z384" s="1"/>
      <c r="AA384" s="94"/>
      <c r="AB384" s="1"/>
      <c r="AC384" s="57" t="s">
        <v>1637</v>
      </c>
      <c r="AD384" s="1"/>
      <c r="AE384" s="57"/>
      <c r="AF384" s="1"/>
      <c r="AG384" s="1"/>
      <c r="AH384" s="1"/>
      <c r="AI384" s="1"/>
      <c r="AJ384" s="1"/>
      <c r="AK384" s="1"/>
      <c r="AL384" s="1"/>
      <c r="AM384" s="1"/>
      <c r="AN384" s="1"/>
      <c r="AO384" s="1"/>
      <c r="AP384" s="1"/>
      <c r="AQ384" s="1"/>
      <c r="AR384" s="1"/>
      <c r="AS384" s="1"/>
      <c r="AT384" s="1"/>
      <c r="AU384" s="1"/>
      <c r="AV384" s="1"/>
      <c r="AW384" s="1"/>
      <c r="AX384" s="1"/>
      <c r="AY384" s="1"/>
      <c r="AZ384" s="1"/>
      <c r="BA384" s="1"/>
      <c r="BB384" s="1"/>
      <c r="BC384" s="1"/>
      <c r="BD384" s="1"/>
      <c r="BE384" s="1"/>
      <c r="BF384" s="1"/>
      <c r="BG384" s="1"/>
      <c r="BH384" s="1"/>
      <c r="BI384" s="1"/>
      <c r="BJ384" s="1"/>
      <c r="BK384" s="1"/>
      <c r="BL384" s="1"/>
      <c r="BM384" s="1"/>
      <c r="BN384" s="1"/>
      <c r="BO384" s="1"/>
      <c r="BP384" s="1"/>
      <c r="BQ384" s="1"/>
      <c r="BR384" s="1"/>
      <c r="BS384" s="1"/>
      <c r="BT384" s="1"/>
      <c r="BU384" s="1"/>
      <c r="BV384" s="1"/>
    </row>
    <row r="385" spans="1:74" s="45" customFormat="1" x14ac:dyDescent="0.25">
      <c r="A385" s="1"/>
      <c r="B385" s="13"/>
      <c r="C385" s="96"/>
      <c r="D385" s="1"/>
      <c r="E385" s="1"/>
      <c r="F385" s="1"/>
      <c r="G385" s="1"/>
      <c r="H385" s="1"/>
      <c r="I385" s="1"/>
      <c r="J385" s="1"/>
      <c r="K385" s="1"/>
      <c r="L385" s="1"/>
      <c r="M385" s="1"/>
      <c r="N385" s="1"/>
      <c r="O385" s="1"/>
      <c r="P385" s="1"/>
      <c r="Q385" s="96"/>
      <c r="R385" s="96"/>
      <c r="S385" s="1"/>
      <c r="T385" s="1"/>
      <c r="U385" s="1"/>
      <c r="V385" s="1"/>
      <c r="W385" s="96"/>
      <c r="X385" s="96"/>
      <c r="Y385" s="96"/>
      <c r="Z385" s="1"/>
      <c r="AA385" s="94"/>
      <c r="AB385" s="1"/>
      <c r="AC385" s="57" t="s">
        <v>1637</v>
      </c>
      <c r="AD385" s="1"/>
      <c r="AE385" s="57"/>
      <c r="AF385" s="1"/>
      <c r="AG385" s="1"/>
      <c r="AH385" s="1"/>
      <c r="AI385" s="1"/>
      <c r="AJ385" s="1"/>
      <c r="AK385" s="1"/>
      <c r="AL385" s="1"/>
      <c r="AM385" s="1"/>
      <c r="AN385" s="1"/>
      <c r="AO385" s="1"/>
      <c r="AP385" s="1"/>
      <c r="AQ385" s="1"/>
      <c r="AR385" s="1"/>
      <c r="AS385" s="1"/>
      <c r="AT385" s="1"/>
      <c r="AU385" s="1"/>
      <c r="AV385" s="1"/>
      <c r="AW385" s="1"/>
      <c r="AX385" s="1"/>
      <c r="AY385" s="1"/>
      <c r="AZ385" s="1"/>
      <c r="BA385" s="1"/>
      <c r="BB385" s="1"/>
      <c r="BC385" s="1"/>
      <c r="BD385" s="1"/>
      <c r="BE385" s="1"/>
      <c r="BF385" s="1"/>
      <c r="BG385" s="1"/>
      <c r="BH385" s="1"/>
      <c r="BI385" s="1"/>
      <c r="BJ385" s="1"/>
      <c r="BK385" s="1"/>
      <c r="BL385" s="1"/>
      <c r="BM385" s="1"/>
      <c r="BN385" s="1"/>
      <c r="BO385" s="1"/>
      <c r="BP385" s="1"/>
      <c r="BQ385" s="1"/>
      <c r="BR385" s="1"/>
      <c r="BS385" s="1"/>
      <c r="BT385" s="1"/>
      <c r="BU385" s="1"/>
      <c r="BV385" s="1"/>
    </row>
    <row r="386" spans="1:74" s="45" customFormat="1" x14ac:dyDescent="0.25">
      <c r="A386" s="1"/>
      <c r="B386" s="13"/>
      <c r="C386" s="96"/>
      <c r="D386" s="1"/>
      <c r="E386" s="1"/>
      <c r="F386" s="1"/>
      <c r="G386" s="1"/>
      <c r="H386" s="1"/>
      <c r="I386" s="1"/>
      <c r="J386" s="1"/>
      <c r="K386" s="1"/>
      <c r="L386" s="1"/>
      <c r="M386" s="1"/>
      <c r="N386" s="1"/>
      <c r="O386" s="1"/>
      <c r="P386" s="1"/>
      <c r="Q386" s="96"/>
      <c r="R386" s="96"/>
      <c r="S386" s="1"/>
      <c r="T386" s="1"/>
      <c r="U386" s="1"/>
      <c r="V386" s="1"/>
      <c r="W386" s="96"/>
      <c r="X386" s="96"/>
      <c r="Y386" s="96"/>
      <c r="Z386" s="1"/>
      <c r="AA386" s="94"/>
      <c r="AB386" s="1"/>
      <c r="AC386" s="57" t="s">
        <v>1636</v>
      </c>
      <c r="AD386" s="1"/>
      <c r="AE386" s="57"/>
      <c r="AF386" s="1"/>
      <c r="AG386" s="1"/>
      <c r="AH386" s="1"/>
      <c r="AI386" s="1"/>
      <c r="AJ386" s="1"/>
      <c r="AK386" s="1"/>
      <c r="AL386" s="1"/>
      <c r="AM386" s="1"/>
      <c r="AN386" s="1"/>
      <c r="AO386" s="1"/>
      <c r="AP386" s="1"/>
      <c r="AQ386" s="1"/>
      <c r="AR386" s="1"/>
      <c r="AS386" s="1"/>
      <c r="AT386" s="1"/>
      <c r="AU386" s="1"/>
      <c r="AV386" s="1"/>
      <c r="AW386" s="1"/>
      <c r="AX386" s="1"/>
      <c r="AY386" s="1"/>
      <c r="AZ386" s="1"/>
      <c r="BA386" s="1"/>
      <c r="BB386" s="1"/>
      <c r="BC386" s="1"/>
      <c r="BD386" s="1"/>
      <c r="BE386" s="1"/>
      <c r="BF386" s="1"/>
      <c r="BG386" s="1"/>
      <c r="BH386" s="1"/>
      <c r="BI386" s="1"/>
      <c r="BJ386" s="1"/>
      <c r="BK386" s="1"/>
      <c r="BL386" s="1"/>
      <c r="BM386" s="1"/>
      <c r="BN386" s="1"/>
      <c r="BO386" s="1"/>
      <c r="BP386" s="1"/>
      <c r="BQ386" s="1"/>
      <c r="BR386" s="1"/>
      <c r="BS386" s="1"/>
      <c r="BT386" s="1"/>
      <c r="BU386" s="1"/>
      <c r="BV386" s="1"/>
    </row>
    <row r="387" spans="1:74" s="45" customFormat="1" x14ac:dyDescent="0.25">
      <c r="A387" s="1"/>
      <c r="B387" s="13"/>
      <c r="C387" s="96"/>
      <c r="D387" s="1"/>
      <c r="E387" s="1"/>
      <c r="F387" s="1"/>
      <c r="G387" s="1"/>
      <c r="H387" s="1"/>
      <c r="I387" s="1"/>
      <c r="J387" s="1"/>
      <c r="K387" s="1"/>
      <c r="L387" s="1"/>
      <c r="M387" s="1"/>
      <c r="N387" s="1"/>
      <c r="O387" s="1"/>
      <c r="P387" s="1"/>
      <c r="Q387" s="96"/>
      <c r="R387" s="96"/>
      <c r="S387" s="1"/>
      <c r="T387" s="1"/>
      <c r="U387" s="1"/>
      <c r="V387" s="1"/>
      <c r="W387" s="96"/>
      <c r="X387" s="96"/>
      <c r="Y387" s="96"/>
      <c r="Z387" s="1"/>
      <c r="AA387" s="94"/>
      <c r="AB387" s="1"/>
      <c r="AC387" s="57" t="s">
        <v>1637</v>
      </c>
      <c r="AD387" s="1"/>
      <c r="AE387" s="57"/>
      <c r="AF387" s="1"/>
      <c r="AG387" s="1"/>
      <c r="AH387" s="1"/>
      <c r="AI387" s="1"/>
      <c r="AJ387" s="1"/>
      <c r="AK387" s="1"/>
      <c r="AL387" s="1"/>
      <c r="AM387" s="1"/>
      <c r="AN387" s="1"/>
      <c r="AO387" s="1"/>
      <c r="AP387" s="1"/>
      <c r="AQ387" s="1"/>
      <c r="AR387" s="1"/>
      <c r="AS387" s="1"/>
      <c r="AT387" s="1"/>
      <c r="AU387" s="1"/>
      <c r="AV387" s="1"/>
      <c r="AW387" s="1"/>
      <c r="AX387" s="1"/>
      <c r="AY387" s="1"/>
      <c r="AZ387" s="1"/>
      <c r="BA387" s="1"/>
      <c r="BB387" s="1"/>
      <c r="BC387" s="1"/>
      <c r="BD387" s="1"/>
      <c r="BE387" s="1"/>
      <c r="BF387" s="1"/>
      <c r="BG387" s="1"/>
      <c r="BH387" s="1"/>
      <c r="BI387" s="1"/>
      <c r="BJ387" s="1"/>
      <c r="BK387" s="1"/>
      <c r="BL387" s="1"/>
      <c r="BM387" s="1"/>
      <c r="BN387" s="1"/>
      <c r="BO387" s="1"/>
      <c r="BP387" s="1"/>
      <c r="BQ387" s="1"/>
      <c r="BR387" s="1"/>
      <c r="BS387" s="1"/>
      <c r="BT387" s="1"/>
      <c r="BU387" s="1"/>
      <c r="BV387" s="1"/>
    </row>
    <row r="388" spans="1:74" s="45" customFormat="1" x14ac:dyDescent="0.25">
      <c r="A388" s="1"/>
      <c r="B388" s="13"/>
      <c r="C388" s="96"/>
      <c r="D388" s="1"/>
      <c r="E388" s="1"/>
      <c r="F388" s="1"/>
      <c r="G388" s="1"/>
      <c r="H388" s="1"/>
      <c r="I388" s="1"/>
      <c r="J388" s="1"/>
      <c r="K388" s="1"/>
      <c r="L388" s="1"/>
      <c r="M388" s="1"/>
      <c r="N388" s="1"/>
      <c r="O388" s="1"/>
      <c r="P388" s="1"/>
      <c r="Q388" s="96"/>
      <c r="R388" s="96"/>
      <c r="S388" s="1"/>
      <c r="T388" s="1"/>
      <c r="U388" s="1"/>
      <c r="V388" s="1"/>
      <c r="W388" s="96"/>
      <c r="X388" s="96"/>
      <c r="Y388" s="96"/>
      <c r="Z388" s="1"/>
      <c r="AA388" s="94"/>
      <c r="AB388" s="1"/>
      <c r="AC388" s="57" t="s">
        <v>1637</v>
      </c>
      <c r="AD388" s="1"/>
      <c r="AE388" s="57"/>
      <c r="AF388" s="1"/>
      <c r="AG388" s="1"/>
      <c r="AH388" s="1"/>
      <c r="AI388" s="1"/>
      <c r="AJ388" s="1"/>
      <c r="AK388" s="1"/>
      <c r="AL388" s="1"/>
      <c r="AM388" s="1"/>
      <c r="AN388" s="1"/>
      <c r="AO388" s="1"/>
      <c r="AP388" s="1"/>
      <c r="AQ388" s="1"/>
      <c r="AR388" s="1"/>
      <c r="AS388" s="1"/>
      <c r="AT388" s="1"/>
      <c r="AU388" s="1"/>
      <c r="AV388" s="1"/>
      <c r="AW388" s="1"/>
      <c r="AX388" s="1"/>
      <c r="AY388" s="1"/>
      <c r="AZ388" s="1"/>
      <c r="BA388" s="1"/>
      <c r="BB388" s="1"/>
      <c r="BC388" s="1"/>
      <c r="BD388" s="1"/>
      <c r="BE388" s="1"/>
      <c r="BF388" s="1"/>
      <c r="BG388" s="1"/>
      <c r="BH388" s="1"/>
      <c r="BI388" s="1"/>
      <c r="BJ388" s="1"/>
      <c r="BK388" s="1"/>
      <c r="BL388" s="1"/>
      <c r="BM388" s="1"/>
      <c r="BN388" s="1"/>
      <c r="BO388" s="1"/>
      <c r="BP388" s="1"/>
      <c r="BQ388" s="1"/>
      <c r="BR388" s="1"/>
      <c r="BS388" s="1"/>
      <c r="BT388" s="1"/>
      <c r="BU388" s="1"/>
      <c r="BV388" s="1"/>
    </row>
    <row r="389" spans="1:74" x14ac:dyDescent="0.25">
      <c r="C389" s="96"/>
    </row>
    <row r="390" spans="1:74" s="49" customFormat="1" x14ac:dyDescent="0.25">
      <c r="A390" s="1"/>
      <c r="B390" s="13"/>
      <c r="C390" s="96"/>
      <c r="D390" s="1"/>
      <c r="E390" s="1"/>
      <c r="F390" s="1"/>
      <c r="G390" s="1"/>
      <c r="H390" s="1"/>
      <c r="I390" s="1"/>
      <c r="J390" s="1"/>
      <c r="K390" s="1"/>
      <c r="L390" s="1"/>
      <c r="M390" s="1"/>
      <c r="N390" s="1"/>
      <c r="O390" s="1"/>
      <c r="P390" s="1"/>
      <c r="Q390" s="96"/>
      <c r="R390" s="96"/>
      <c r="S390" s="1"/>
      <c r="T390" s="1"/>
      <c r="U390" s="1"/>
      <c r="V390" s="1"/>
      <c r="W390" s="96"/>
      <c r="X390" s="96"/>
      <c r="Y390" s="96"/>
      <c r="Z390" s="1"/>
      <c r="AA390" s="94"/>
      <c r="AB390" s="1"/>
      <c r="AC390" s="57"/>
      <c r="AD390" s="1"/>
      <c r="AE390" s="57"/>
      <c r="AF390" s="1"/>
      <c r="AG390" s="1"/>
      <c r="AH390" s="1"/>
      <c r="AI390" s="1"/>
      <c r="AJ390" s="1"/>
      <c r="AK390" s="1"/>
      <c r="AL390" s="1"/>
      <c r="AM390" s="1"/>
      <c r="AN390" s="1"/>
      <c r="AO390" s="1"/>
      <c r="AP390" s="1"/>
      <c r="AQ390" s="1"/>
      <c r="AR390" s="1"/>
      <c r="AS390" s="1"/>
      <c r="AT390" s="1"/>
      <c r="AU390" s="1"/>
      <c r="AV390" s="1"/>
      <c r="AW390" s="1"/>
      <c r="AX390" s="1"/>
      <c r="AY390" s="1"/>
      <c r="AZ390" s="1"/>
      <c r="BA390" s="1"/>
      <c r="BB390" s="1"/>
      <c r="BC390" s="1"/>
      <c r="BD390" s="1"/>
      <c r="BE390" s="1"/>
      <c r="BF390" s="1"/>
      <c r="BG390" s="1"/>
      <c r="BH390" s="1"/>
      <c r="BI390" s="1"/>
      <c r="BJ390" s="1"/>
      <c r="BK390" s="1"/>
      <c r="BL390" s="1"/>
      <c r="BM390" s="1"/>
      <c r="BN390" s="1"/>
      <c r="BO390" s="1"/>
      <c r="BP390" s="1"/>
      <c r="BQ390" s="1"/>
      <c r="BR390" s="1"/>
      <c r="BS390" s="1"/>
      <c r="BT390" s="1"/>
      <c r="BU390" s="1"/>
      <c r="BV390" s="1"/>
    </row>
    <row r="391" spans="1:74" s="45" customFormat="1" x14ac:dyDescent="0.25">
      <c r="A391" s="1"/>
      <c r="B391" s="13"/>
      <c r="C391" s="96"/>
      <c r="D391" s="1"/>
      <c r="E391" s="1"/>
      <c r="F391" s="1"/>
      <c r="G391" s="1"/>
      <c r="H391" s="1"/>
      <c r="I391" s="1"/>
      <c r="J391" s="1"/>
      <c r="K391" s="1"/>
      <c r="L391" s="1"/>
      <c r="M391" s="1"/>
      <c r="N391" s="1"/>
      <c r="O391" s="1"/>
      <c r="P391" s="1"/>
      <c r="Q391" s="96"/>
      <c r="R391" s="96"/>
      <c r="S391" s="1"/>
      <c r="T391" s="1"/>
      <c r="U391" s="1"/>
      <c r="V391" s="1"/>
      <c r="W391" s="96"/>
      <c r="X391" s="96"/>
      <c r="Y391" s="96"/>
      <c r="Z391" s="1"/>
      <c r="AA391" s="94"/>
      <c r="AB391" s="1"/>
      <c r="AC391" s="57" t="s">
        <v>1637</v>
      </c>
      <c r="AD391" s="1"/>
      <c r="AE391" s="57"/>
      <c r="AF391" s="1"/>
      <c r="AG391" s="1"/>
      <c r="AH391" s="1"/>
      <c r="AI391" s="1"/>
      <c r="AJ391" s="1"/>
      <c r="AK391" s="1"/>
      <c r="AL391" s="1"/>
      <c r="AM391" s="1"/>
      <c r="AN391" s="1"/>
      <c r="AO391" s="1"/>
      <c r="AP391" s="1"/>
      <c r="AQ391" s="1"/>
      <c r="AR391" s="1"/>
      <c r="AS391" s="1"/>
      <c r="AT391" s="1"/>
      <c r="AU391" s="1"/>
      <c r="AV391" s="1"/>
      <c r="AW391" s="1"/>
      <c r="AX391" s="1"/>
      <c r="AY391" s="1"/>
      <c r="AZ391" s="1"/>
      <c r="BA391" s="1"/>
      <c r="BB391" s="1"/>
      <c r="BC391" s="1"/>
      <c r="BD391" s="1"/>
      <c r="BE391" s="1"/>
      <c r="BF391" s="1"/>
      <c r="BG391" s="1"/>
      <c r="BH391" s="1"/>
      <c r="BI391" s="1"/>
      <c r="BJ391" s="1"/>
      <c r="BK391" s="1"/>
      <c r="BL391" s="1"/>
      <c r="BM391" s="1"/>
      <c r="BN391" s="1"/>
      <c r="BO391" s="1"/>
      <c r="BP391" s="1"/>
      <c r="BQ391" s="1"/>
      <c r="BR391" s="1"/>
      <c r="BS391" s="1"/>
      <c r="BT391" s="1"/>
      <c r="BU391" s="1"/>
      <c r="BV391" s="1"/>
    </row>
    <row r="392" spans="1:74" s="45" customFormat="1" x14ac:dyDescent="0.25">
      <c r="A392" s="1"/>
      <c r="B392" s="13"/>
      <c r="C392" s="96"/>
      <c r="D392" s="1"/>
      <c r="E392" s="1"/>
      <c r="F392" s="1"/>
      <c r="G392" s="1"/>
      <c r="H392" s="1"/>
      <c r="I392" s="1"/>
      <c r="J392" s="1"/>
      <c r="K392" s="1"/>
      <c r="L392" s="1"/>
      <c r="M392" s="1"/>
      <c r="N392" s="1"/>
      <c r="O392" s="1"/>
      <c r="P392" s="1"/>
      <c r="Q392" s="96"/>
      <c r="R392" s="96"/>
      <c r="S392" s="1"/>
      <c r="T392" s="1"/>
      <c r="U392" s="1"/>
      <c r="V392" s="1"/>
      <c r="W392" s="96"/>
      <c r="X392" s="96"/>
      <c r="Y392" s="96"/>
      <c r="Z392" s="1"/>
      <c r="AA392" s="94"/>
      <c r="AB392" s="1"/>
      <c r="AC392" s="57" t="s">
        <v>1637</v>
      </c>
      <c r="AD392" s="1"/>
      <c r="AE392" s="57"/>
      <c r="AF392" s="1"/>
      <c r="AG392" s="1"/>
      <c r="AH392" s="1"/>
      <c r="AI392" s="1"/>
      <c r="AJ392" s="1"/>
      <c r="AK392" s="1"/>
      <c r="AL392" s="1"/>
      <c r="AM392" s="1"/>
      <c r="AN392" s="1"/>
      <c r="AO392" s="1"/>
      <c r="AP392" s="1"/>
      <c r="AQ392" s="1"/>
      <c r="AR392" s="1"/>
      <c r="AS392" s="1"/>
      <c r="AT392" s="1"/>
      <c r="AU392" s="1"/>
      <c r="AV392" s="1"/>
      <c r="AW392" s="1"/>
      <c r="AX392" s="1"/>
      <c r="AY392" s="1"/>
      <c r="AZ392" s="1"/>
      <c r="BA392" s="1"/>
      <c r="BB392" s="1"/>
      <c r="BC392" s="1"/>
      <c r="BD392" s="1"/>
      <c r="BE392" s="1"/>
      <c r="BF392" s="1"/>
      <c r="BG392" s="1"/>
      <c r="BH392" s="1"/>
      <c r="BI392" s="1"/>
      <c r="BJ392" s="1"/>
      <c r="BK392" s="1"/>
      <c r="BL392" s="1"/>
      <c r="BM392" s="1"/>
      <c r="BN392" s="1"/>
      <c r="BO392" s="1"/>
      <c r="BP392" s="1"/>
      <c r="BQ392" s="1"/>
      <c r="BR392" s="1"/>
      <c r="BS392" s="1"/>
      <c r="BT392" s="1"/>
      <c r="BU392" s="1"/>
      <c r="BV392" s="1"/>
    </row>
    <row r="393" spans="1:74" x14ac:dyDescent="0.25">
      <c r="C393" s="96"/>
    </row>
    <row r="394" spans="1:74" x14ac:dyDescent="0.25">
      <c r="C394" s="96"/>
    </row>
    <row r="395" spans="1:74" s="40" customFormat="1" x14ac:dyDescent="0.25">
      <c r="A395" s="1"/>
      <c r="B395" s="13"/>
      <c r="C395" s="96"/>
      <c r="D395" s="1"/>
      <c r="E395" s="1"/>
      <c r="F395" s="1"/>
      <c r="G395" s="1"/>
      <c r="H395" s="1"/>
      <c r="I395" s="1"/>
      <c r="J395" s="1"/>
      <c r="K395" s="1"/>
      <c r="L395" s="1"/>
      <c r="M395" s="1"/>
      <c r="N395" s="1"/>
      <c r="O395" s="1"/>
      <c r="P395" s="1"/>
      <c r="Q395" s="96"/>
      <c r="R395" s="96"/>
      <c r="S395" s="1"/>
      <c r="T395" s="1"/>
      <c r="U395" s="1"/>
      <c r="V395" s="1"/>
      <c r="W395" s="96"/>
      <c r="X395" s="96"/>
      <c r="Y395" s="96"/>
      <c r="Z395" s="1"/>
      <c r="AA395" s="94"/>
      <c r="AB395" s="1"/>
      <c r="AC395" s="57"/>
      <c r="AD395" s="1"/>
      <c r="AE395" s="57"/>
      <c r="AF395" s="1"/>
      <c r="AG395" s="1"/>
      <c r="AH395" s="1"/>
      <c r="AI395" s="1"/>
      <c r="AJ395" s="1"/>
      <c r="AK395" s="1"/>
      <c r="AL395" s="1"/>
      <c r="AM395" s="1"/>
      <c r="AN395" s="1"/>
      <c r="AO395" s="1"/>
      <c r="AP395" s="1"/>
      <c r="AQ395" s="1"/>
      <c r="AR395" s="1"/>
      <c r="AS395" s="1"/>
      <c r="AT395" s="1"/>
      <c r="AU395" s="1"/>
      <c r="AV395" s="1"/>
      <c r="AW395" s="1"/>
      <c r="AX395" s="1"/>
      <c r="AY395" s="1"/>
      <c r="AZ395" s="1"/>
      <c r="BA395" s="1"/>
      <c r="BB395" s="1"/>
      <c r="BC395" s="1"/>
      <c r="BD395" s="1"/>
      <c r="BE395" s="1"/>
      <c r="BF395" s="1"/>
      <c r="BG395" s="1"/>
      <c r="BH395" s="1"/>
      <c r="BI395" s="1"/>
      <c r="BJ395" s="1"/>
      <c r="BK395" s="1"/>
      <c r="BL395" s="1"/>
      <c r="BM395" s="1"/>
      <c r="BN395" s="1"/>
      <c r="BO395" s="1"/>
      <c r="BP395" s="1"/>
      <c r="BQ395" s="1"/>
      <c r="BR395" s="1"/>
      <c r="BS395" s="1"/>
      <c r="BT395" s="1"/>
      <c r="BU395" s="1"/>
      <c r="BV395" s="1"/>
    </row>
    <row r="396" spans="1:74" s="40" customFormat="1" x14ac:dyDescent="0.25">
      <c r="A396" s="1"/>
      <c r="B396" s="13"/>
      <c r="C396" s="96"/>
      <c r="D396" s="1"/>
      <c r="E396" s="1"/>
      <c r="F396" s="1"/>
      <c r="G396" s="1"/>
      <c r="H396" s="1"/>
      <c r="I396" s="1"/>
      <c r="J396" s="1"/>
      <c r="K396" s="1"/>
      <c r="L396" s="1"/>
      <c r="M396" s="1"/>
      <c r="N396" s="1"/>
      <c r="O396" s="1"/>
      <c r="P396" s="1"/>
      <c r="Q396" s="96"/>
      <c r="R396" s="96"/>
      <c r="S396" s="1"/>
      <c r="T396" s="1"/>
      <c r="U396" s="1"/>
      <c r="V396" s="1"/>
      <c r="W396" s="96"/>
      <c r="X396" s="96"/>
      <c r="Y396" s="96"/>
      <c r="Z396" s="1"/>
      <c r="AA396" s="94"/>
      <c r="AB396" s="1"/>
      <c r="AC396" s="57"/>
      <c r="AD396" s="1"/>
      <c r="AE396" s="57"/>
      <c r="AF396" s="1"/>
      <c r="AG396" s="1"/>
      <c r="AH396" s="1"/>
      <c r="AI396" s="1"/>
      <c r="AJ396" s="1"/>
      <c r="AK396" s="1"/>
      <c r="AL396" s="1"/>
      <c r="AM396" s="1"/>
      <c r="AN396" s="1"/>
      <c r="AO396" s="1"/>
      <c r="AP396" s="1"/>
      <c r="AQ396" s="1"/>
      <c r="AR396" s="1"/>
      <c r="AS396" s="1"/>
      <c r="AT396" s="1"/>
      <c r="AU396" s="1"/>
      <c r="AV396" s="1"/>
      <c r="AW396" s="1"/>
      <c r="AX396" s="1"/>
      <c r="AY396" s="1"/>
      <c r="AZ396" s="1"/>
      <c r="BA396" s="1"/>
      <c r="BB396" s="1"/>
      <c r="BC396" s="1"/>
      <c r="BD396" s="1"/>
      <c r="BE396" s="1"/>
      <c r="BF396" s="1"/>
      <c r="BG396" s="1"/>
      <c r="BH396" s="1"/>
      <c r="BI396" s="1"/>
      <c r="BJ396" s="1"/>
      <c r="BK396" s="1"/>
      <c r="BL396" s="1"/>
      <c r="BM396" s="1"/>
      <c r="BN396" s="1"/>
      <c r="BO396" s="1"/>
      <c r="BP396" s="1"/>
      <c r="BQ396" s="1"/>
      <c r="BR396" s="1"/>
      <c r="BS396" s="1"/>
      <c r="BT396" s="1"/>
      <c r="BU396" s="1"/>
      <c r="BV396" s="1"/>
    </row>
    <row r="397" spans="1:74" s="40" customFormat="1" x14ac:dyDescent="0.25">
      <c r="A397" s="1"/>
      <c r="B397" s="13"/>
      <c r="C397" s="96"/>
      <c r="D397" s="1"/>
      <c r="E397" s="1"/>
      <c r="F397" s="1"/>
      <c r="G397" s="1"/>
      <c r="H397" s="1"/>
      <c r="I397" s="1"/>
      <c r="J397" s="1"/>
      <c r="K397" s="1"/>
      <c r="L397" s="1"/>
      <c r="M397" s="1"/>
      <c r="N397" s="1"/>
      <c r="O397" s="1"/>
      <c r="P397" s="1"/>
      <c r="Q397" s="96"/>
      <c r="R397" s="96"/>
      <c r="S397" s="1"/>
      <c r="T397" s="1"/>
      <c r="U397" s="1"/>
      <c r="V397" s="1"/>
      <c r="W397" s="96"/>
      <c r="X397" s="96"/>
      <c r="Y397" s="96"/>
      <c r="Z397" s="1"/>
      <c r="AA397" s="94"/>
      <c r="AB397" s="1"/>
      <c r="AC397" s="57"/>
      <c r="AD397" s="1"/>
      <c r="AE397" s="57"/>
      <c r="AF397" s="1"/>
      <c r="AG397" s="1"/>
      <c r="AH397" s="1"/>
      <c r="AI397" s="1"/>
      <c r="AJ397" s="1"/>
      <c r="AK397" s="1"/>
      <c r="AL397" s="1"/>
      <c r="AM397" s="1"/>
      <c r="AN397" s="1"/>
      <c r="AO397" s="1"/>
      <c r="AP397" s="1"/>
      <c r="AQ397" s="1"/>
      <c r="AR397" s="1"/>
      <c r="AS397" s="1"/>
      <c r="AT397" s="1"/>
      <c r="AU397" s="1"/>
      <c r="AV397" s="1"/>
      <c r="AW397" s="1"/>
      <c r="AX397" s="1"/>
      <c r="AY397" s="1"/>
      <c r="AZ397" s="1"/>
      <c r="BA397" s="1"/>
      <c r="BB397" s="1"/>
      <c r="BC397" s="1"/>
      <c r="BD397" s="1"/>
      <c r="BE397" s="1"/>
      <c r="BF397" s="1"/>
      <c r="BG397" s="1"/>
      <c r="BH397" s="1"/>
      <c r="BI397" s="1"/>
      <c r="BJ397" s="1"/>
      <c r="BK397" s="1"/>
      <c r="BL397" s="1"/>
      <c r="BM397" s="1"/>
      <c r="BN397" s="1"/>
      <c r="BO397" s="1"/>
      <c r="BP397" s="1"/>
      <c r="BQ397" s="1"/>
      <c r="BR397" s="1"/>
      <c r="BS397" s="1"/>
      <c r="BT397" s="1"/>
      <c r="BU397" s="1"/>
      <c r="BV397" s="1"/>
    </row>
    <row r="398" spans="1:74" s="40" customFormat="1" x14ac:dyDescent="0.25">
      <c r="A398" s="1"/>
      <c r="B398" s="13"/>
      <c r="C398" s="96"/>
      <c r="D398" s="1"/>
      <c r="E398" s="1"/>
      <c r="F398" s="1"/>
      <c r="G398" s="1"/>
      <c r="H398" s="1"/>
      <c r="I398" s="1"/>
      <c r="J398" s="1"/>
      <c r="K398" s="1"/>
      <c r="L398" s="1"/>
      <c r="M398" s="1"/>
      <c r="N398" s="1"/>
      <c r="O398" s="1"/>
      <c r="P398" s="1"/>
      <c r="Q398" s="96"/>
      <c r="R398" s="96"/>
      <c r="S398" s="1"/>
      <c r="T398" s="1"/>
      <c r="U398" s="1"/>
      <c r="V398" s="1"/>
      <c r="W398" s="96"/>
      <c r="X398" s="96"/>
      <c r="Y398" s="96"/>
      <c r="Z398" s="1"/>
      <c r="AA398" s="94"/>
      <c r="AB398" s="1"/>
      <c r="AC398" s="57"/>
      <c r="AD398" s="1"/>
      <c r="AE398" s="57"/>
      <c r="AF398" s="1"/>
      <c r="AG398" s="1"/>
      <c r="AH398" s="1"/>
      <c r="AI398" s="1"/>
      <c r="AJ398" s="1"/>
      <c r="AK398" s="1"/>
      <c r="AL398" s="1"/>
      <c r="AM398" s="1"/>
      <c r="AN398" s="1"/>
      <c r="AO398" s="1"/>
      <c r="AP398" s="1"/>
      <c r="AQ398" s="1"/>
      <c r="AR398" s="1"/>
      <c r="AS398" s="1"/>
      <c r="AT398" s="1"/>
      <c r="AU398" s="1"/>
      <c r="AV398" s="1"/>
      <c r="AW398" s="1"/>
      <c r="AX398" s="1"/>
      <c r="AY398" s="1"/>
      <c r="AZ398" s="1"/>
      <c r="BA398" s="1"/>
      <c r="BB398" s="1"/>
      <c r="BC398" s="1"/>
      <c r="BD398" s="1"/>
      <c r="BE398" s="1"/>
      <c r="BF398" s="1"/>
      <c r="BG398" s="1"/>
      <c r="BH398" s="1"/>
      <c r="BI398" s="1"/>
      <c r="BJ398" s="1"/>
      <c r="BK398" s="1"/>
      <c r="BL398" s="1"/>
      <c r="BM398" s="1"/>
      <c r="BN398" s="1"/>
      <c r="BO398" s="1"/>
      <c r="BP398" s="1"/>
      <c r="BQ398" s="1"/>
      <c r="BR398" s="1"/>
      <c r="BS398" s="1"/>
      <c r="BT398" s="1"/>
      <c r="BU398" s="1"/>
      <c r="BV398" s="1"/>
    </row>
    <row r="399" spans="1:74" s="40" customFormat="1" x14ac:dyDescent="0.25">
      <c r="A399" s="1"/>
      <c r="B399" s="13"/>
      <c r="C399" s="96"/>
      <c r="D399" s="1"/>
      <c r="E399" s="1"/>
      <c r="F399" s="1"/>
      <c r="G399" s="1"/>
      <c r="H399" s="1"/>
      <c r="I399" s="1"/>
      <c r="J399" s="1"/>
      <c r="K399" s="1"/>
      <c r="L399" s="1"/>
      <c r="M399" s="1"/>
      <c r="N399" s="1"/>
      <c r="O399" s="1"/>
      <c r="P399" s="1"/>
      <c r="Q399" s="96"/>
      <c r="R399" s="96"/>
      <c r="S399" s="1"/>
      <c r="T399" s="1"/>
      <c r="U399" s="1"/>
      <c r="V399" s="1"/>
      <c r="W399" s="96"/>
      <c r="X399" s="96"/>
      <c r="Y399" s="96"/>
      <c r="Z399" s="1"/>
      <c r="AA399" s="94"/>
      <c r="AB399" s="1"/>
      <c r="AC399" s="57"/>
      <c r="AD399" s="1"/>
      <c r="AE399" s="57"/>
      <c r="AF399" s="1"/>
      <c r="AG399" s="1"/>
      <c r="AH399" s="1"/>
      <c r="AI399" s="1"/>
      <c r="AJ399" s="1"/>
      <c r="AK399" s="1"/>
      <c r="AL399" s="1"/>
      <c r="AM399" s="1"/>
      <c r="AN399" s="1"/>
      <c r="AO399" s="1"/>
      <c r="AP399" s="1"/>
      <c r="AQ399" s="1"/>
      <c r="AR399" s="1"/>
      <c r="AS399" s="1"/>
      <c r="AT399" s="1"/>
      <c r="AU399" s="1"/>
      <c r="AV399" s="1"/>
      <c r="AW399" s="1"/>
      <c r="AX399" s="1"/>
      <c r="AY399" s="1"/>
      <c r="AZ399" s="1"/>
      <c r="BA399" s="1"/>
      <c r="BB399" s="1"/>
      <c r="BC399" s="1"/>
      <c r="BD399" s="1"/>
      <c r="BE399" s="1"/>
      <c r="BF399" s="1"/>
      <c r="BG399" s="1"/>
      <c r="BH399" s="1"/>
      <c r="BI399" s="1"/>
      <c r="BJ399" s="1"/>
      <c r="BK399" s="1"/>
      <c r="BL399" s="1"/>
      <c r="BM399" s="1"/>
      <c r="BN399" s="1"/>
      <c r="BO399" s="1"/>
      <c r="BP399" s="1"/>
      <c r="BQ399" s="1"/>
      <c r="BR399" s="1"/>
      <c r="BS399" s="1"/>
      <c r="BT399" s="1"/>
      <c r="BU399" s="1"/>
      <c r="BV399" s="1"/>
    </row>
    <row r="400" spans="1:74" x14ac:dyDescent="0.25">
      <c r="C400" s="96"/>
    </row>
    <row r="401" spans="1:142" s="40" customFormat="1" x14ac:dyDescent="0.25">
      <c r="A401" s="1"/>
      <c r="B401" s="13"/>
      <c r="C401" s="96"/>
      <c r="D401" s="1"/>
      <c r="E401" s="1"/>
      <c r="F401" s="1"/>
      <c r="G401" s="1"/>
      <c r="H401" s="1"/>
      <c r="I401" s="1"/>
      <c r="J401" s="1"/>
      <c r="K401" s="1"/>
      <c r="L401" s="1"/>
      <c r="M401" s="1"/>
      <c r="N401" s="1"/>
      <c r="O401" s="1"/>
      <c r="P401" s="1"/>
      <c r="Q401" s="96"/>
      <c r="R401" s="96"/>
      <c r="S401" s="1"/>
      <c r="T401" s="1"/>
      <c r="U401" s="1"/>
      <c r="V401" s="1"/>
      <c r="W401" s="96"/>
      <c r="X401" s="96"/>
      <c r="Y401" s="96"/>
      <c r="Z401" s="1"/>
      <c r="AA401" s="94"/>
      <c r="AB401" s="1"/>
      <c r="AC401" s="57"/>
      <c r="AD401" s="1"/>
      <c r="AE401" s="57"/>
      <c r="AF401" s="1"/>
      <c r="AG401" s="1"/>
      <c r="AH401" s="1"/>
      <c r="AI401" s="1"/>
      <c r="AJ401" s="1"/>
      <c r="AK401" s="1"/>
      <c r="AL401" s="1"/>
      <c r="AM401" s="1"/>
      <c r="AN401" s="1"/>
      <c r="AO401" s="1"/>
      <c r="AP401" s="1"/>
      <c r="AQ401" s="1"/>
      <c r="AR401" s="1"/>
      <c r="AS401" s="1"/>
      <c r="AT401" s="1"/>
      <c r="AU401" s="1"/>
      <c r="AV401" s="1"/>
      <c r="AW401" s="1"/>
      <c r="AX401" s="1"/>
      <c r="AY401" s="1"/>
      <c r="AZ401" s="1"/>
      <c r="BA401" s="1"/>
      <c r="BB401" s="1"/>
      <c r="BC401" s="1"/>
      <c r="BD401" s="1"/>
      <c r="BE401" s="1"/>
      <c r="BF401" s="1"/>
      <c r="BG401" s="1"/>
      <c r="BH401" s="1"/>
      <c r="BI401" s="1"/>
      <c r="BJ401" s="1"/>
      <c r="BK401" s="1"/>
      <c r="BL401" s="1"/>
      <c r="BM401" s="1"/>
      <c r="BN401" s="1"/>
      <c r="BO401" s="1"/>
      <c r="BP401" s="1"/>
      <c r="BQ401" s="1"/>
      <c r="BR401" s="1"/>
      <c r="BS401" s="1"/>
      <c r="BT401" s="1"/>
      <c r="BU401" s="1"/>
      <c r="BV401" s="1"/>
    </row>
    <row r="402" spans="1:142" s="45" customFormat="1" x14ac:dyDescent="0.25">
      <c r="A402" s="1"/>
      <c r="B402" s="13"/>
      <c r="C402" s="96"/>
      <c r="D402" s="1"/>
      <c r="E402" s="1"/>
      <c r="F402" s="1"/>
      <c r="G402" s="1"/>
      <c r="H402" s="1"/>
      <c r="I402" s="1"/>
      <c r="J402" s="1"/>
      <c r="K402" s="1"/>
      <c r="L402" s="1"/>
      <c r="M402" s="1"/>
      <c r="N402" s="1"/>
      <c r="O402" s="1"/>
      <c r="P402" s="1"/>
      <c r="Q402" s="96"/>
      <c r="R402" s="96"/>
      <c r="S402" s="1"/>
      <c r="T402" s="1"/>
      <c r="U402" s="1"/>
      <c r="V402" s="1"/>
      <c r="W402" s="96"/>
      <c r="X402" s="96"/>
      <c r="Y402" s="96"/>
      <c r="Z402" s="1"/>
      <c r="AA402" s="94"/>
      <c r="AB402" s="1"/>
      <c r="AC402" s="57" t="s">
        <v>1636</v>
      </c>
      <c r="AD402" s="1"/>
      <c r="AE402" s="57"/>
      <c r="AF402" s="1"/>
      <c r="AG402" s="1"/>
      <c r="AH402" s="1"/>
      <c r="AI402" s="1"/>
      <c r="AJ402" s="1"/>
      <c r="AK402" s="1"/>
      <c r="AL402" s="1"/>
      <c r="AM402" s="1"/>
      <c r="AN402" s="1"/>
      <c r="AO402" s="1"/>
      <c r="AP402" s="1"/>
      <c r="AQ402" s="1"/>
      <c r="AR402" s="1"/>
      <c r="AS402" s="1"/>
      <c r="AT402" s="1"/>
      <c r="AU402" s="1"/>
      <c r="AV402" s="1"/>
      <c r="AW402" s="1"/>
      <c r="AX402" s="1"/>
      <c r="AY402" s="1"/>
      <c r="AZ402" s="1"/>
      <c r="BA402" s="1"/>
      <c r="BB402" s="1"/>
      <c r="BC402" s="1"/>
      <c r="BD402" s="1"/>
      <c r="BE402" s="1"/>
      <c r="BF402" s="1"/>
      <c r="BG402" s="1"/>
      <c r="BH402" s="1"/>
      <c r="BI402" s="1"/>
      <c r="BJ402" s="1"/>
      <c r="BK402" s="1"/>
      <c r="BL402" s="1"/>
      <c r="BM402" s="1"/>
      <c r="BN402" s="1"/>
      <c r="BO402" s="1"/>
      <c r="BP402" s="1"/>
      <c r="BQ402" s="1"/>
      <c r="BR402" s="1"/>
      <c r="BS402" s="1"/>
      <c r="BT402" s="1"/>
      <c r="BU402" s="1"/>
      <c r="BV402" s="1"/>
    </row>
    <row r="403" spans="1:142" s="45" customFormat="1" x14ac:dyDescent="0.25">
      <c r="A403" s="1"/>
      <c r="B403" s="13"/>
      <c r="C403" s="96"/>
      <c r="D403" s="1"/>
      <c r="E403" s="13"/>
      <c r="F403" s="1"/>
      <c r="G403" s="1"/>
      <c r="H403" s="1"/>
      <c r="I403" s="1"/>
      <c r="J403" s="1"/>
      <c r="K403" s="1"/>
      <c r="L403" s="1"/>
      <c r="M403" s="1"/>
      <c r="N403" s="1"/>
      <c r="O403" s="1"/>
      <c r="P403" s="1"/>
      <c r="Q403" s="96"/>
      <c r="R403" s="96"/>
      <c r="S403" s="1"/>
      <c r="T403" s="1"/>
      <c r="U403" s="1"/>
      <c r="V403" s="1"/>
      <c r="W403" s="96"/>
      <c r="X403" s="96"/>
      <c r="Y403" s="96"/>
      <c r="Z403" s="1"/>
      <c r="AA403" s="94"/>
      <c r="AB403" s="1"/>
      <c r="AC403" s="57" t="s">
        <v>1636</v>
      </c>
      <c r="AD403" s="1"/>
      <c r="AE403" s="57"/>
      <c r="AF403" s="1"/>
      <c r="AG403" s="1"/>
      <c r="AH403" s="1"/>
      <c r="AI403" s="1"/>
      <c r="AJ403" s="1"/>
      <c r="AK403" s="1"/>
      <c r="AL403" s="1"/>
      <c r="AM403" s="1"/>
      <c r="AN403" s="1"/>
      <c r="AO403" s="1"/>
      <c r="AP403" s="1"/>
      <c r="AQ403" s="1"/>
      <c r="AR403" s="1"/>
      <c r="AS403" s="1"/>
      <c r="AT403" s="1"/>
      <c r="AU403" s="1"/>
      <c r="AV403" s="1"/>
      <c r="AW403" s="1"/>
      <c r="AX403" s="1"/>
      <c r="AY403" s="1"/>
      <c r="AZ403" s="1"/>
      <c r="BA403" s="1"/>
      <c r="BB403" s="1"/>
      <c r="BC403" s="1"/>
      <c r="BD403" s="1"/>
      <c r="BE403" s="1"/>
      <c r="BF403" s="1"/>
      <c r="BG403" s="1"/>
      <c r="BH403" s="1"/>
      <c r="BI403" s="1"/>
      <c r="BJ403" s="1"/>
      <c r="BK403" s="1"/>
      <c r="BL403" s="1"/>
      <c r="BM403" s="1"/>
      <c r="BN403" s="1"/>
      <c r="BO403" s="1"/>
      <c r="BP403" s="1"/>
      <c r="BQ403" s="1"/>
      <c r="BR403" s="1"/>
      <c r="BS403" s="1"/>
      <c r="BT403" s="1"/>
      <c r="BU403" s="1"/>
      <c r="BV403" s="1"/>
      <c r="BW403" s="1"/>
      <c r="BX403" s="1"/>
      <c r="BY403" s="1"/>
      <c r="BZ403" s="1"/>
      <c r="CA403" s="1"/>
      <c r="CB403" s="1"/>
      <c r="CC403" s="1"/>
      <c r="CD403" s="1"/>
      <c r="CE403" s="1"/>
      <c r="CF403" s="1"/>
      <c r="CG403" s="1"/>
      <c r="CH403" s="1"/>
      <c r="CI403" s="1"/>
      <c r="CJ403" s="1"/>
      <c r="CK403" s="1"/>
      <c r="CL403" s="1"/>
      <c r="CM403" s="1"/>
      <c r="CN403" s="1"/>
      <c r="CO403" s="1"/>
      <c r="CP403" s="1"/>
      <c r="CQ403" s="1"/>
      <c r="CR403" s="1"/>
      <c r="CS403" s="1"/>
      <c r="CT403" s="1"/>
      <c r="CU403" s="1"/>
      <c r="CV403" s="1"/>
      <c r="CW403" s="1"/>
      <c r="CX403" s="1"/>
      <c r="CY403" s="1"/>
      <c r="CZ403" s="1"/>
      <c r="DA403" s="1"/>
      <c r="DB403" s="1"/>
      <c r="DC403" s="1"/>
      <c r="DD403" s="1"/>
      <c r="DE403" s="1"/>
      <c r="DF403" s="1"/>
      <c r="DG403" s="1"/>
      <c r="DH403" s="1"/>
      <c r="DI403" s="1"/>
      <c r="DJ403" s="1"/>
      <c r="DK403" s="1"/>
      <c r="DL403" s="1"/>
      <c r="DM403" s="1"/>
      <c r="DN403" s="1"/>
      <c r="DO403" s="1"/>
      <c r="DP403" s="1"/>
      <c r="DQ403" s="1"/>
      <c r="DR403" s="1"/>
      <c r="DS403" s="1"/>
      <c r="DT403" s="1"/>
      <c r="DU403" s="1"/>
      <c r="DV403" s="1"/>
      <c r="DW403" s="1"/>
      <c r="DX403" s="1"/>
      <c r="DY403" s="1"/>
      <c r="DZ403" s="1"/>
      <c r="EA403" s="1"/>
      <c r="EB403" s="1"/>
      <c r="EC403" s="1"/>
      <c r="ED403" s="1"/>
      <c r="EE403" s="1"/>
      <c r="EF403" s="1"/>
      <c r="EG403" s="1"/>
      <c r="EH403" s="1"/>
      <c r="EI403" s="1"/>
      <c r="EJ403" s="1"/>
      <c r="EK403" s="1"/>
      <c r="EL403" s="1"/>
    </row>
    <row r="404" spans="1:142" x14ac:dyDescent="0.25">
      <c r="C404" s="96"/>
      <c r="D404" s="91"/>
      <c r="L404" s="91"/>
      <c r="M404" s="91"/>
    </row>
    <row r="405" spans="1:142" x14ac:dyDescent="0.25">
      <c r="C405" s="96"/>
      <c r="AC405" s="57" t="s">
        <v>1635</v>
      </c>
    </row>
    <row r="406" spans="1:142" s="25" customFormat="1" x14ac:dyDescent="0.25">
      <c r="A406" s="1"/>
      <c r="B406" s="13"/>
      <c r="C406" s="96"/>
      <c r="D406" s="1"/>
      <c r="E406" s="1"/>
      <c r="F406" s="1"/>
      <c r="G406" s="1"/>
      <c r="H406" s="1"/>
      <c r="I406" s="1"/>
      <c r="J406" s="1"/>
      <c r="K406" s="1"/>
      <c r="L406" s="1"/>
      <c r="M406" s="1"/>
      <c r="N406" s="1"/>
      <c r="O406" s="1"/>
      <c r="P406" s="1"/>
      <c r="Q406" s="96"/>
      <c r="R406" s="96"/>
      <c r="S406" s="1"/>
      <c r="T406" s="1"/>
      <c r="U406" s="1"/>
      <c r="V406" s="1"/>
      <c r="W406" s="96"/>
      <c r="X406" s="96"/>
      <c r="Y406" s="96"/>
      <c r="Z406" s="1"/>
      <c r="AA406" s="94"/>
      <c r="AB406" s="1"/>
      <c r="AC406" s="57"/>
      <c r="AD406" s="1"/>
      <c r="AE406" s="57"/>
      <c r="AF406" s="1"/>
      <c r="AG406" s="1"/>
      <c r="AH406" s="1"/>
      <c r="AI406" s="1"/>
      <c r="AJ406" s="1"/>
      <c r="AK406" s="1"/>
      <c r="AL406" s="1"/>
      <c r="AM406" s="1"/>
      <c r="AN406" s="1"/>
      <c r="AO406" s="1"/>
      <c r="AP406" s="1"/>
      <c r="AQ406" s="1"/>
      <c r="AR406" s="1"/>
      <c r="AS406" s="1"/>
      <c r="AT406" s="1"/>
      <c r="AU406" s="1"/>
      <c r="AV406" s="1"/>
      <c r="AW406" s="1"/>
      <c r="AX406" s="1"/>
      <c r="AY406" s="1"/>
      <c r="AZ406" s="1"/>
      <c r="BA406" s="1"/>
      <c r="BB406" s="1"/>
      <c r="BC406" s="1"/>
      <c r="BD406" s="1"/>
      <c r="BE406" s="1"/>
      <c r="BF406" s="1"/>
      <c r="BG406" s="1"/>
      <c r="BH406" s="1"/>
      <c r="BI406" s="1"/>
      <c r="BJ406" s="1"/>
      <c r="BK406" s="1"/>
      <c r="BL406" s="1"/>
      <c r="BM406" s="1"/>
      <c r="BN406" s="1"/>
      <c r="BO406" s="1"/>
      <c r="BP406" s="1"/>
      <c r="BQ406" s="1"/>
      <c r="BR406" s="1"/>
      <c r="BS406" s="1"/>
      <c r="BT406" s="1"/>
      <c r="BU406" s="1"/>
      <c r="BV406" s="1"/>
      <c r="BW406" s="1"/>
      <c r="BX406" s="1"/>
      <c r="BY406" s="1"/>
      <c r="BZ406" s="1"/>
      <c r="CA406" s="1"/>
      <c r="CB406" s="1"/>
      <c r="CC406" s="1"/>
      <c r="CD406" s="1"/>
      <c r="CE406" s="1"/>
      <c r="CF406" s="1"/>
      <c r="CG406" s="1"/>
      <c r="CH406" s="1"/>
      <c r="CI406" s="1"/>
      <c r="CJ406" s="1"/>
      <c r="CK406" s="1"/>
      <c r="CL406" s="1"/>
      <c r="CM406" s="1"/>
      <c r="CN406" s="1"/>
      <c r="CO406" s="1"/>
      <c r="CP406" s="1"/>
      <c r="CQ406" s="1"/>
      <c r="CR406" s="1"/>
      <c r="CS406" s="1"/>
      <c r="CT406" s="1"/>
      <c r="CU406" s="1"/>
      <c r="CV406" s="1"/>
      <c r="CW406" s="1"/>
      <c r="CX406" s="1"/>
      <c r="CY406" s="1"/>
      <c r="CZ406" s="1"/>
      <c r="DA406" s="1"/>
      <c r="DB406" s="1"/>
      <c r="DC406" s="1"/>
      <c r="DD406" s="1"/>
      <c r="DE406" s="1"/>
      <c r="DF406" s="1"/>
      <c r="DG406" s="1"/>
      <c r="DH406" s="1"/>
      <c r="DI406" s="1"/>
      <c r="DJ406" s="1"/>
      <c r="DK406" s="1"/>
      <c r="DL406" s="1"/>
      <c r="DM406" s="1"/>
      <c r="DN406" s="1"/>
      <c r="DO406" s="1"/>
      <c r="DP406" s="1"/>
      <c r="DQ406" s="1"/>
      <c r="DR406" s="1"/>
      <c r="DS406" s="1"/>
      <c r="DT406" s="1"/>
      <c r="DU406" s="1"/>
      <c r="DV406" s="1"/>
      <c r="DW406" s="1"/>
      <c r="DX406" s="1"/>
      <c r="DY406" s="1"/>
      <c r="DZ406" s="1"/>
      <c r="EA406" s="1"/>
      <c r="EB406" s="1"/>
      <c r="EC406" s="1"/>
      <c r="ED406" s="1"/>
      <c r="EE406" s="1"/>
      <c r="EF406" s="1"/>
      <c r="EG406" s="1"/>
      <c r="EH406" s="1"/>
      <c r="EI406" s="1"/>
      <c r="EJ406" s="1"/>
      <c r="EK406" s="1"/>
      <c r="EL406" s="1"/>
    </row>
    <row r="407" spans="1:142" x14ac:dyDescent="0.25">
      <c r="C407" s="96"/>
    </row>
    <row r="408" spans="1:142" s="40" customFormat="1" x14ac:dyDescent="0.25">
      <c r="A408" s="1"/>
      <c r="B408" s="13"/>
      <c r="C408" s="96"/>
      <c r="D408" s="1"/>
      <c r="E408" s="1"/>
      <c r="F408" s="1"/>
      <c r="G408" s="1"/>
      <c r="H408" s="1"/>
      <c r="I408" s="1"/>
      <c r="J408" s="1"/>
      <c r="K408" s="1"/>
      <c r="L408" s="1"/>
      <c r="M408" s="1"/>
      <c r="N408" s="1"/>
      <c r="O408" s="1"/>
      <c r="P408" s="1"/>
      <c r="Q408" s="96"/>
      <c r="R408" s="96"/>
      <c r="S408" s="1"/>
      <c r="T408" s="1"/>
      <c r="U408" s="1"/>
      <c r="V408" s="1"/>
      <c r="W408" s="96"/>
      <c r="X408" s="96"/>
      <c r="Y408" s="96"/>
      <c r="Z408" s="1"/>
      <c r="AA408" s="94"/>
      <c r="AB408" s="1"/>
      <c r="AC408" s="57"/>
      <c r="AD408" s="1"/>
      <c r="AE408" s="57"/>
      <c r="AF408" s="1"/>
      <c r="AG408" s="1"/>
      <c r="AH408" s="1"/>
      <c r="AI408" s="1"/>
      <c r="AJ408" s="1"/>
      <c r="AK408" s="1"/>
      <c r="AL408" s="1"/>
      <c r="AM408" s="1"/>
      <c r="AN408" s="1"/>
      <c r="AO408" s="1"/>
      <c r="AP408" s="1"/>
      <c r="AQ408" s="1"/>
      <c r="AR408" s="1"/>
      <c r="AS408" s="1"/>
      <c r="AT408" s="1"/>
      <c r="AU408" s="1"/>
      <c r="AV408" s="1"/>
      <c r="AW408" s="1"/>
      <c r="AX408" s="1"/>
      <c r="AY408" s="1"/>
      <c r="AZ408" s="1"/>
      <c r="BA408" s="1"/>
      <c r="BB408" s="1"/>
      <c r="BC408" s="1"/>
      <c r="BD408" s="1"/>
      <c r="BE408" s="1"/>
      <c r="BF408" s="1"/>
      <c r="BG408" s="1"/>
      <c r="BH408" s="1"/>
      <c r="BI408" s="1"/>
      <c r="BJ408" s="1"/>
      <c r="BK408" s="1"/>
      <c r="BL408" s="1"/>
      <c r="BM408" s="1"/>
      <c r="BN408" s="1"/>
      <c r="BO408" s="1"/>
      <c r="BP408" s="1"/>
      <c r="BQ408" s="1"/>
      <c r="BR408" s="1"/>
      <c r="BS408" s="1"/>
      <c r="BT408" s="1"/>
      <c r="BU408" s="1"/>
      <c r="BV408" s="1"/>
      <c r="BW408" s="1"/>
      <c r="BX408" s="1"/>
      <c r="BY408" s="1"/>
      <c r="BZ408" s="1"/>
      <c r="CA408" s="1"/>
      <c r="CB408" s="1"/>
      <c r="CC408" s="1"/>
      <c r="CD408" s="1"/>
      <c r="CE408" s="1"/>
      <c r="CF408" s="1"/>
      <c r="CG408" s="1"/>
      <c r="CH408" s="1"/>
      <c r="CI408" s="1"/>
      <c r="CJ408" s="1"/>
      <c r="CK408" s="1"/>
      <c r="CL408" s="1"/>
      <c r="CM408" s="1"/>
      <c r="CN408" s="1"/>
      <c r="CO408" s="1"/>
      <c r="CP408" s="1"/>
      <c r="CQ408" s="1"/>
      <c r="CR408" s="1"/>
      <c r="CS408" s="1"/>
      <c r="CT408" s="1"/>
      <c r="CU408" s="1"/>
      <c r="CV408" s="1"/>
      <c r="CW408" s="1"/>
      <c r="CX408" s="1"/>
      <c r="CY408" s="1"/>
      <c r="CZ408" s="1"/>
      <c r="DA408" s="1"/>
      <c r="DB408" s="1"/>
      <c r="DC408" s="1"/>
      <c r="DD408" s="1"/>
      <c r="DE408" s="1"/>
      <c r="DF408" s="1"/>
      <c r="DG408" s="1"/>
      <c r="DH408" s="1"/>
      <c r="DI408" s="1"/>
      <c r="DJ408" s="1"/>
      <c r="DK408" s="1"/>
      <c r="DL408" s="1"/>
      <c r="DM408" s="1"/>
      <c r="DN408" s="1"/>
      <c r="DO408" s="1"/>
      <c r="DP408" s="1"/>
      <c r="DQ408" s="1"/>
      <c r="DR408" s="1"/>
      <c r="DS408" s="1"/>
      <c r="DT408" s="1"/>
      <c r="DU408" s="1"/>
      <c r="DV408" s="1"/>
      <c r="DW408" s="1"/>
      <c r="DX408" s="1"/>
      <c r="DY408" s="1"/>
      <c r="DZ408" s="1"/>
      <c r="EA408" s="1"/>
      <c r="EB408" s="1"/>
      <c r="EC408" s="1"/>
      <c r="ED408" s="1"/>
      <c r="EE408" s="1"/>
      <c r="EF408" s="1"/>
      <c r="EG408" s="1"/>
      <c r="EH408" s="1"/>
      <c r="EI408" s="1"/>
      <c r="EJ408" s="1"/>
      <c r="EK408" s="1"/>
      <c r="EL408" s="1"/>
    </row>
    <row r="409" spans="1:142" s="25" customFormat="1" x14ac:dyDescent="0.25">
      <c r="A409" s="1"/>
      <c r="B409" s="13"/>
      <c r="C409" s="96"/>
      <c r="D409" s="1"/>
      <c r="E409" s="1"/>
      <c r="F409" s="1"/>
      <c r="G409" s="1"/>
      <c r="H409" s="1"/>
      <c r="I409" s="1"/>
      <c r="J409" s="1"/>
      <c r="K409" s="1"/>
      <c r="L409" s="1"/>
      <c r="M409" s="1"/>
      <c r="N409" s="1"/>
      <c r="O409" s="1"/>
      <c r="P409" s="1"/>
      <c r="Q409" s="96"/>
      <c r="R409" s="96"/>
      <c r="S409" s="1"/>
      <c r="T409" s="1"/>
      <c r="U409" s="1"/>
      <c r="V409" s="1"/>
      <c r="W409" s="96"/>
      <c r="X409" s="96"/>
      <c r="Y409" s="96"/>
      <c r="Z409" s="1"/>
      <c r="AA409" s="94"/>
      <c r="AB409" s="1"/>
      <c r="AC409" s="57"/>
      <c r="AD409" s="1"/>
      <c r="AE409" s="57"/>
      <c r="AF409" s="1"/>
      <c r="AG409" s="1"/>
      <c r="AH409" s="1"/>
      <c r="AI409" s="1"/>
      <c r="AJ409" s="1"/>
      <c r="AK409" s="1"/>
      <c r="AL409" s="1"/>
      <c r="AM409" s="1"/>
      <c r="AN409" s="1"/>
      <c r="AO409" s="1"/>
      <c r="AP409" s="1"/>
      <c r="AQ409" s="1"/>
      <c r="AR409" s="1"/>
      <c r="AS409" s="1"/>
      <c r="AT409" s="1"/>
      <c r="AU409" s="1"/>
      <c r="AV409" s="1"/>
      <c r="AW409" s="1"/>
      <c r="AX409" s="1"/>
      <c r="AY409" s="1"/>
      <c r="AZ409" s="1"/>
      <c r="BA409" s="1"/>
      <c r="BB409" s="1"/>
      <c r="BC409" s="1"/>
      <c r="BD409" s="1"/>
      <c r="BE409" s="1"/>
      <c r="BF409" s="1"/>
      <c r="BG409" s="1"/>
      <c r="BH409" s="1"/>
      <c r="BI409" s="1"/>
      <c r="BJ409" s="1"/>
      <c r="BK409" s="1"/>
      <c r="BL409" s="1"/>
      <c r="BM409" s="1"/>
      <c r="BN409" s="1"/>
      <c r="BO409" s="1"/>
      <c r="BP409" s="1"/>
      <c r="BQ409" s="1"/>
      <c r="BR409" s="1"/>
      <c r="BS409" s="1"/>
      <c r="BT409" s="1"/>
      <c r="BU409" s="1"/>
      <c r="BV409" s="1"/>
      <c r="BW409" s="1"/>
      <c r="BX409" s="1"/>
      <c r="BY409" s="1"/>
      <c r="BZ409" s="1"/>
      <c r="CA409" s="1"/>
      <c r="CB409" s="1"/>
      <c r="CC409" s="1"/>
      <c r="CD409" s="1"/>
      <c r="CE409" s="1"/>
      <c r="CF409" s="1"/>
      <c r="CG409" s="1"/>
      <c r="CH409" s="1"/>
      <c r="CI409" s="1"/>
      <c r="CJ409" s="1"/>
      <c r="CK409" s="1"/>
      <c r="CL409" s="1"/>
      <c r="CM409" s="1"/>
      <c r="CN409" s="1"/>
      <c r="CO409" s="1"/>
      <c r="CP409" s="1"/>
      <c r="CQ409" s="1"/>
      <c r="CR409" s="1"/>
      <c r="CS409" s="1"/>
      <c r="CT409" s="1"/>
      <c r="CU409" s="1"/>
      <c r="CV409" s="1"/>
      <c r="CW409" s="1"/>
      <c r="CX409" s="1"/>
      <c r="CY409" s="1"/>
      <c r="CZ409" s="1"/>
      <c r="DA409" s="1"/>
      <c r="DB409" s="1"/>
      <c r="DC409" s="1"/>
      <c r="DD409" s="1"/>
      <c r="DE409" s="1"/>
      <c r="DF409" s="1"/>
      <c r="DG409" s="1"/>
      <c r="DH409" s="1"/>
      <c r="DI409" s="1"/>
      <c r="DJ409" s="1"/>
      <c r="DK409" s="1"/>
      <c r="DL409" s="1"/>
      <c r="DM409" s="1"/>
      <c r="DN409" s="1"/>
      <c r="DO409" s="1"/>
      <c r="DP409" s="1"/>
      <c r="DQ409" s="1"/>
      <c r="DR409" s="1"/>
      <c r="DS409" s="1"/>
      <c r="DT409" s="1"/>
      <c r="DU409" s="1"/>
      <c r="DV409" s="1"/>
      <c r="DW409" s="1"/>
      <c r="DX409" s="1"/>
      <c r="DY409" s="1"/>
      <c r="DZ409" s="1"/>
      <c r="EA409" s="1"/>
      <c r="EB409" s="1"/>
      <c r="EC409" s="1"/>
      <c r="ED409" s="1"/>
      <c r="EE409" s="1"/>
      <c r="EF409" s="1"/>
      <c r="EG409" s="1"/>
      <c r="EH409" s="1"/>
      <c r="EI409" s="1"/>
      <c r="EJ409" s="1"/>
      <c r="EK409" s="1"/>
      <c r="EL409" s="1"/>
    </row>
    <row r="410" spans="1:142" s="45" customFormat="1" x14ac:dyDescent="0.25">
      <c r="A410" s="1"/>
      <c r="B410" s="13"/>
      <c r="C410" s="96"/>
      <c r="D410" s="1"/>
      <c r="E410" s="1"/>
      <c r="F410" s="1"/>
      <c r="G410" s="1"/>
      <c r="H410" s="1"/>
      <c r="I410" s="1"/>
      <c r="J410" s="1"/>
      <c r="K410" s="1"/>
      <c r="L410" s="1"/>
      <c r="M410" s="1"/>
      <c r="N410" s="1"/>
      <c r="O410" s="1"/>
      <c r="P410" s="1"/>
      <c r="Q410" s="96"/>
      <c r="R410" s="96"/>
      <c r="S410" s="1"/>
      <c r="T410" s="1"/>
      <c r="U410" s="1"/>
      <c r="V410" s="1"/>
      <c r="W410" s="96"/>
      <c r="X410" s="96"/>
      <c r="Y410" s="96"/>
      <c r="Z410" s="1"/>
      <c r="AA410" s="94"/>
      <c r="AB410" s="1"/>
      <c r="AC410" s="57" t="s">
        <v>1636</v>
      </c>
      <c r="AD410" s="1"/>
      <c r="AE410" s="57"/>
      <c r="AF410" s="1"/>
      <c r="AG410" s="1"/>
      <c r="AH410" s="1"/>
      <c r="AI410" s="1"/>
      <c r="AJ410" s="1"/>
      <c r="AK410" s="1"/>
      <c r="AL410" s="1"/>
      <c r="AM410" s="1"/>
      <c r="AN410" s="1"/>
      <c r="AO410" s="1"/>
      <c r="AP410" s="1"/>
      <c r="AQ410" s="1"/>
      <c r="AR410" s="1"/>
      <c r="AS410" s="1"/>
      <c r="AT410" s="1"/>
      <c r="AU410" s="1"/>
      <c r="AV410" s="1"/>
      <c r="AW410" s="1"/>
      <c r="AX410" s="1"/>
      <c r="AY410" s="1"/>
      <c r="AZ410" s="1"/>
      <c r="BA410" s="1"/>
      <c r="BB410" s="1"/>
      <c r="BC410" s="1"/>
      <c r="BD410" s="1"/>
      <c r="BE410" s="1"/>
      <c r="BF410" s="1"/>
      <c r="BG410" s="1"/>
      <c r="BH410" s="1"/>
      <c r="BI410" s="1"/>
      <c r="BJ410" s="1"/>
      <c r="BK410" s="1"/>
      <c r="BL410" s="1"/>
      <c r="BM410" s="1"/>
      <c r="BN410" s="1"/>
      <c r="BO410" s="1"/>
      <c r="BP410" s="1"/>
      <c r="BQ410" s="1"/>
      <c r="BR410" s="1"/>
      <c r="BS410" s="1"/>
      <c r="BT410" s="1"/>
      <c r="BU410" s="1"/>
      <c r="BV410" s="1"/>
      <c r="BW410" s="1"/>
      <c r="BX410" s="1"/>
      <c r="BY410" s="1"/>
      <c r="BZ410" s="1"/>
      <c r="CA410" s="1"/>
      <c r="CB410" s="1"/>
      <c r="CC410" s="1"/>
      <c r="CD410" s="1"/>
      <c r="CE410" s="1"/>
      <c r="CF410" s="1"/>
      <c r="CG410" s="1"/>
      <c r="CH410" s="1"/>
      <c r="CI410" s="1"/>
      <c r="CJ410" s="1"/>
      <c r="CK410" s="1"/>
      <c r="CL410" s="1"/>
      <c r="CM410" s="1"/>
      <c r="CN410" s="1"/>
      <c r="CO410" s="1"/>
      <c r="CP410" s="1"/>
      <c r="CQ410" s="1"/>
      <c r="CR410" s="1"/>
      <c r="CS410" s="1"/>
      <c r="CT410" s="1"/>
      <c r="CU410" s="1"/>
      <c r="CV410" s="1"/>
      <c r="CW410" s="1"/>
      <c r="CX410" s="1"/>
      <c r="CY410" s="1"/>
      <c r="CZ410" s="1"/>
      <c r="DA410" s="1"/>
      <c r="DB410" s="1"/>
      <c r="DC410" s="1"/>
      <c r="DD410" s="1"/>
      <c r="DE410" s="1"/>
      <c r="DF410" s="1"/>
      <c r="DG410" s="1"/>
      <c r="DH410" s="1"/>
      <c r="DI410" s="1"/>
      <c r="DJ410" s="1"/>
      <c r="DK410" s="1"/>
      <c r="DL410" s="1"/>
      <c r="DM410" s="1"/>
      <c r="DN410" s="1"/>
      <c r="DO410" s="1"/>
      <c r="DP410" s="1"/>
      <c r="DQ410" s="1"/>
      <c r="DR410" s="1"/>
      <c r="DS410" s="1"/>
      <c r="DT410" s="1"/>
      <c r="DU410" s="1"/>
      <c r="DV410" s="1"/>
      <c r="DW410" s="1"/>
      <c r="DX410" s="1"/>
      <c r="DY410" s="1"/>
      <c r="DZ410" s="1"/>
      <c r="EA410" s="1"/>
      <c r="EB410" s="1"/>
      <c r="EC410" s="1"/>
      <c r="ED410" s="1"/>
      <c r="EE410" s="1"/>
      <c r="EF410" s="1"/>
      <c r="EG410" s="1"/>
      <c r="EH410" s="1"/>
      <c r="EI410" s="1"/>
      <c r="EJ410" s="1"/>
      <c r="EK410" s="1"/>
      <c r="EL410" s="1"/>
    </row>
    <row r="411" spans="1:142" x14ac:dyDescent="0.25">
      <c r="C411" s="96"/>
    </row>
    <row r="412" spans="1:142" x14ac:dyDescent="0.25">
      <c r="C412" s="96"/>
    </row>
    <row r="413" spans="1:142" s="40" customFormat="1" x14ac:dyDescent="0.25">
      <c r="A413" s="1"/>
      <c r="B413" s="13"/>
      <c r="C413" s="96"/>
      <c r="D413" s="1"/>
      <c r="E413" s="1"/>
      <c r="F413" s="1"/>
      <c r="G413" s="1"/>
      <c r="H413" s="1"/>
      <c r="I413" s="1"/>
      <c r="J413" s="1"/>
      <c r="K413" s="1"/>
      <c r="L413" s="1"/>
      <c r="M413" s="1"/>
      <c r="N413" s="1"/>
      <c r="O413" s="1"/>
      <c r="P413" s="1"/>
      <c r="Q413" s="96"/>
      <c r="R413" s="96"/>
      <c r="S413" s="1"/>
      <c r="T413" s="1"/>
      <c r="U413" s="1"/>
      <c r="V413" s="1"/>
      <c r="W413" s="96"/>
      <c r="X413" s="96"/>
      <c r="Y413" s="96"/>
      <c r="Z413" s="1"/>
      <c r="AA413" s="94"/>
      <c r="AB413" s="1"/>
      <c r="AC413" s="57"/>
      <c r="AD413" s="1"/>
      <c r="AE413" s="57"/>
      <c r="AF413" s="1"/>
      <c r="AG413" s="1"/>
      <c r="AH413" s="1"/>
      <c r="AI413" s="1"/>
      <c r="AJ413" s="1"/>
      <c r="AK413" s="1"/>
      <c r="AL413" s="1"/>
      <c r="AM413" s="1"/>
      <c r="AN413" s="1"/>
      <c r="AO413" s="1"/>
      <c r="AP413" s="1"/>
      <c r="AQ413" s="1"/>
      <c r="AR413" s="1"/>
      <c r="AS413" s="1"/>
      <c r="AT413" s="1"/>
      <c r="AU413" s="1"/>
      <c r="AV413" s="1"/>
      <c r="AW413" s="1"/>
      <c r="AX413" s="1"/>
      <c r="AY413" s="1"/>
      <c r="AZ413" s="1"/>
      <c r="BA413" s="1"/>
      <c r="BB413" s="1"/>
      <c r="BC413" s="1"/>
      <c r="BD413" s="1"/>
      <c r="BE413" s="1"/>
      <c r="BF413" s="1"/>
      <c r="BG413" s="1"/>
      <c r="BH413" s="1"/>
      <c r="BI413" s="1"/>
      <c r="BJ413" s="1"/>
      <c r="BK413" s="1"/>
      <c r="BL413" s="1"/>
      <c r="BM413" s="1"/>
      <c r="BN413" s="1"/>
      <c r="BO413" s="1"/>
      <c r="BP413" s="1"/>
      <c r="BQ413" s="1"/>
      <c r="BR413" s="1"/>
      <c r="BS413" s="1"/>
      <c r="BT413" s="1"/>
      <c r="BU413" s="1"/>
      <c r="BV413" s="1"/>
      <c r="BW413" s="1"/>
      <c r="BX413" s="1"/>
      <c r="BY413" s="1"/>
      <c r="BZ413" s="1"/>
      <c r="CA413" s="1"/>
      <c r="CB413" s="1"/>
      <c r="CC413" s="1"/>
      <c r="CD413" s="1"/>
      <c r="CE413" s="1"/>
      <c r="CF413" s="1"/>
      <c r="CG413" s="1"/>
      <c r="CH413" s="1"/>
      <c r="CI413" s="1"/>
      <c r="CJ413" s="1"/>
      <c r="CK413" s="1"/>
      <c r="CL413" s="1"/>
      <c r="CM413" s="1"/>
      <c r="CN413" s="1"/>
      <c r="CO413" s="1"/>
      <c r="CP413" s="1"/>
      <c r="CQ413" s="1"/>
      <c r="CR413" s="1"/>
      <c r="CS413" s="1"/>
      <c r="CT413" s="1"/>
      <c r="CU413" s="1"/>
      <c r="CV413" s="1"/>
      <c r="CW413" s="1"/>
      <c r="CX413" s="1"/>
      <c r="CY413" s="1"/>
      <c r="CZ413" s="1"/>
      <c r="DA413" s="1"/>
      <c r="DB413" s="1"/>
      <c r="DC413" s="1"/>
      <c r="DD413" s="1"/>
      <c r="DE413" s="1"/>
      <c r="DF413" s="1"/>
      <c r="DG413" s="1"/>
      <c r="DH413" s="1"/>
      <c r="DI413" s="1"/>
      <c r="DJ413" s="1"/>
      <c r="DK413" s="1"/>
      <c r="DL413" s="1"/>
      <c r="DM413" s="1"/>
      <c r="DN413" s="1"/>
      <c r="DO413" s="1"/>
      <c r="DP413" s="1"/>
      <c r="DQ413" s="1"/>
      <c r="DR413" s="1"/>
      <c r="DS413" s="1"/>
      <c r="DT413" s="1"/>
      <c r="DU413" s="1"/>
      <c r="DV413" s="1"/>
      <c r="DW413" s="1"/>
      <c r="DX413" s="1"/>
      <c r="DY413" s="1"/>
      <c r="DZ413" s="1"/>
      <c r="EA413" s="1"/>
      <c r="EB413" s="1"/>
      <c r="EC413" s="1"/>
      <c r="ED413" s="1"/>
      <c r="EE413" s="1"/>
      <c r="EF413" s="1"/>
      <c r="EG413" s="1"/>
      <c r="EH413" s="1"/>
      <c r="EI413" s="1"/>
      <c r="EJ413" s="1"/>
      <c r="EK413" s="1"/>
      <c r="EL413" s="1"/>
    </row>
    <row r="414" spans="1:142" s="40" customFormat="1" x14ac:dyDescent="0.25">
      <c r="A414" s="1"/>
      <c r="B414" s="13"/>
      <c r="C414" s="96"/>
      <c r="D414" s="1"/>
      <c r="E414" s="1"/>
      <c r="F414" s="1"/>
      <c r="G414" s="1"/>
      <c r="H414" s="1"/>
      <c r="I414" s="1"/>
      <c r="J414" s="1"/>
      <c r="K414" s="1"/>
      <c r="L414" s="1"/>
      <c r="M414" s="1"/>
      <c r="N414" s="1"/>
      <c r="O414" s="1"/>
      <c r="P414" s="1"/>
      <c r="Q414" s="96"/>
      <c r="R414" s="96"/>
      <c r="S414" s="1"/>
      <c r="T414" s="1"/>
      <c r="U414" s="1"/>
      <c r="V414" s="1"/>
      <c r="W414" s="96"/>
      <c r="X414" s="96"/>
      <c r="Y414" s="96"/>
      <c r="Z414" s="1"/>
      <c r="AA414" s="94"/>
      <c r="AB414" s="1"/>
      <c r="AC414" s="57"/>
      <c r="AD414" s="1"/>
      <c r="AE414" s="57"/>
      <c r="AF414" s="1"/>
      <c r="AG414" s="1"/>
      <c r="AH414" s="1"/>
      <c r="AI414" s="1"/>
      <c r="AJ414" s="1"/>
      <c r="AK414" s="1"/>
      <c r="AL414" s="1"/>
      <c r="AM414" s="1"/>
      <c r="AN414" s="1"/>
      <c r="AO414" s="1"/>
      <c r="AP414" s="1"/>
      <c r="AQ414" s="1"/>
      <c r="AR414" s="1"/>
      <c r="AS414" s="1"/>
      <c r="AT414" s="1"/>
      <c r="AU414" s="1"/>
      <c r="AV414" s="1"/>
      <c r="AW414" s="1"/>
      <c r="AX414" s="1"/>
      <c r="AY414" s="1"/>
      <c r="AZ414" s="1"/>
      <c r="BA414" s="1"/>
      <c r="BB414" s="1"/>
      <c r="BC414" s="1"/>
      <c r="BD414" s="1"/>
      <c r="BE414" s="1"/>
      <c r="BF414" s="1"/>
      <c r="BG414" s="1"/>
      <c r="BH414" s="1"/>
      <c r="BI414" s="1"/>
      <c r="BJ414" s="1"/>
      <c r="BK414" s="1"/>
      <c r="BL414" s="1"/>
      <c r="BM414" s="1"/>
      <c r="BN414" s="1"/>
      <c r="BO414" s="1"/>
      <c r="BP414" s="1"/>
      <c r="BQ414" s="1"/>
      <c r="BR414" s="1"/>
      <c r="BS414" s="1"/>
      <c r="BT414" s="1"/>
      <c r="BU414" s="1"/>
      <c r="BV414" s="1"/>
      <c r="BW414" s="1"/>
      <c r="BX414" s="1"/>
      <c r="BY414" s="1"/>
      <c r="BZ414" s="1"/>
      <c r="CA414" s="1"/>
      <c r="CB414" s="1"/>
      <c r="CC414" s="1"/>
      <c r="CD414" s="1"/>
      <c r="CE414" s="1"/>
      <c r="CF414" s="1"/>
      <c r="CG414" s="1"/>
      <c r="CH414" s="1"/>
      <c r="CI414" s="1"/>
      <c r="CJ414" s="1"/>
      <c r="CK414" s="1"/>
      <c r="CL414" s="1"/>
      <c r="CM414" s="1"/>
      <c r="CN414" s="1"/>
      <c r="CO414" s="1"/>
      <c r="CP414" s="1"/>
      <c r="CQ414" s="1"/>
      <c r="CR414" s="1"/>
      <c r="CS414" s="1"/>
      <c r="CT414" s="1"/>
      <c r="CU414" s="1"/>
      <c r="CV414" s="1"/>
      <c r="CW414" s="1"/>
      <c r="CX414" s="1"/>
      <c r="CY414" s="1"/>
      <c r="CZ414" s="1"/>
      <c r="DA414" s="1"/>
      <c r="DB414" s="1"/>
      <c r="DC414" s="1"/>
      <c r="DD414" s="1"/>
      <c r="DE414" s="1"/>
      <c r="DF414" s="1"/>
      <c r="DG414" s="1"/>
      <c r="DH414" s="1"/>
      <c r="DI414" s="1"/>
      <c r="DJ414" s="1"/>
      <c r="DK414" s="1"/>
      <c r="DL414" s="1"/>
      <c r="DM414" s="1"/>
      <c r="DN414" s="1"/>
      <c r="DO414" s="1"/>
      <c r="DP414" s="1"/>
      <c r="DQ414" s="1"/>
      <c r="DR414" s="1"/>
      <c r="DS414" s="1"/>
      <c r="DT414" s="1"/>
      <c r="DU414" s="1"/>
      <c r="DV414" s="1"/>
      <c r="DW414" s="1"/>
      <c r="DX414" s="1"/>
      <c r="DY414" s="1"/>
      <c r="DZ414" s="1"/>
      <c r="EA414" s="1"/>
      <c r="EB414" s="1"/>
      <c r="EC414" s="1"/>
      <c r="ED414" s="1"/>
      <c r="EE414" s="1"/>
      <c r="EF414" s="1"/>
      <c r="EG414" s="1"/>
      <c r="EH414" s="1"/>
      <c r="EI414" s="1"/>
      <c r="EJ414" s="1"/>
      <c r="EK414" s="1"/>
      <c r="EL414" s="1"/>
    </row>
    <row r="415" spans="1:142" x14ac:dyDescent="0.25">
      <c r="C415" s="96"/>
    </row>
    <row r="416" spans="1:142" x14ac:dyDescent="0.25">
      <c r="C416" s="96"/>
    </row>
    <row r="417" spans="1:142" x14ac:dyDescent="0.25">
      <c r="C417" s="96"/>
    </row>
    <row r="418" spans="1:142" x14ac:dyDescent="0.25">
      <c r="C418" s="96"/>
    </row>
    <row r="419" spans="1:142" x14ac:dyDescent="0.25">
      <c r="C419" s="96"/>
    </row>
    <row r="420" spans="1:142" s="40" customFormat="1" x14ac:dyDescent="0.25">
      <c r="A420" s="1"/>
      <c r="B420" s="13"/>
      <c r="C420" s="96"/>
      <c r="D420" s="1"/>
      <c r="E420" s="1"/>
      <c r="F420" s="1"/>
      <c r="G420" s="1"/>
      <c r="H420" s="1"/>
      <c r="I420" s="1"/>
      <c r="J420" s="1"/>
      <c r="K420" s="1"/>
      <c r="L420" s="1"/>
      <c r="M420" s="1"/>
      <c r="N420" s="1"/>
      <c r="O420" s="1"/>
      <c r="P420" s="1"/>
      <c r="Q420" s="96"/>
      <c r="R420" s="96"/>
      <c r="S420" s="1"/>
      <c r="T420" s="1"/>
      <c r="U420" s="1"/>
      <c r="V420" s="1"/>
      <c r="W420" s="96"/>
      <c r="X420" s="96"/>
      <c r="Y420" s="96"/>
      <c r="Z420" s="1"/>
      <c r="AA420" s="94"/>
      <c r="AB420" s="1"/>
      <c r="AC420" s="57"/>
      <c r="AD420" s="1"/>
      <c r="AE420" s="57"/>
      <c r="AF420" s="1"/>
      <c r="AG420" s="1"/>
      <c r="AH420" s="1"/>
      <c r="AI420" s="1"/>
      <c r="AJ420" s="1"/>
      <c r="AK420" s="1"/>
      <c r="AL420" s="1"/>
      <c r="AM420" s="1"/>
      <c r="AN420" s="1"/>
      <c r="AO420" s="1"/>
      <c r="AP420" s="1"/>
      <c r="AQ420" s="1"/>
      <c r="AR420" s="1"/>
      <c r="AS420" s="1"/>
      <c r="AT420" s="1"/>
      <c r="AU420" s="1"/>
      <c r="AV420" s="1"/>
      <c r="AW420" s="1"/>
      <c r="AX420" s="1"/>
      <c r="AY420" s="1"/>
      <c r="AZ420" s="1"/>
      <c r="BA420" s="1"/>
      <c r="BB420" s="1"/>
      <c r="BC420" s="1"/>
      <c r="BD420" s="1"/>
      <c r="BE420" s="1"/>
      <c r="BF420" s="1"/>
      <c r="BG420" s="1"/>
      <c r="BH420" s="1"/>
      <c r="BI420" s="1"/>
      <c r="BJ420" s="1"/>
      <c r="BK420" s="1"/>
      <c r="BL420" s="1"/>
      <c r="BM420" s="1"/>
      <c r="BN420" s="1"/>
      <c r="BO420" s="1"/>
      <c r="BP420" s="1"/>
      <c r="BQ420" s="1"/>
      <c r="BR420" s="1"/>
      <c r="BS420" s="1"/>
      <c r="BT420" s="1"/>
      <c r="BU420" s="1"/>
      <c r="BV420" s="1"/>
      <c r="BW420" s="1"/>
      <c r="BX420" s="1"/>
      <c r="BY420" s="1"/>
      <c r="BZ420" s="1"/>
      <c r="CA420" s="1"/>
      <c r="CB420" s="1"/>
      <c r="CC420" s="1"/>
      <c r="CD420" s="1"/>
      <c r="CE420" s="1"/>
      <c r="CF420" s="1"/>
      <c r="CG420" s="1"/>
      <c r="CH420" s="1"/>
      <c r="CI420" s="1"/>
      <c r="CJ420" s="1"/>
      <c r="CK420" s="1"/>
      <c r="CL420" s="1"/>
      <c r="CM420" s="1"/>
      <c r="CN420" s="1"/>
      <c r="CO420" s="1"/>
      <c r="CP420" s="1"/>
      <c r="CQ420" s="1"/>
      <c r="CR420" s="1"/>
      <c r="CS420" s="1"/>
      <c r="CT420" s="1"/>
      <c r="CU420" s="1"/>
      <c r="CV420" s="1"/>
      <c r="CW420" s="1"/>
      <c r="CX420" s="1"/>
      <c r="CY420" s="1"/>
      <c r="CZ420" s="1"/>
      <c r="DA420" s="1"/>
      <c r="DB420" s="1"/>
      <c r="DC420" s="1"/>
      <c r="DD420" s="1"/>
      <c r="DE420" s="1"/>
      <c r="DF420" s="1"/>
      <c r="DG420" s="1"/>
      <c r="DH420" s="1"/>
      <c r="DI420" s="1"/>
      <c r="DJ420" s="1"/>
      <c r="DK420" s="1"/>
      <c r="DL420" s="1"/>
      <c r="DM420" s="1"/>
      <c r="DN420" s="1"/>
      <c r="DO420" s="1"/>
      <c r="DP420" s="1"/>
      <c r="DQ420" s="1"/>
      <c r="DR420" s="1"/>
      <c r="DS420" s="1"/>
      <c r="DT420" s="1"/>
      <c r="DU420" s="1"/>
      <c r="DV420" s="1"/>
      <c r="DW420" s="1"/>
      <c r="DX420" s="1"/>
      <c r="DY420" s="1"/>
      <c r="DZ420" s="1"/>
      <c r="EA420" s="1"/>
      <c r="EB420" s="1"/>
      <c r="EC420" s="1"/>
      <c r="ED420" s="1"/>
      <c r="EE420" s="1"/>
      <c r="EF420" s="1"/>
      <c r="EG420" s="1"/>
      <c r="EH420" s="1"/>
      <c r="EI420" s="1"/>
      <c r="EJ420" s="1"/>
      <c r="EK420" s="1"/>
      <c r="EL420" s="1"/>
    </row>
    <row r="421" spans="1:142" x14ac:dyDescent="0.25">
      <c r="C421" s="96"/>
    </row>
    <row r="422" spans="1:142" x14ac:dyDescent="0.25">
      <c r="C422" s="96"/>
    </row>
    <row r="423" spans="1:142" s="25" customFormat="1" x14ac:dyDescent="0.25">
      <c r="A423" s="1"/>
      <c r="B423" s="13"/>
      <c r="C423" s="96"/>
      <c r="D423" s="1"/>
      <c r="E423" s="1"/>
      <c r="F423" s="1"/>
      <c r="G423" s="1"/>
      <c r="H423" s="1"/>
      <c r="I423" s="1"/>
      <c r="J423" s="1"/>
      <c r="K423" s="1"/>
      <c r="L423" s="1"/>
      <c r="M423" s="1"/>
      <c r="N423" s="1"/>
      <c r="O423" s="1"/>
      <c r="P423" s="1"/>
      <c r="Q423" s="96"/>
      <c r="R423" s="96"/>
      <c r="S423" s="1"/>
      <c r="T423" s="1"/>
      <c r="U423" s="1"/>
      <c r="V423" s="1"/>
      <c r="W423" s="96"/>
      <c r="X423" s="96"/>
      <c r="Y423" s="96"/>
      <c r="Z423" s="1"/>
      <c r="AA423" s="94"/>
      <c r="AB423" s="1"/>
      <c r="AC423" s="57"/>
      <c r="AD423" s="1"/>
      <c r="AE423" s="57"/>
      <c r="AF423" s="1"/>
      <c r="AG423" s="1"/>
      <c r="AH423" s="1"/>
      <c r="AI423" s="1"/>
      <c r="AJ423" s="1"/>
      <c r="AK423" s="1"/>
      <c r="AL423" s="1"/>
      <c r="AM423" s="1"/>
      <c r="AN423" s="1"/>
      <c r="AO423" s="1"/>
      <c r="AP423" s="1"/>
      <c r="AQ423" s="1"/>
      <c r="AR423" s="1"/>
      <c r="AS423" s="1"/>
      <c r="AT423" s="1"/>
      <c r="AU423" s="1"/>
      <c r="AV423" s="1"/>
      <c r="AW423" s="1"/>
      <c r="AX423" s="1"/>
      <c r="AY423" s="1"/>
      <c r="AZ423" s="1"/>
      <c r="BA423" s="1"/>
      <c r="BB423" s="1"/>
      <c r="BC423" s="1"/>
      <c r="BD423" s="1"/>
      <c r="BE423" s="1"/>
      <c r="BF423" s="1"/>
      <c r="BG423" s="1"/>
      <c r="BH423" s="1"/>
      <c r="BI423" s="1"/>
      <c r="BJ423" s="1"/>
      <c r="BK423" s="1"/>
      <c r="BL423" s="1"/>
      <c r="BM423" s="1"/>
      <c r="BN423" s="1"/>
      <c r="BO423" s="1"/>
      <c r="BP423" s="1"/>
      <c r="BQ423" s="1"/>
      <c r="BR423" s="1"/>
      <c r="BS423" s="1"/>
      <c r="BT423" s="1"/>
      <c r="BU423" s="1"/>
      <c r="BV423" s="1"/>
      <c r="BW423" s="1"/>
      <c r="BX423" s="1"/>
      <c r="BY423" s="1"/>
      <c r="BZ423" s="1"/>
      <c r="CA423" s="1"/>
      <c r="CB423" s="1"/>
      <c r="CC423" s="1"/>
      <c r="CD423" s="1"/>
      <c r="CE423" s="1"/>
      <c r="CF423" s="1"/>
      <c r="CG423" s="1"/>
      <c r="CH423" s="1"/>
      <c r="CI423" s="1"/>
      <c r="CJ423" s="1"/>
      <c r="CK423" s="1"/>
      <c r="CL423" s="1"/>
      <c r="CM423" s="1"/>
      <c r="CN423" s="1"/>
      <c r="CO423" s="1"/>
      <c r="CP423" s="1"/>
      <c r="CQ423" s="1"/>
      <c r="CR423" s="1"/>
      <c r="CS423" s="1"/>
      <c r="CT423" s="1"/>
      <c r="CU423" s="1"/>
      <c r="CV423" s="1"/>
      <c r="CW423" s="1"/>
      <c r="CX423" s="1"/>
      <c r="CY423" s="1"/>
      <c r="CZ423" s="1"/>
      <c r="DA423" s="1"/>
      <c r="DB423" s="1"/>
      <c r="DC423" s="1"/>
      <c r="DD423" s="1"/>
      <c r="DE423" s="1"/>
      <c r="DF423" s="1"/>
      <c r="DG423" s="1"/>
      <c r="DH423" s="1"/>
      <c r="DI423" s="1"/>
      <c r="DJ423" s="1"/>
      <c r="DK423" s="1"/>
      <c r="DL423" s="1"/>
      <c r="DM423" s="1"/>
      <c r="DN423" s="1"/>
      <c r="DO423" s="1"/>
      <c r="DP423" s="1"/>
      <c r="DQ423" s="1"/>
      <c r="DR423" s="1"/>
      <c r="DS423" s="1"/>
      <c r="DT423" s="1"/>
      <c r="DU423" s="1"/>
      <c r="DV423" s="1"/>
      <c r="DW423" s="1"/>
      <c r="DX423" s="1"/>
      <c r="DY423" s="1"/>
      <c r="DZ423" s="1"/>
      <c r="EA423" s="1"/>
      <c r="EB423" s="1"/>
      <c r="EC423" s="1"/>
      <c r="ED423" s="1"/>
      <c r="EE423" s="1"/>
      <c r="EF423" s="1"/>
      <c r="EG423" s="1"/>
      <c r="EH423" s="1"/>
      <c r="EI423" s="1"/>
      <c r="EJ423" s="1"/>
      <c r="EK423" s="1"/>
      <c r="EL423" s="1"/>
    </row>
    <row r="424" spans="1:142" s="40" customFormat="1" x14ac:dyDescent="0.25">
      <c r="A424" s="1"/>
      <c r="B424" s="13"/>
      <c r="C424" s="96"/>
      <c r="D424" s="1"/>
      <c r="E424" s="1"/>
      <c r="F424" s="1"/>
      <c r="G424" s="1"/>
      <c r="H424" s="1"/>
      <c r="I424" s="1"/>
      <c r="J424" s="1"/>
      <c r="K424" s="1"/>
      <c r="L424" s="1"/>
      <c r="M424" s="1"/>
      <c r="N424" s="1"/>
      <c r="O424" s="1"/>
      <c r="P424" s="1"/>
      <c r="Q424" s="96"/>
      <c r="R424" s="96"/>
      <c r="S424" s="1"/>
      <c r="T424" s="1"/>
      <c r="U424" s="1"/>
      <c r="V424" s="1"/>
      <c r="W424" s="96"/>
      <c r="X424" s="96"/>
      <c r="Y424" s="96"/>
      <c r="Z424" s="1"/>
      <c r="AA424" s="94"/>
      <c r="AB424" s="1"/>
      <c r="AC424" s="57"/>
      <c r="AD424" s="1"/>
      <c r="AE424" s="57"/>
      <c r="AF424" s="1"/>
      <c r="AG424" s="1"/>
      <c r="AH424" s="1"/>
      <c r="AI424" s="1"/>
      <c r="AJ424" s="1"/>
      <c r="AK424" s="1"/>
      <c r="AL424" s="1"/>
      <c r="AM424" s="1"/>
      <c r="AN424" s="1"/>
      <c r="AO424" s="1"/>
      <c r="AP424" s="1"/>
      <c r="AQ424" s="1"/>
      <c r="AR424" s="1"/>
      <c r="AS424" s="1"/>
      <c r="AT424" s="1"/>
      <c r="AU424" s="1"/>
      <c r="AV424" s="1"/>
      <c r="AW424" s="1"/>
      <c r="AX424" s="1"/>
      <c r="AY424" s="1"/>
      <c r="AZ424" s="1"/>
      <c r="BA424" s="1"/>
      <c r="BB424" s="1"/>
      <c r="BC424" s="1"/>
      <c r="BD424" s="1"/>
      <c r="BE424" s="1"/>
      <c r="BF424" s="1"/>
      <c r="BG424" s="1"/>
      <c r="BH424" s="1"/>
      <c r="BI424" s="1"/>
      <c r="BJ424" s="1"/>
      <c r="BK424" s="1"/>
      <c r="BL424" s="1"/>
      <c r="BM424" s="1"/>
      <c r="BN424" s="1"/>
      <c r="BO424" s="1"/>
      <c r="BP424" s="1"/>
      <c r="BQ424" s="1"/>
      <c r="BR424" s="1"/>
      <c r="BS424" s="1"/>
      <c r="BT424" s="1"/>
      <c r="BU424" s="1"/>
      <c r="BV424" s="1"/>
      <c r="BW424" s="1"/>
      <c r="BX424" s="1"/>
      <c r="BY424" s="1"/>
      <c r="BZ424" s="1"/>
      <c r="CA424" s="1"/>
      <c r="CB424" s="1"/>
      <c r="CC424" s="1"/>
      <c r="CD424" s="1"/>
      <c r="CE424" s="1"/>
      <c r="CF424" s="1"/>
      <c r="CG424" s="1"/>
      <c r="CH424" s="1"/>
      <c r="CI424" s="1"/>
      <c r="CJ424" s="1"/>
      <c r="CK424" s="1"/>
      <c r="CL424" s="1"/>
      <c r="CM424" s="1"/>
      <c r="CN424" s="1"/>
      <c r="CO424" s="1"/>
      <c r="CP424" s="1"/>
      <c r="CQ424" s="1"/>
      <c r="CR424" s="1"/>
      <c r="CS424" s="1"/>
      <c r="CT424" s="1"/>
      <c r="CU424" s="1"/>
      <c r="CV424" s="1"/>
      <c r="CW424" s="1"/>
      <c r="CX424" s="1"/>
      <c r="CY424" s="1"/>
      <c r="CZ424" s="1"/>
      <c r="DA424" s="1"/>
      <c r="DB424" s="1"/>
      <c r="DC424" s="1"/>
      <c r="DD424" s="1"/>
      <c r="DE424" s="1"/>
      <c r="DF424" s="1"/>
      <c r="DG424" s="1"/>
      <c r="DH424" s="1"/>
      <c r="DI424" s="1"/>
      <c r="DJ424" s="1"/>
      <c r="DK424" s="1"/>
      <c r="DL424" s="1"/>
      <c r="DM424" s="1"/>
      <c r="DN424" s="1"/>
      <c r="DO424" s="1"/>
      <c r="DP424" s="1"/>
      <c r="DQ424" s="1"/>
      <c r="DR424" s="1"/>
      <c r="DS424" s="1"/>
      <c r="DT424" s="1"/>
      <c r="DU424" s="1"/>
      <c r="DV424" s="1"/>
      <c r="DW424" s="1"/>
      <c r="DX424" s="1"/>
      <c r="DY424" s="1"/>
      <c r="DZ424" s="1"/>
      <c r="EA424" s="1"/>
      <c r="EB424" s="1"/>
      <c r="EC424" s="1"/>
      <c r="ED424" s="1"/>
      <c r="EE424" s="1"/>
      <c r="EF424" s="1"/>
      <c r="EG424" s="1"/>
      <c r="EH424" s="1"/>
      <c r="EI424" s="1"/>
      <c r="EJ424" s="1"/>
      <c r="EK424" s="1"/>
      <c r="EL424" s="1"/>
    </row>
    <row r="425" spans="1:142" x14ac:dyDescent="0.25">
      <c r="C425" s="96"/>
    </row>
    <row r="426" spans="1:142" s="40" customFormat="1" x14ac:dyDescent="0.25">
      <c r="A426" s="1"/>
      <c r="B426" s="13"/>
      <c r="C426" s="96"/>
      <c r="D426" s="1"/>
      <c r="E426" s="1"/>
      <c r="F426" s="1"/>
      <c r="G426" s="1"/>
      <c r="H426" s="1"/>
      <c r="I426" s="1"/>
      <c r="J426" s="1"/>
      <c r="K426" s="1"/>
      <c r="L426" s="1"/>
      <c r="M426" s="1"/>
      <c r="N426" s="1"/>
      <c r="O426" s="1"/>
      <c r="P426" s="1"/>
      <c r="Q426" s="96"/>
      <c r="R426" s="96"/>
      <c r="S426" s="1"/>
      <c r="T426" s="1"/>
      <c r="U426" s="1"/>
      <c r="V426" s="1"/>
      <c r="W426" s="96"/>
      <c r="X426" s="96"/>
      <c r="Y426" s="96"/>
      <c r="Z426" s="1"/>
      <c r="AA426" s="94"/>
      <c r="AB426" s="1"/>
      <c r="AC426" s="57"/>
      <c r="AD426" s="1"/>
      <c r="AE426" s="57"/>
      <c r="AF426" s="1"/>
      <c r="AG426" s="1"/>
      <c r="AH426" s="1"/>
      <c r="AI426" s="1"/>
      <c r="AJ426" s="1"/>
      <c r="AK426" s="1"/>
      <c r="AL426" s="1"/>
      <c r="AM426" s="1"/>
      <c r="AN426" s="1"/>
      <c r="AO426" s="1"/>
      <c r="AP426" s="1"/>
      <c r="AQ426" s="1"/>
      <c r="AR426" s="1"/>
      <c r="AS426" s="1"/>
      <c r="AT426" s="1"/>
      <c r="AU426" s="1"/>
      <c r="AV426" s="1"/>
      <c r="AW426" s="1"/>
      <c r="AX426" s="1"/>
      <c r="AY426" s="1"/>
      <c r="AZ426" s="1"/>
      <c r="BA426" s="1"/>
      <c r="BB426" s="1"/>
      <c r="BC426" s="1"/>
      <c r="BD426" s="1"/>
      <c r="BE426" s="1"/>
      <c r="BF426" s="1"/>
      <c r="BG426" s="1"/>
      <c r="BH426" s="1"/>
      <c r="BI426" s="1"/>
      <c r="BJ426" s="1"/>
      <c r="BK426" s="1"/>
      <c r="BL426" s="1"/>
      <c r="BM426" s="1"/>
      <c r="BN426" s="1"/>
      <c r="BO426" s="1"/>
      <c r="BP426" s="1"/>
      <c r="BQ426" s="1"/>
      <c r="BR426" s="1"/>
      <c r="BS426" s="1"/>
      <c r="BT426" s="1"/>
      <c r="BU426" s="1"/>
      <c r="BV426" s="1"/>
      <c r="BW426" s="1"/>
      <c r="BX426" s="1"/>
      <c r="BY426" s="1"/>
      <c r="BZ426" s="1"/>
      <c r="CA426" s="1"/>
      <c r="CB426" s="1"/>
      <c r="CC426" s="1"/>
      <c r="CD426" s="1"/>
      <c r="CE426" s="1"/>
      <c r="CF426" s="1"/>
      <c r="CG426" s="1"/>
      <c r="CH426" s="1"/>
      <c r="CI426" s="1"/>
      <c r="CJ426" s="1"/>
      <c r="CK426" s="1"/>
      <c r="CL426" s="1"/>
      <c r="CM426" s="1"/>
      <c r="CN426" s="1"/>
      <c r="CO426" s="1"/>
      <c r="CP426" s="1"/>
      <c r="CQ426" s="1"/>
      <c r="CR426" s="1"/>
      <c r="CS426" s="1"/>
      <c r="CT426" s="1"/>
      <c r="CU426" s="1"/>
      <c r="CV426" s="1"/>
      <c r="CW426" s="1"/>
      <c r="CX426" s="1"/>
      <c r="CY426" s="1"/>
      <c r="CZ426" s="1"/>
      <c r="DA426" s="1"/>
      <c r="DB426" s="1"/>
      <c r="DC426" s="1"/>
      <c r="DD426" s="1"/>
      <c r="DE426" s="1"/>
      <c r="DF426" s="1"/>
      <c r="DG426" s="1"/>
      <c r="DH426" s="1"/>
      <c r="DI426" s="1"/>
      <c r="DJ426" s="1"/>
      <c r="DK426" s="1"/>
      <c r="DL426" s="1"/>
      <c r="DM426" s="1"/>
      <c r="DN426" s="1"/>
      <c r="DO426" s="1"/>
      <c r="DP426" s="1"/>
      <c r="DQ426" s="1"/>
      <c r="DR426" s="1"/>
      <c r="DS426" s="1"/>
      <c r="DT426" s="1"/>
      <c r="DU426" s="1"/>
      <c r="DV426" s="1"/>
      <c r="DW426" s="1"/>
      <c r="DX426" s="1"/>
      <c r="DY426" s="1"/>
      <c r="DZ426" s="1"/>
      <c r="EA426" s="1"/>
      <c r="EB426" s="1"/>
      <c r="EC426" s="1"/>
      <c r="ED426" s="1"/>
      <c r="EE426" s="1"/>
      <c r="EF426" s="1"/>
      <c r="EG426" s="1"/>
      <c r="EH426" s="1"/>
      <c r="EI426" s="1"/>
      <c r="EJ426" s="1"/>
      <c r="EK426" s="1"/>
      <c r="EL426" s="1"/>
    </row>
    <row r="427" spans="1:142" s="40" customFormat="1" x14ac:dyDescent="0.25">
      <c r="A427" s="1"/>
      <c r="B427" s="13"/>
      <c r="C427" s="96"/>
      <c r="D427" s="1"/>
      <c r="E427" s="1"/>
      <c r="F427" s="1"/>
      <c r="G427" s="1"/>
      <c r="H427" s="1"/>
      <c r="I427" s="1"/>
      <c r="J427" s="1"/>
      <c r="K427" s="1"/>
      <c r="L427" s="1"/>
      <c r="M427" s="1"/>
      <c r="N427" s="1"/>
      <c r="O427" s="1"/>
      <c r="P427" s="1"/>
      <c r="Q427" s="96"/>
      <c r="R427" s="96"/>
      <c r="S427" s="1"/>
      <c r="T427" s="1"/>
      <c r="U427" s="1"/>
      <c r="V427" s="1"/>
      <c r="W427" s="96"/>
      <c r="X427" s="96"/>
      <c r="Y427" s="96"/>
      <c r="Z427" s="1"/>
      <c r="AA427" s="94"/>
      <c r="AB427" s="1"/>
      <c r="AC427" s="57"/>
      <c r="AD427" s="1"/>
      <c r="AE427" s="57"/>
      <c r="AF427" s="1"/>
      <c r="AG427" s="1"/>
      <c r="AH427" s="1"/>
      <c r="AI427" s="1"/>
      <c r="AJ427" s="1"/>
      <c r="AK427" s="1"/>
      <c r="AL427" s="1"/>
      <c r="AM427" s="1"/>
      <c r="AN427" s="1"/>
      <c r="AO427" s="1"/>
      <c r="AP427" s="1"/>
      <c r="AQ427" s="1"/>
      <c r="AR427" s="1"/>
      <c r="AS427" s="1"/>
      <c r="AT427" s="1"/>
      <c r="AU427" s="1"/>
      <c r="AV427" s="1"/>
      <c r="AW427" s="1"/>
      <c r="AX427" s="1"/>
      <c r="AY427" s="1"/>
      <c r="AZ427" s="1"/>
      <c r="BA427" s="1"/>
      <c r="BB427" s="1"/>
      <c r="BC427" s="1"/>
      <c r="BD427" s="1"/>
      <c r="BE427" s="1"/>
      <c r="BF427" s="1"/>
      <c r="BG427" s="1"/>
      <c r="BH427" s="1"/>
      <c r="BI427" s="1"/>
      <c r="BJ427" s="1"/>
      <c r="BK427" s="1"/>
      <c r="BL427" s="1"/>
      <c r="BM427" s="1"/>
      <c r="BN427" s="1"/>
      <c r="BO427" s="1"/>
      <c r="BP427" s="1"/>
      <c r="BQ427" s="1"/>
      <c r="BR427" s="1"/>
      <c r="BS427" s="1"/>
      <c r="BT427" s="1"/>
      <c r="BU427" s="1"/>
      <c r="BV427" s="1"/>
      <c r="BW427" s="1"/>
      <c r="BX427" s="1"/>
      <c r="BY427" s="1"/>
      <c r="BZ427" s="1"/>
      <c r="CA427" s="1"/>
      <c r="CB427" s="1"/>
      <c r="CC427" s="1"/>
      <c r="CD427" s="1"/>
      <c r="CE427" s="1"/>
      <c r="CF427" s="1"/>
      <c r="CG427" s="1"/>
      <c r="CH427" s="1"/>
      <c r="CI427" s="1"/>
      <c r="CJ427" s="1"/>
      <c r="CK427" s="1"/>
      <c r="CL427" s="1"/>
      <c r="CM427" s="1"/>
      <c r="CN427" s="1"/>
      <c r="CO427" s="1"/>
      <c r="CP427" s="1"/>
      <c r="CQ427" s="1"/>
      <c r="CR427" s="1"/>
      <c r="CS427" s="1"/>
      <c r="CT427" s="1"/>
      <c r="CU427" s="1"/>
      <c r="CV427" s="1"/>
      <c r="CW427" s="1"/>
      <c r="CX427" s="1"/>
      <c r="CY427" s="1"/>
      <c r="CZ427" s="1"/>
      <c r="DA427" s="1"/>
      <c r="DB427" s="1"/>
      <c r="DC427" s="1"/>
      <c r="DD427" s="1"/>
      <c r="DE427" s="1"/>
      <c r="DF427" s="1"/>
      <c r="DG427" s="1"/>
      <c r="DH427" s="1"/>
      <c r="DI427" s="1"/>
      <c r="DJ427" s="1"/>
      <c r="DK427" s="1"/>
      <c r="DL427" s="1"/>
      <c r="DM427" s="1"/>
      <c r="DN427" s="1"/>
      <c r="DO427" s="1"/>
      <c r="DP427" s="1"/>
      <c r="DQ427" s="1"/>
      <c r="DR427" s="1"/>
      <c r="DS427" s="1"/>
      <c r="DT427" s="1"/>
      <c r="DU427" s="1"/>
      <c r="DV427" s="1"/>
      <c r="DW427" s="1"/>
      <c r="DX427" s="1"/>
      <c r="DY427" s="1"/>
      <c r="DZ427" s="1"/>
      <c r="EA427" s="1"/>
      <c r="EB427" s="1"/>
      <c r="EC427" s="1"/>
      <c r="ED427" s="1"/>
      <c r="EE427" s="1"/>
      <c r="EF427" s="1"/>
      <c r="EG427" s="1"/>
      <c r="EH427" s="1"/>
      <c r="EI427" s="1"/>
      <c r="EJ427" s="1"/>
      <c r="EK427" s="1"/>
      <c r="EL427" s="1"/>
    </row>
    <row r="428" spans="1:142" s="45" customFormat="1" x14ac:dyDescent="0.25">
      <c r="A428" s="1"/>
      <c r="B428" s="13"/>
      <c r="C428" s="96"/>
      <c r="D428" s="1"/>
      <c r="E428" s="1"/>
      <c r="F428" s="1"/>
      <c r="G428" s="1"/>
      <c r="H428" s="1"/>
      <c r="I428" s="1"/>
      <c r="J428" s="1"/>
      <c r="K428" s="1"/>
      <c r="L428" s="1"/>
      <c r="M428" s="1"/>
      <c r="N428" s="1"/>
      <c r="O428" s="1"/>
      <c r="P428" s="1"/>
      <c r="Q428" s="96"/>
      <c r="R428" s="96"/>
      <c r="S428" s="1"/>
      <c r="T428" s="1"/>
      <c r="U428" s="1"/>
      <c r="V428" s="1"/>
      <c r="W428" s="96"/>
      <c r="X428" s="96"/>
      <c r="Y428" s="96"/>
      <c r="Z428" s="1"/>
      <c r="AA428" s="94"/>
      <c r="AB428" s="1"/>
      <c r="AC428" s="57" t="s">
        <v>1636</v>
      </c>
      <c r="AD428" s="1"/>
      <c r="AE428" s="57"/>
      <c r="AF428" s="1"/>
      <c r="AG428" s="1"/>
      <c r="AH428" s="1"/>
      <c r="AI428" s="1"/>
      <c r="AJ428" s="1"/>
      <c r="AK428" s="1"/>
      <c r="AL428" s="1"/>
      <c r="AM428" s="1"/>
      <c r="AN428" s="1"/>
      <c r="AO428" s="1"/>
      <c r="AP428" s="1"/>
      <c r="AQ428" s="1"/>
      <c r="AR428" s="1"/>
      <c r="AS428" s="1"/>
      <c r="AT428" s="1"/>
      <c r="AU428" s="1"/>
      <c r="AV428" s="1"/>
      <c r="AW428" s="1"/>
      <c r="AX428" s="1"/>
      <c r="AY428" s="1"/>
      <c r="AZ428" s="1"/>
      <c r="BA428" s="1"/>
      <c r="BB428" s="1"/>
      <c r="BC428" s="1"/>
      <c r="BD428" s="1"/>
      <c r="BE428" s="1"/>
      <c r="BF428" s="1"/>
      <c r="BG428" s="1"/>
      <c r="BH428" s="1"/>
      <c r="BI428" s="1"/>
      <c r="BJ428" s="1"/>
      <c r="BK428" s="1"/>
      <c r="BL428" s="1"/>
      <c r="BM428" s="1"/>
      <c r="BN428" s="1"/>
      <c r="BO428" s="1"/>
      <c r="BP428" s="1"/>
      <c r="BQ428" s="1"/>
      <c r="BR428" s="1"/>
      <c r="BS428" s="1"/>
      <c r="BT428" s="1"/>
      <c r="BU428" s="1"/>
      <c r="BV428" s="1"/>
      <c r="BW428" s="1"/>
      <c r="BX428" s="1"/>
      <c r="BY428" s="1"/>
      <c r="BZ428" s="1"/>
      <c r="CA428" s="1"/>
      <c r="CB428" s="1"/>
      <c r="CC428" s="1"/>
      <c r="CD428" s="1"/>
      <c r="CE428" s="1"/>
      <c r="CF428" s="1"/>
      <c r="CG428" s="1"/>
      <c r="CH428" s="1"/>
      <c r="CI428" s="1"/>
      <c r="CJ428" s="1"/>
      <c r="CK428" s="1"/>
      <c r="CL428" s="1"/>
      <c r="CM428" s="1"/>
      <c r="CN428" s="1"/>
      <c r="CO428" s="1"/>
      <c r="CP428" s="1"/>
      <c r="CQ428" s="1"/>
      <c r="CR428" s="1"/>
      <c r="CS428" s="1"/>
      <c r="CT428" s="1"/>
      <c r="CU428" s="1"/>
      <c r="CV428" s="1"/>
      <c r="CW428" s="1"/>
      <c r="CX428" s="1"/>
      <c r="CY428" s="1"/>
      <c r="CZ428" s="1"/>
      <c r="DA428" s="1"/>
      <c r="DB428" s="1"/>
      <c r="DC428" s="1"/>
      <c r="DD428" s="1"/>
      <c r="DE428" s="1"/>
      <c r="DF428" s="1"/>
      <c r="DG428" s="1"/>
      <c r="DH428" s="1"/>
      <c r="DI428" s="1"/>
      <c r="DJ428" s="1"/>
      <c r="DK428" s="1"/>
      <c r="DL428" s="1"/>
      <c r="DM428" s="1"/>
      <c r="DN428" s="1"/>
      <c r="DO428" s="1"/>
      <c r="DP428" s="1"/>
      <c r="DQ428" s="1"/>
      <c r="DR428" s="1"/>
      <c r="DS428" s="1"/>
      <c r="DT428" s="1"/>
      <c r="DU428" s="1"/>
      <c r="DV428" s="1"/>
      <c r="DW428" s="1"/>
      <c r="DX428" s="1"/>
      <c r="DY428" s="1"/>
      <c r="DZ428" s="1"/>
      <c r="EA428" s="1"/>
      <c r="EB428" s="1"/>
      <c r="EC428" s="1"/>
      <c r="ED428" s="1"/>
      <c r="EE428" s="1"/>
      <c r="EF428" s="1"/>
      <c r="EG428" s="1"/>
      <c r="EH428" s="1"/>
      <c r="EI428" s="1"/>
      <c r="EJ428" s="1"/>
      <c r="EK428" s="1"/>
      <c r="EL428" s="1"/>
    </row>
    <row r="429" spans="1:142" x14ac:dyDescent="0.25">
      <c r="C429" s="96"/>
      <c r="E429" s="13"/>
    </row>
    <row r="430" spans="1:142" s="40" customFormat="1" x14ac:dyDescent="0.25">
      <c r="A430" s="1"/>
      <c r="B430" s="13"/>
      <c r="C430" s="96"/>
      <c r="D430" s="1"/>
      <c r="E430" s="1"/>
      <c r="F430" s="1"/>
      <c r="G430" s="1"/>
      <c r="H430" s="1"/>
      <c r="I430" s="1"/>
      <c r="J430" s="1"/>
      <c r="K430" s="1"/>
      <c r="L430" s="1"/>
      <c r="M430" s="1"/>
      <c r="N430" s="1"/>
      <c r="O430" s="1"/>
      <c r="P430" s="1"/>
      <c r="Q430" s="96"/>
      <c r="R430" s="96"/>
      <c r="S430" s="1"/>
      <c r="T430" s="1"/>
      <c r="U430" s="1"/>
      <c r="V430" s="1"/>
      <c r="W430" s="96"/>
      <c r="X430" s="96"/>
      <c r="Y430" s="96"/>
      <c r="Z430" s="1"/>
      <c r="AA430" s="94"/>
      <c r="AB430" s="1"/>
      <c r="AC430" s="57"/>
      <c r="AD430" s="1"/>
      <c r="AE430" s="57"/>
      <c r="AF430" s="1"/>
      <c r="AG430" s="1"/>
      <c r="AH430" s="1"/>
      <c r="AI430" s="1"/>
      <c r="AJ430" s="1"/>
      <c r="AK430" s="1"/>
      <c r="AL430" s="1"/>
      <c r="AM430" s="1"/>
      <c r="AN430" s="1"/>
      <c r="AO430" s="1"/>
      <c r="AP430" s="1"/>
      <c r="AQ430" s="1"/>
      <c r="AR430" s="1"/>
      <c r="AS430" s="1"/>
      <c r="AT430" s="1"/>
      <c r="AU430" s="1"/>
      <c r="AV430" s="1"/>
      <c r="AW430" s="1"/>
      <c r="AX430" s="1"/>
      <c r="AY430" s="1"/>
      <c r="AZ430" s="1"/>
      <c r="BA430" s="1"/>
      <c r="BB430" s="1"/>
      <c r="BC430" s="1"/>
      <c r="BD430" s="1"/>
      <c r="BE430" s="1"/>
      <c r="BF430" s="1"/>
      <c r="BG430" s="1"/>
      <c r="BH430" s="1"/>
      <c r="BI430" s="1"/>
      <c r="BJ430" s="1"/>
      <c r="BK430" s="1"/>
      <c r="BL430" s="1"/>
      <c r="BM430" s="1"/>
      <c r="BN430" s="1"/>
      <c r="BO430" s="1"/>
      <c r="BP430" s="1"/>
      <c r="BQ430" s="1"/>
      <c r="BR430" s="1"/>
      <c r="BS430" s="1"/>
      <c r="BT430" s="1"/>
      <c r="BU430" s="1"/>
      <c r="BV430" s="1"/>
      <c r="BW430" s="1"/>
      <c r="BX430" s="1"/>
      <c r="BY430" s="1"/>
      <c r="BZ430" s="1"/>
      <c r="CA430" s="1"/>
      <c r="CB430" s="1"/>
      <c r="CC430" s="1"/>
      <c r="CD430" s="1"/>
      <c r="CE430" s="1"/>
      <c r="CF430" s="1"/>
      <c r="CG430" s="1"/>
      <c r="CH430" s="1"/>
      <c r="CI430" s="1"/>
      <c r="CJ430" s="1"/>
      <c r="CK430" s="1"/>
      <c r="CL430" s="1"/>
      <c r="CM430" s="1"/>
      <c r="CN430" s="1"/>
      <c r="CO430" s="1"/>
      <c r="CP430" s="1"/>
      <c r="CQ430" s="1"/>
      <c r="CR430" s="1"/>
      <c r="CS430" s="1"/>
      <c r="CT430" s="1"/>
      <c r="CU430" s="1"/>
      <c r="CV430" s="1"/>
      <c r="CW430" s="1"/>
      <c r="CX430" s="1"/>
      <c r="CY430" s="1"/>
      <c r="CZ430" s="1"/>
      <c r="DA430" s="1"/>
      <c r="DB430" s="1"/>
      <c r="DC430" s="1"/>
      <c r="DD430" s="1"/>
      <c r="DE430" s="1"/>
      <c r="DF430" s="1"/>
      <c r="DG430" s="1"/>
      <c r="DH430" s="1"/>
      <c r="DI430" s="1"/>
      <c r="DJ430" s="1"/>
      <c r="DK430" s="1"/>
      <c r="DL430" s="1"/>
      <c r="DM430" s="1"/>
      <c r="DN430" s="1"/>
      <c r="DO430" s="1"/>
      <c r="DP430" s="1"/>
      <c r="DQ430" s="1"/>
      <c r="DR430" s="1"/>
      <c r="DS430" s="1"/>
      <c r="DT430" s="1"/>
      <c r="DU430" s="1"/>
      <c r="DV430" s="1"/>
      <c r="DW430" s="1"/>
      <c r="DX430" s="1"/>
      <c r="DY430" s="1"/>
      <c r="DZ430" s="1"/>
      <c r="EA430" s="1"/>
      <c r="EB430" s="1"/>
      <c r="EC430" s="1"/>
      <c r="ED430" s="1"/>
      <c r="EE430" s="1"/>
      <c r="EF430" s="1"/>
      <c r="EG430" s="1"/>
      <c r="EH430" s="1"/>
      <c r="EI430" s="1"/>
      <c r="EJ430" s="1"/>
      <c r="EK430" s="1"/>
      <c r="EL430" s="1"/>
    </row>
    <row r="431" spans="1:142" s="40" customFormat="1" x14ac:dyDescent="0.25">
      <c r="A431" s="1"/>
      <c r="B431" s="13"/>
      <c r="C431" s="96"/>
      <c r="D431" s="1"/>
      <c r="E431" s="1"/>
      <c r="F431" s="1"/>
      <c r="G431" s="1"/>
      <c r="H431" s="1"/>
      <c r="I431" s="1"/>
      <c r="J431" s="1"/>
      <c r="K431" s="1"/>
      <c r="L431" s="1"/>
      <c r="M431" s="1"/>
      <c r="N431" s="1"/>
      <c r="O431" s="1"/>
      <c r="P431" s="1"/>
      <c r="Q431" s="96"/>
      <c r="R431" s="96"/>
      <c r="S431" s="1"/>
      <c r="T431" s="1"/>
      <c r="U431" s="1"/>
      <c r="V431" s="1"/>
      <c r="W431" s="96"/>
      <c r="X431" s="96"/>
      <c r="Y431" s="96"/>
      <c r="Z431" s="1"/>
      <c r="AA431" s="94"/>
      <c r="AB431" s="1"/>
      <c r="AC431" s="57"/>
      <c r="AD431" s="1"/>
      <c r="AE431" s="57"/>
      <c r="AF431" s="1"/>
      <c r="AG431" s="1"/>
      <c r="AH431" s="1"/>
      <c r="AI431" s="1"/>
      <c r="AJ431" s="1"/>
      <c r="AK431" s="1"/>
      <c r="AL431" s="1"/>
      <c r="AM431" s="1"/>
      <c r="AN431" s="1"/>
      <c r="AO431" s="1"/>
      <c r="AP431" s="1"/>
      <c r="AQ431" s="1"/>
      <c r="AR431" s="1"/>
      <c r="AS431" s="1"/>
      <c r="AT431" s="1"/>
      <c r="AU431" s="1"/>
      <c r="AV431" s="1"/>
      <c r="AW431" s="1"/>
      <c r="AX431" s="1"/>
      <c r="AY431" s="1"/>
      <c r="AZ431" s="1"/>
      <c r="BA431" s="1"/>
      <c r="BB431" s="1"/>
      <c r="BC431" s="1"/>
      <c r="BD431" s="1"/>
      <c r="BE431" s="1"/>
      <c r="BF431" s="1"/>
      <c r="BG431" s="1"/>
      <c r="BH431" s="1"/>
      <c r="BI431" s="1"/>
      <c r="BJ431" s="1"/>
      <c r="BK431" s="1"/>
      <c r="BL431" s="1"/>
      <c r="BM431" s="1"/>
      <c r="BN431" s="1"/>
      <c r="BO431" s="1"/>
      <c r="BP431" s="1"/>
      <c r="BQ431" s="1"/>
      <c r="BR431" s="1"/>
      <c r="BS431" s="1"/>
      <c r="BT431" s="1"/>
      <c r="BU431" s="1"/>
      <c r="BV431" s="1"/>
      <c r="BW431" s="1"/>
      <c r="BX431" s="1"/>
      <c r="BY431" s="1"/>
      <c r="BZ431" s="1"/>
      <c r="CA431" s="1"/>
      <c r="CB431" s="1"/>
      <c r="CC431" s="1"/>
      <c r="CD431" s="1"/>
      <c r="CE431" s="1"/>
      <c r="CF431" s="1"/>
      <c r="CG431" s="1"/>
      <c r="CH431" s="1"/>
      <c r="CI431" s="1"/>
      <c r="CJ431" s="1"/>
      <c r="CK431" s="1"/>
      <c r="CL431" s="1"/>
      <c r="CM431" s="1"/>
      <c r="CN431" s="1"/>
      <c r="CO431" s="1"/>
      <c r="CP431" s="1"/>
      <c r="CQ431" s="1"/>
      <c r="CR431" s="1"/>
      <c r="CS431" s="1"/>
      <c r="CT431" s="1"/>
      <c r="CU431" s="1"/>
      <c r="CV431" s="1"/>
      <c r="CW431" s="1"/>
      <c r="CX431" s="1"/>
      <c r="CY431" s="1"/>
      <c r="CZ431" s="1"/>
      <c r="DA431" s="1"/>
      <c r="DB431" s="1"/>
      <c r="DC431" s="1"/>
      <c r="DD431" s="1"/>
      <c r="DE431" s="1"/>
      <c r="DF431" s="1"/>
      <c r="DG431" s="1"/>
      <c r="DH431" s="1"/>
      <c r="DI431" s="1"/>
      <c r="DJ431" s="1"/>
      <c r="DK431" s="1"/>
      <c r="DL431" s="1"/>
      <c r="DM431" s="1"/>
      <c r="DN431" s="1"/>
      <c r="DO431" s="1"/>
      <c r="DP431" s="1"/>
      <c r="DQ431" s="1"/>
      <c r="DR431" s="1"/>
      <c r="DS431" s="1"/>
      <c r="DT431" s="1"/>
      <c r="DU431" s="1"/>
      <c r="DV431" s="1"/>
      <c r="DW431" s="1"/>
      <c r="DX431" s="1"/>
      <c r="DY431" s="1"/>
      <c r="DZ431" s="1"/>
      <c r="EA431" s="1"/>
      <c r="EB431" s="1"/>
      <c r="EC431" s="1"/>
      <c r="ED431" s="1"/>
      <c r="EE431" s="1"/>
      <c r="EF431" s="1"/>
      <c r="EG431" s="1"/>
      <c r="EH431" s="1"/>
      <c r="EI431" s="1"/>
      <c r="EJ431" s="1"/>
      <c r="EK431" s="1"/>
      <c r="EL431" s="1"/>
    </row>
    <row r="432" spans="1:142" s="40" customFormat="1" x14ac:dyDescent="0.25">
      <c r="A432" s="1"/>
      <c r="B432" s="13"/>
      <c r="C432" s="96"/>
      <c r="D432" s="1"/>
      <c r="E432" s="1"/>
      <c r="F432" s="1"/>
      <c r="G432" s="1"/>
      <c r="H432" s="1"/>
      <c r="I432" s="1"/>
      <c r="J432" s="1"/>
      <c r="K432" s="1"/>
      <c r="L432" s="1"/>
      <c r="M432" s="1"/>
      <c r="N432" s="1"/>
      <c r="O432" s="1"/>
      <c r="P432" s="1"/>
      <c r="Q432" s="96"/>
      <c r="R432" s="96"/>
      <c r="S432" s="1"/>
      <c r="T432" s="1"/>
      <c r="U432" s="1"/>
      <c r="V432" s="1"/>
      <c r="W432" s="96"/>
      <c r="X432" s="96"/>
      <c r="Y432" s="96"/>
      <c r="Z432" s="1"/>
      <c r="AA432" s="94"/>
      <c r="AB432" s="1"/>
      <c r="AC432" s="57"/>
      <c r="AD432" s="1"/>
      <c r="AE432" s="57"/>
      <c r="AF432" s="1"/>
      <c r="AG432" s="1"/>
      <c r="AH432" s="1"/>
      <c r="AI432" s="1"/>
      <c r="AJ432" s="1"/>
      <c r="AK432" s="1"/>
      <c r="AL432" s="1"/>
      <c r="AM432" s="1"/>
      <c r="AN432" s="1"/>
      <c r="AO432" s="1"/>
      <c r="AP432" s="1"/>
      <c r="AQ432" s="1"/>
      <c r="AR432" s="1"/>
      <c r="AS432" s="1"/>
      <c r="AT432" s="1"/>
      <c r="AU432" s="1"/>
      <c r="AV432" s="1"/>
      <c r="AW432" s="1"/>
      <c r="AX432" s="1"/>
      <c r="AY432" s="1"/>
      <c r="AZ432" s="1"/>
      <c r="BA432" s="1"/>
      <c r="BB432" s="1"/>
      <c r="BC432" s="1"/>
      <c r="BD432" s="1"/>
      <c r="BE432" s="1"/>
      <c r="BF432" s="1"/>
      <c r="BG432" s="1"/>
      <c r="BH432" s="1"/>
      <c r="BI432" s="1"/>
      <c r="BJ432" s="1"/>
      <c r="BK432" s="1"/>
      <c r="BL432" s="1"/>
      <c r="BM432" s="1"/>
      <c r="BN432" s="1"/>
      <c r="BO432" s="1"/>
      <c r="BP432" s="1"/>
      <c r="BQ432" s="1"/>
      <c r="BR432" s="1"/>
      <c r="BS432" s="1"/>
      <c r="BT432" s="1"/>
      <c r="BU432" s="1"/>
      <c r="BV432" s="1"/>
      <c r="BW432" s="1"/>
      <c r="BX432" s="1"/>
      <c r="BY432" s="1"/>
      <c r="BZ432" s="1"/>
      <c r="CA432" s="1"/>
      <c r="CB432" s="1"/>
      <c r="CC432" s="1"/>
      <c r="CD432" s="1"/>
      <c r="CE432" s="1"/>
      <c r="CF432" s="1"/>
      <c r="CG432" s="1"/>
      <c r="CH432" s="1"/>
      <c r="CI432" s="1"/>
      <c r="CJ432" s="1"/>
      <c r="CK432" s="1"/>
      <c r="CL432" s="1"/>
      <c r="CM432" s="1"/>
      <c r="CN432" s="1"/>
      <c r="CO432" s="1"/>
      <c r="CP432" s="1"/>
      <c r="CQ432" s="1"/>
      <c r="CR432" s="1"/>
      <c r="CS432" s="1"/>
      <c r="CT432" s="1"/>
      <c r="CU432" s="1"/>
      <c r="CV432" s="1"/>
      <c r="CW432" s="1"/>
      <c r="CX432" s="1"/>
      <c r="CY432" s="1"/>
      <c r="CZ432" s="1"/>
      <c r="DA432" s="1"/>
      <c r="DB432" s="1"/>
      <c r="DC432" s="1"/>
      <c r="DD432" s="1"/>
      <c r="DE432" s="1"/>
      <c r="DF432" s="1"/>
      <c r="DG432" s="1"/>
      <c r="DH432" s="1"/>
      <c r="DI432" s="1"/>
      <c r="DJ432" s="1"/>
      <c r="DK432" s="1"/>
      <c r="DL432" s="1"/>
      <c r="DM432" s="1"/>
      <c r="DN432" s="1"/>
      <c r="DO432" s="1"/>
      <c r="DP432" s="1"/>
      <c r="DQ432" s="1"/>
      <c r="DR432" s="1"/>
      <c r="DS432" s="1"/>
      <c r="DT432" s="1"/>
      <c r="DU432" s="1"/>
      <c r="DV432" s="1"/>
      <c r="DW432" s="1"/>
      <c r="DX432" s="1"/>
      <c r="DY432" s="1"/>
      <c r="DZ432" s="1"/>
      <c r="EA432" s="1"/>
      <c r="EB432" s="1"/>
      <c r="EC432" s="1"/>
      <c r="ED432" s="1"/>
      <c r="EE432" s="1"/>
      <c r="EF432" s="1"/>
      <c r="EG432" s="1"/>
      <c r="EH432" s="1"/>
      <c r="EI432" s="1"/>
      <c r="EJ432" s="1"/>
      <c r="EK432" s="1"/>
      <c r="EL432" s="1"/>
    </row>
  </sheetData>
  <phoneticPr fontId="8" type="noConversion"/>
  <pageMargins left="0.75" right="0.75" top="1" bottom="1" header="0.5" footer="0.5"/>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DF630F-1776-42BA-9160-E8F9B63541F9}">
  <dimension ref="B1:S21"/>
  <sheetViews>
    <sheetView workbookViewId="0">
      <selection activeCell="Q19" sqref="Q19"/>
    </sheetView>
  </sheetViews>
  <sheetFormatPr defaultRowHeight="15" x14ac:dyDescent="0.25"/>
  <sheetData>
    <row r="1" spans="2:19" x14ac:dyDescent="0.25">
      <c r="B1" s="1"/>
    </row>
    <row r="2" spans="2:19" x14ac:dyDescent="0.25">
      <c r="B2" s="45">
        <v>-1</v>
      </c>
      <c r="C2" s="46"/>
      <c r="D2" s="46" t="s">
        <v>1274</v>
      </c>
      <c r="E2" s="46"/>
      <c r="F2" s="46"/>
      <c r="G2" s="46"/>
      <c r="H2" s="46"/>
      <c r="I2" s="46"/>
      <c r="J2" s="45">
        <f>COUNTIF(data!Z2:Z315,-1)</f>
        <v>17</v>
      </c>
      <c r="R2" t="s">
        <v>1891</v>
      </c>
    </row>
    <row r="3" spans="2:19" ht="15.75" x14ac:dyDescent="0.25">
      <c r="B3" s="3">
        <v>1</v>
      </c>
      <c r="C3" s="8"/>
      <c r="D3" s="9" t="s">
        <v>1788</v>
      </c>
      <c r="E3" s="10"/>
      <c r="F3" s="3"/>
      <c r="G3" s="3"/>
      <c r="H3" s="3"/>
      <c r="I3" s="3"/>
      <c r="J3" s="3">
        <f>COUNTIF(data!Z2:Z315,1)</f>
        <v>27</v>
      </c>
      <c r="R3" t="s">
        <v>1895</v>
      </c>
      <c r="S3" t="s">
        <v>1892</v>
      </c>
    </row>
    <row r="4" spans="2:19" ht="15.75" x14ac:dyDescent="0.25">
      <c r="B4" s="2">
        <v>2</v>
      </c>
      <c r="C4" s="14"/>
      <c r="D4" s="15" t="s">
        <v>1789</v>
      </c>
      <c r="E4" s="16"/>
      <c r="F4" s="2"/>
      <c r="G4" s="2"/>
      <c r="H4" s="2"/>
      <c r="I4" s="2"/>
      <c r="J4" s="2">
        <f>COUNTIF(data!Z2:Z315,2)</f>
        <v>5</v>
      </c>
      <c r="R4" t="s">
        <v>1898</v>
      </c>
      <c r="S4" t="s">
        <v>1306</v>
      </c>
    </row>
    <row r="5" spans="2:19" ht="15.75" x14ac:dyDescent="0.25">
      <c r="B5" s="17">
        <v>3</v>
      </c>
      <c r="C5" s="18"/>
      <c r="D5" s="19" t="s">
        <v>1234</v>
      </c>
      <c r="E5" s="20"/>
      <c r="F5" s="17"/>
      <c r="G5" s="17"/>
      <c r="H5" s="17"/>
      <c r="I5" s="17"/>
      <c r="J5" s="17">
        <f>COUNTIF(data!Z2:Z315,3)</f>
        <v>6</v>
      </c>
      <c r="R5" t="s">
        <v>1899</v>
      </c>
      <c r="S5" t="s">
        <v>1900</v>
      </c>
    </row>
    <row r="6" spans="2:19" ht="15.75" x14ac:dyDescent="0.25">
      <c r="B6" s="4">
        <v>4</v>
      </c>
      <c r="C6" s="22"/>
      <c r="D6" s="23" t="s">
        <v>1787</v>
      </c>
      <c r="E6" s="24"/>
      <c r="F6" s="4"/>
      <c r="G6" s="4"/>
      <c r="H6" s="4"/>
      <c r="I6" s="4"/>
      <c r="J6" s="4">
        <f>COUNTIF(data!Z2:Z315,4)</f>
        <v>6</v>
      </c>
      <c r="R6" t="s">
        <v>1890</v>
      </c>
      <c r="S6" t="s">
        <v>1896</v>
      </c>
    </row>
    <row r="7" spans="2:19" ht="15.75" x14ac:dyDescent="0.25">
      <c r="B7" s="25">
        <v>5</v>
      </c>
      <c r="C7" s="26"/>
      <c r="D7" s="27" t="s">
        <v>1726</v>
      </c>
      <c r="E7" s="28"/>
      <c r="F7" s="25"/>
      <c r="G7" s="25"/>
      <c r="H7" s="25"/>
      <c r="I7" s="25"/>
      <c r="J7" s="25">
        <f>COUNTIF(data!Z2:Z315,5)</f>
        <v>74</v>
      </c>
      <c r="R7" t="s">
        <v>1893</v>
      </c>
      <c r="S7" t="s">
        <v>1897</v>
      </c>
    </row>
    <row r="8" spans="2:19" ht="15.75" x14ac:dyDescent="0.25">
      <c r="B8" s="30">
        <v>6</v>
      </c>
      <c r="C8" s="31"/>
      <c r="D8" s="32" t="s">
        <v>1257</v>
      </c>
      <c r="E8" s="33"/>
      <c r="F8" s="30"/>
      <c r="G8" s="30"/>
      <c r="H8" s="30"/>
      <c r="I8" s="30"/>
      <c r="J8" s="30">
        <f>COUNTIF(data!Z2:Z315,6)</f>
        <v>26</v>
      </c>
      <c r="R8" t="s">
        <v>1894</v>
      </c>
      <c r="S8" t="s">
        <v>1905</v>
      </c>
    </row>
    <row r="9" spans="2:19" ht="15.75" x14ac:dyDescent="0.25">
      <c r="B9" s="35">
        <v>7</v>
      </c>
      <c r="C9" s="36"/>
      <c r="D9" s="37" t="s">
        <v>1455</v>
      </c>
      <c r="E9" s="38"/>
      <c r="F9" s="35"/>
      <c r="G9" s="35"/>
      <c r="H9" s="35"/>
      <c r="I9" s="35"/>
      <c r="J9" s="35">
        <f>COUNTIF(data!Z2:Z315,7)</f>
        <v>33</v>
      </c>
    </row>
    <row r="10" spans="2:19" ht="15.75" x14ac:dyDescent="0.25">
      <c r="B10" s="40">
        <v>8</v>
      </c>
      <c r="C10" s="41"/>
      <c r="D10" s="42" t="s">
        <v>1460</v>
      </c>
      <c r="E10" s="43"/>
      <c r="F10" s="40"/>
      <c r="G10" s="40"/>
      <c r="H10" s="40"/>
      <c r="I10" s="40"/>
      <c r="J10" s="40">
        <f>COUNTIF(data!Z2:Z315,8)</f>
        <v>59</v>
      </c>
    </row>
    <row r="11" spans="2:19" x14ac:dyDescent="0.25">
      <c r="B11" s="49">
        <v>9</v>
      </c>
      <c r="C11" s="49"/>
      <c r="D11" s="50" t="s">
        <v>1458</v>
      </c>
      <c r="E11" s="50"/>
      <c r="F11" s="49"/>
      <c r="G11" s="49"/>
      <c r="H11" s="49"/>
      <c r="I11" s="49"/>
      <c r="J11" s="49">
        <f>COUNTIF(data!Z2:Z315,9)</f>
        <v>17</v>
      </c>
    </row>
    <row r="12" spans="2:19" ht="15.75" x14ac:dyDescent="0.25">
      <c r="B12" s="52">
        <v>10</v>
      </c>
      <c r="C12" s="53"/>
      <c r="D12" s="55" t="s">
        <v>1451</v>
      </c>
      <c r="E12" s="54"/>
      <c r="F12" s="52"/>
      <c r="G12" s="52"/>
      <c r="H12" s="52"/>
      <c r="I12" s="52"/>
      <c r="J12" s="52">
        <f>COUNTIF(data!Z2:Z315,10)</f>
        <v>3</v>
      </c>
    </row>
    <row r="13" spans="2:19" s="1" customFormat="1" ht="15.75" x14ac:dyDescent="0.25">
      <c r="B13" s="59">
        <v>11</v>
      </c>
      <c r="C13" s="59"/>
      <c r="D13" s="60" t="s">
        <v>1454</v>
      </c>
      <c r="E13" s="59"/>
      <c r="F13" s="59"/>
      <c r="G13" s="59"/>
      <c r="H13" s="59"/>
      <c r="I13" s="59"/>
      <c r="J13" s="59">
        <f>COUNTIF(data!Z2:Z315,11)</f>
        <v>7</v>
      </c>
    </row>
    <row r="14" spans="2:19" x14ac:dyDescent="0.25">
      <c r="B14" s="64">
        <v>12</v>
      </c>
      <c r="C14" s="65"/>
      <c r="D14" s="65" t="s">
        <v>1456</v>
      </c>
      <c r="E14" s="65"/>
      <c r="F14" s="65"/>
      <c r="G14" s="65"/>
      <c r="H14" s="65"/>
      <c r="I14" s="65"/>
      <c r="J14" s="64">
        <f>COUNTIF(data!Z2:Z315,12)</f>
        <v>5</v>
      </c>
    </row>
    <row r="15" spans="2:19" x14ac:dyDescent="0.25">
      <c r="B15" s="68">
        <v>13</v>
      </c>
      <c r="C15" s="69"/>
      <c r="D15" s="69" t="s">
        <v>1457</v>
      </c>
      <c r="E15" s="69"/>
      <c r="F15" s="69"/>
      <c r="G15" s="69"/>
      <c r="H15" s="69"/>
      <c r="I15" s="69"/>
      <c r="J15" s="68">
        <f>COUNTIF(data!Z2:Z315,13)</f>
        <v>7</v>
      </c>
    </row>
    <row r="16" spans="2:19" ht="15.75" x14ac:dyDescent="0.25">
      <c r="B16" s="72">
        <v>14</v>
      </c>
      <c r="C16" s="73"/>
      <c r="D16" s="74" t="s">
        <v>1459</v>
      </c>
      <c r="E16" s="73"/>
      <c r="F16" s="73"/>
      <c r="G16" s="73"/>
      <c r="H16" s="73"/>
      <c r="I16" s="73"/>
      <c r="J16" s="72">
        <f>COUNTIF(data!Z2:Z315,14)</f>
        <v>14</v>
      </c>
    </row>
    <row r="17" spans="2:17" x14ac:dyDescent="0.25">
      <c r="B17" s="1"/>
    </row>
    <row r="18" spans="2:17" x14ac:dyDescent="0.25">
      <c r="Q18">
        <f>COUNTIFS(data!AA2:AA335,"&lt;&gt;TRUE",data!AA2:AA335,"&lt;&gt;FALSE")</f>
        <v>0</v>
      </c>
    </row>
    <row r="19" spans="2:17" x14ac:dyDescent="0.25">
      <c r="P19" t="b">
        <v>1</v>
      </c>
      <c r="Q19">
        <f xml:space="preserve"> COUNTIF(data!AA2:AA335,TRUE)</f>
        <v>296</v>
      </c>
    </row>
    <row r="20" spans="2:17" x14ac:dyDescent="0.25">
      <c r="J20">
        <f xml:space="preserve"> SUM(J2:J16)</f>
        <v>306</v>
      </c>
      <c r="K20" s="58" t="s">
        <v>1453</v>
      </c>
      <c r="L20" s="63">
        <f>J20-J2</f>
        <v>289</v>
      </c>
      <c r="P20" t="b">
        <v>0</v>
      </c>
      <c r="Q20">
        <f xml:space="preserve"> COUNTIF(data!AA2:AA335,FALSE)</f>
        <v>38</v>
      </c>
    </row>
    <row r="21" spans="2:17" x14ac:dyDescent="0.25">
      <c r="Q21">
        <f xml:space="preserve"> SUM(Q19:Q20)</f>
        <v>334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vt:lpstr>
      <vt:lpstr>results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DANIEL PINILLA GARCIA</cp:lastModifiedBy>
  <dcterms:created xsi:type="dcterms:W3CDTF">2025-08-04T07:34:02Z</dcterms:created>
  <dcterms:modified xsi:type="dcterms:W3CDTF">2026-01-22T09:45:03Z</dcterms:modified>
</cp:coreProperties>
</file>