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PROJECTS\statistics\"/>
    </mc:Choice>
  </mc:AlternateContent>
  <xr:revisionPtr revIDLastSave="0" documentId="13_ncr:1_{B2547B75-220B-478B-8770-E550C560AAB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data" sheetId="1" r:id="rId1"/>
    <sheet name="resul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2" l="1"/>
  <c r="J15" i="2"/>
  <c r="J14" i="2"/>
  <c r="J13" i="2"/>
  <c r="J12" i="2"/>
  <c r="J11" i="2"/>
  <c r="J2" i="2"/>
  <c r="J10" i="2"/>
  <c r="J9" i="2"/>
  <c r="J8" i="2"/>
  <c r="J7" i="2"/>
  <c r="J6" i="2"/>
  <c r="J5" i="2"/>
  <c r="J4" i="2"/>
  <c r="J3" i="2"/>
  <c r="J20" i="2" l="1"/>
  <c r="L20" i="2" s="1"/>
</calcChain>
</file>

<file path=xl/sharedStrings.xml><?xml version="1.0" encoding="utf-8"?>
<sst xmlns="http://schemas.openxmlformats.org/spreadsheetml/2006/main" count="4039" uniqueCount="2594">
  <si>
    <t>record_id</t>
  </si>
  <si>
    <t>PatientID</t>
  </si>
  <si>
    <t>diam_ao</t>
  </si>
  <si>
    <t>diam_mitral</t>
  </si>
  <si>
    <t>embolias_prev</t>
  </si>
  <si>
    <t>fecha_prev1</t>
  </si>
  <si>
    <t>fecha_prev2</t>
  </si>
  <si>
    <t>fecha_prev3</t>
  </si>
  <si>
    <t>fecha_diagnostico</t>
  </si>
  <si>
    <t>fecha_ingreso</t>
  </si>
  <si>
    <t>fecha_eco</t>
  </si>
  <si>
    <t>embolias_trat</t>
  </si>
  <si>
    <t>fecha_trat1</t>
  </si>
  <si>
    <t>fecha_trat2</t>
  </si>
  <si>
    <t>indicacion_cirugia</t>
  </si>
  <si>
    <t>fecha_cirugia</t>
  </si>
  <si>
    <t>fecha_muerte</t>
  </si>
  <si>
    <t>result</t>
  </si>
  <si>
    <t>comments</t>
  </si>
  <si>
    <t>HCSCM-1</t>
  </si>
  <si>
    <t>1226645</t>
  </si>
  <si>
    <t>2023-08-07</t>
  </si>
  <si>
    <t>2023-08-03</t>
  </si>
  <si>
    <t>2023-09-12</t>
  </si>
  <si>
    <t>HCSCM-2</t>
  </si>
  <si>
    <t>2571256</t>
  </si>
  <si>
    <t>2022-12-12</t>
  </si>
  <si>
    <t>2022-12-14</t>
  </si>
  <si>
    <t>2022-12-15</t>
  </si>
  <si>
    <t>HCSCM-3</t>
  </si>
  <si>
    <t>2510107</t>
  </si>
  <si>
    <t>2022-12-13</t>
  </si>
  <si>
    <t>2022-12-16</t>
  </si>
  <si>
    <t>2022-12-17</t>
  </si>
  <si>
    <t>HCSCM-4</t>
  </si>
  <si>
    <t>2574432</t>
  </si>
  <si>
    <t>2023-03-14</t>
  </si>
  <si>
    <t>2023-03-15</t>
  </si>
  <si>
    <t>HCSCM-5</t>
  </si>
  <si>
    <t>2638996</t>
  </si>
  <si>
    <t>2023-12-07</t>
  </si>
  <si>
    <t>2023-12-08</t>
  </si>
  <si>
    <t>2023-12-06</t>
  </si>
  <si>
    <t>2023-12-12</t>
  </si>
  <si>
    <t>2023-12-14</t>
  </si>
  <si>
    <t>HCSCM-6</t>
  </si>
  <si>
    <t>2718947</t>
  </si>
  <si>
    <t>2025-03-31</t>
  </si>
  <si>
    <t>2025-04-04</t>
  </si>
  <si>
    <t>2025-04-03</t>
  </si>
  <si>
    <t>2025-04-07</t>
  </si>
  <si>
    <t>HCSCM-7</t>
  </si>
  <si>
    <t>1734885</t>
  </si>
  <si>
    <t>2020-12-09</t>
  </si>
  <si>
    <t>2020-12-22</t>
  </si>
  <si>
    <t>HCSCM-8</t>
  </si>
  <si>
    <t>131977</t>
  </si>
  <si>
    <t>2021-02-21</t>
  </si>
  <si>
    <t>2021-02-22</t>
  </si>
  <si>
    <t>2021-02-24</t>
  </si>
  <si>
    <t>HCSCM-9</t>
  </si>
  <si>
    <t>1758093</t>
  </si>
  <si>
    <t>2021-02-10</t>
  </si>
  <si>
    <t>2021-02-08</t>
  </si>
  <si>
    <t>HCSCM-10</t>
  </si>
  <si>
    <t>2419082</t>
  </si>
  <si>
    <t>2020-07-01</t>
  </si>
  <si>
    <t>2020-07-03</t>
  </si>
  <si>
    <t>2020-06-29</t>
  </si>
  <si>
    <t>2020-07-04</t>
  </si>
  <si>
    <t>HCSCM-11</t>
  </si>
  <si>
    <t>2307720</t>
  </si>
  <si>
    <t>2021-06-19</t>
  </si>
  <si>
    <t>2021-06-20</t>
  </si>
  <si>
    <t>2021-06-18</t>
  </si>
  <si>
    <t>2021-06-21</t>
  </si>
  <si>
    <t>2021-06-23</t>
  </si>
  <si>
    <t>2021-08-23</t>
  </si>
  <si>
    <t>HCSCM-12</t>
  </si>
  <si>
    <t>1855739</t>
  </si>
  <si>
    <t>2020-09-29</t>
  </si>
  <si>
    <t>2020-08-21</t>
  </si>
  <si>
    <t>2020-09-24</t>
  </si>
  <si>
    <t>HCSCM-13</t>
  </si>
  <si>
    <t>2454406</t>
  </si>
  <si>
    <t>2021-04-13</t>
  </si>
  <si>
    <t>2024-04-14</t>
  </si>
  <si>
    <t>2024-04-13</t>
  </si>
  <si>
    <t>2021-04-19</t>
  </si>
  <si>
    <t>HCSCM-14</t>
  </si>
  <si>
    <t>1572014</t>
  </si>
  <si>
    <t>2021-04-01</t>
  </si>
  <si>
    <t>2021-04-05</t>
  </si>
  <si>
    <t>2021-03-22</t>
  </si>
  <si>
    <t>2021-04-08</t>
  </si>
  <si>
    <t>2021-04-09</t>
  </si>
  <si>
    <t>HCSCM-15</t>
  </si>
  <si>
    <t>2400470</t>
  </si>
  <si>
    <t>2021-02-11</t>
  </si>
  <si>
    <t>2021-02-05</t>
  </si>
  <si>
    <t>2021-02-18</t>
  </si>
  <si>
    <t>2021-02-19</t>
  </si>
  <si>
    <t>HCSCM-16</t>
  </si>
  <si>
    <t>819229</t>
  </si>
  <si>
    <t>2022-06-15</t>
  </si>
  <si>
    <t>2022-06-20</t>
  </si>
  <si>
    <t>2022-06-29</t>
  </si>
  <si>
    <t>HCSCM-17</t>
  </si>
  <si>
    <t>2534956</t>
  </si>
  <si>
    <t>2022-05-28</t>
  </si>
  <si>
    <t>2022-05-17</t>
  </si>
  <si>
    <t>2022-05-31</t>
  </si>
  <si>
    <t>2022-05-26</t>
  </si>
  <si>
    <t>HCSCM-18</t>
  </si>
  <si>
    <t>2022-04-24</t>
  </si>
  <si>
    <t>2022-04-17</t>
  </si>
  <si>
    <t>2022-04-30</t>
  </si>
  <si>
    <t>HCSCM-19</t>
  </si>
  <si>
    <t>562464</t>
  </si>
  <si>
    <t>2021-12-14</t>
  </si>
  <si>
    <t>2021-12-27</t>
  </si>
  <si>
    <t>HCSCM-20</t>
  </si>
  <si>
    <t>2739127</t>
  </si>
  <si>
    <t>2025-04-09</t>
  </si>
  <si>
    <t>2025-04-22</t>
  </si>
  <si>
    <t>2025-05-05</t>
  </si>
  <si>
    <t>2025-04-25</t>
  </si>
  <si>
    <t>HCSCM-21</t>
  </si>
  <si>
    <t>1370986</t>
  </si>
  <si>
    <t>2024-01-01</t>
  </si>
  <si>
    <t>2023-12-30</t>
  </si>
  <si>
    <t>2024-01-02</t>
  </si>
  <si>
    <t>2024-01-03</t>
  </si>
  <si>
    <t>2024-01-23</t>
  </si>
  <si>
    <t>HCSCM-22</t>
  </si>
  <si>
    <t>1740014</t>
  </si>
  <si>
    <t>2025-04-27</t>
  </si>
  <si>
    <t>2025-04-30</t>
  </si>
  <si>
    <t>2025-05-06</t>
  </si>
  <si>
    <t>HCSCM-23</t>
  </si>
  <si>
    <t>219913</t>
  </si>
  <si>
    <t>2025-04-14</t>
  </si>
  <si>
    <t>2025-04-15</t>
  </si>
  <si>
    <t>2025-05-14</t>
  </si>
  <si>
    <t>HCSCM-24</t>
  </si>
  <si>
    <t>1441420</t>
  </si>
  <si>
    <t>2021-07-26</t>
  </si>
  <si>
    <t>2021-08-06</t>
  </si>
  <si>
    <t>2025-10-30</t>
  </si>
  <si>
    <t>HCSCM-25</t>
  </si>
  <si>
    <t>2021-04-14</t>
  </si>
  <si>
    <t>2021-04-16</t>
  </si>
  <si>
    <t>HCSCM-26</t>
  </si>
  <si>
    <t>2624238</t>
  </si>
  <si>
    <t>2023-09-22</t>
  </si>
  <si>
    <t>2023-09-19</t>
  </si>
  <si>
    <t>2023-09-25</t>
  </si>
  <si>
    <t>2023-09-26</t>
  </si>
  <si>
    <t>HCSCM-27</t>
  </si>
  <si>
    <t>2059319</t>
  </si>
  <si>
    <t>2023-08-30</t>
  </si>
  <si>
    <t>2023-08-29</t>
  </si>
  <si>
    <t>HCSCM-28</t>
  </si>
  <si>
    <t>560742</t>
  </si>
  <si>
    <t>2023-06-10</t>
  </si>
  <si>
    <t>2023-06-09</t>
  </si>
  <si>
    <t>2023-06-14</t>
  </si>
  <si>
    <t>HCSCM-29</t>
  </si>
  <si>
    <t>2599036</t>
  </si>
  <si>
    <t>2023-05-06</t>
  </si>
  <si>
    <t>2023-05-05</t>
  </si>
  <si>
    <t>2023-05-07</t>
  </si>
  <si>
    <t>2023-05-12</t>
  </si>
  <si>
    <t>2023-05-25</t>
  </si>
  <si>
    <t>HCSCM-30</t>
  </si>
  <si>
    <t>2575725</t>
  </si>
  <si>
    <t>2023-05-10</t>
  </si>
  <si>
    <t>2023-05-09</t>
  </si>
  <si>
    <t>2023-05-11</t>
  </si>
  <si>
    <t>HCSCM-31</t>
  </si>
  <si>
    <t>2435411</t>
  </si>
  <si>
    <t>2023-02-20</t>
  </si>
  <si>
    <t>2023-02-16</t>
  </si>
  <si>
    <t>2023-02-21</t>
  </si>
  <si>
    <t>HCSCM-32</t>
  </si>
  <si>
    <t>2511968</t>
  </si>
  <si>
    <t>2022-11-07</t>
  </si>
  <si>
    <t>2022-11-02</t>
  </si>
  <si>
    <t>2022-11-18</t>
  </si>
  <si>
    <t>2022-11-21</t>
  </si>
  <si>
    <t>HCSCM-33</t>
  </si>
  <si>
    <t>2075675</t>
  </si>
  <si>
    <t>2023-02-13</t>
  </si>
  <si>
    <t>2023-03-06</t>
  </si>
  <si>
    <t>HCSCM-34</t>
  </si>
  <si>
    <t>2572887</t>
  </si>
  <si>
    <t>2023-01-10</t>
  </si>
  <si>
    <t>2023-01-11</t>
  </si>
  <si>
    <t>HCSCM-35</t>
  </si>
  <si>
    <t>2564063</t>
  </si>
  <si>
    <t>2022-11-04</t>
  </si>
  <si>
    <t>2022-11-05</t>
  </si>
  <si>
    <t>HCSCM-36</t>
  </si>
  <si>
    <t>83631</t>
  </si>
  <si>
    <t>2022-08-09</t>
  </si>
  <si>
    <t>2022-08-10</t>
  </si>
  <si>
    <t>HCSCM-37</t>
  </si>
  <si>
    <t>1467340</t>
  </si>
  <si>
    <t>2021-10-10</t>
  </si>
  <si>
    <t>2021-10-13</t>
  </si>
  <si>
    <t>2021-10-18</t>
  </si>
  <si>
    <t>HCSCM-38</t>
  </si>
  <si>
    <t>704042</t>
  </si>
  <si>
    <t>2021-12-22</t>
  </si>
  <si>
    <t>2021-12-19</t>
  </si>
  <si>
    <t>HCSCM-39</t>
  </si>
  <si>
    <t>489385</t>
  </si>
  <si>
    <t>2021-09-22</t>
  </si>
  <si>
    <t>HCSCM-40</t>
  </si>
  <si>
    <t>717292</t>
  </si>
  <si>
    <t>2022-03-29</t>
  </si>
  <si>
    <t>2022-03-25</t>
  </si>
  <si>
    <t>HCSCM-41</t>
  </si>
  <si>
    <t>2024-12-19</t>
  </si>
  <si>
    <t>2024-12-17</t>
  </si>
  <si>
    <t>2024-12-27</t>
  </si>
  <si>
    <t>2025-01-02</t>
  </si>
  <si>
    <t>HCSCM-42</t>
  </si>
  <si>
    <t>481131</t>
  </si>
  <si>
    <t>2024-12-20</t>
  </si>
  <si>
    <t>2024-12-10</t>
  </si>
  <si>
    <t>HCSCM-43</t>
  </si>
  <si>
    <t>762372</t>
  </si>
  <si>
    <t>2022-02-07</t>
  </si>
  <si>
    <t>2022-02-04</t>
  </si>
  <si>
    <t>2022-02-10</t>
  </si>
  <si>
    <t>HCSCM-44</t>
  </si>
  <si>
    <t>1279866</t>
  </si>
  <si>
    <t>2022-01-24</t>
  </si>
  <si>
    <t>2022-01-18</t>
  </si>
  <si>
    <t>HCSCM-45</t>
  </si>
  <si>
    <t>1288296</t>
  </si>
  <si>
    <t>2021-12-28</t>
  </si>
  <si>
    <t>2021-12-29</t>
  </si>
  <si>
    <t>2022-01-03</t>
  </si>
  <si>
    <t>2022-02-16</t>
  </si>
  <si>
    <t>HCSCM-46</t>
  </si>
  <si>
    <t>2498702</t>
  </si>
  <si>
    <t>2021-12-12</t>
  </si>
  <si>
    <t>2021-12-11</t>
  </si>
  <si>
    <t>2021-12-16</t>
  </si>
  <si>
    <t>HCSCM-47</t>
  </si>
  <si>
    <t>261969</t>
  </si>
  <si>
    <t>HCSCM-48</t>
  </si>
  <si>
    <t>2021-10-02</t>
  </si>
  <si>
    <t>2021-10-04</t>
  </si>
  <si>
    <t>HCSCM-49</t>
  </si>
  <si>
    <t>1983667</t>
  </si>
  <si>
    <t>2021-12-15</t>
  </si>
  <si>
    <t>HCSCM-50</t>
  </si>
  <si>
    <t>165368</t>
  </si>
  <si>
    <t>2021-11-07</t>
  </si>
  <si>
    <t>2021-11-10</t>
  </si>
  <si>
    <t>2021-11-23</t>
  </si>
  <si>
    <t>HCUVA-1</t>
  </si>
  <si>
    <t>HGTPB-1</t>
  </si>
  <si>
    <t>1000</t>
  </si>
  <si>
    <t>2024-02-16</t>
  </si>
  <si>
    <t>2024-02-14</t>
  </si>
  <si>
    <t>2024-02-23</t>
  </si>
  <si>
    <t>2024-03-05</t>
  </si>
  <si>
    <t>HGTPB-2</t>
  </si>
  <si>
    <t>1001</t>
  </si>
  <si>
    <t>2023-12-21</t>
  </si>
  <si>
    <t>2023-12-22</t>
  </si>
  <si>
    <t>HGTPB-3</t>
  </si>
  <si>
    <t>1003</t>
  </si>
  <si>
    <t>2023-10-27</t>
  </si>
  <si>
    <t>2023-10-31</t>
  </si>
  <si>
    <t>HGTPB-4</t>
  </si>
  <si>
    <t>15521132</t>
  </si>
  <si>
    <t>2023-05-03</t>
  </si>
  <si>
    <t>2024-08-03</t>
  </si>
  <si>
    <t>HGTPB-5</t>
  </si>
  <si>
    <t>19801477</t>
  </si>
  <si>
    <t>2023-08-31</t>
  </si>
  <si>
    <t>2023-08-10</t>
  </si>
  <si>
    <t>2023-09-06</t>
  </si>
  <si>
    <t>HGTPB-6</t>
  </si>
  <si>
    <t>21246909</t>
  </si>
  <si>
    <t>2023-07-27</t>
  </si>
  <si>
    <t>2023-07-09</t>
  </si>
  <si>
    <t>2023-08-04</t>
  </si>
  <si>
    <t>HGTPB-7</t>
  </si>
  <si>
    <t>20600121</t>
  </si>
  <si>
    <t>2023-05-08</t>
  </si>
  <si>
    <t>HGTPB-8</t>
  </si>
  <si>
    <t>14869633</t>
  </si>
  <si>
    <t>2024-03-23</t>
  </si>
  <si>
    <t>2023-03-21</t>
  </si>
  <si>
    <t>2023-03-23</t>
  </si>
  <si>
    <t>2023-04-03</t>
  </si>
  <si>
    <t>HGTPB-9</t>
  </si>
  <si>
    <t>11411429</t>
  </si>
  <si>
    <t>2023-03-07</t>
  </si>
  <si>
    <t>2023-03-29</t>
  </si>
  <si>
    <t>HGTPB-10</t>
  </si>
  <si>
    <t>13100376</t>
  </si>
  <si>
    <t>2023-03-09</t>
  </si>
  <si>
    <t>2023-03-13</t>
  </si>
  <si>
    <t>2023-03-22</t>
  </si>
  <si>
    <t>HGTPB-11</t>
  </si>
  <si>
    <t>591857</t>
  </si>
  <si>
    <t>2022-12-29</t>
  </si>
  <si>
    <t>2023-01-12</t>
  </si>
  <si>
    <t>HGTPB-12</t>
  </si>
  <si>
    <t>18883658</t>
  </si>
  <si>
    <t>2022-12-25</t>
  </si>
  <si>
    <t>2023-01-02</t>
  </si>
  <si>
    <t>2023-01-04</t>
  </si>
  <si>
    <t>HGTPB-13</t>
  </si>
  <si>
    <t>10248043</t>
  </si>
  <si>
    <t>2024-03-28</t>
  </si>
  <si>
    <t>2024-03-12</t>
  </si>
  <si>
    <t>2024-03-18</t>
  </si>
  <si>
    <t>HGTPB-14</t>
  </si>
  <si>
    <t>141907</t>
  </si>
  <si>
    <t>2022-03-09</t>
  </si>
  <si>
    <t>2022-02-24</t>
  </si>
  <si>
    <t>HGTPB-15</t>
  </si>
  <si>
    <t>14883570</t>
  </si>
  <si>
    <t>2022-10-28</t>
  </si>
  <si>
    <t>2022-10-26</t>
  </si>
  <si>
    <t>2022-11-09</t>
  </si>
  <si>
    <t>2022-11-10</t>
  </si>
  <si>
    <t>2022-11-22</t>
  </si>
  <si>
    <t>HGTPB-16</t>
  </si>
  <si>
    <t>10659957</t>
  </si>
  <si>
    <t>2022-02-18</t>
  </si>
  <si>
    <t>2022-02-14</t>
  </si>
  <si>
    <t>HGTPB-17</t>
  </si>
  <si>
    <t>568081</t>
  </si>
  <si>
    <t>2022-02-22</t>
  </si>
  <si>
    <t>2022-01-23</t>
  </si>
  <si>
    <t>2022-03-16</t>
  </si>
  <si>
    <t>HGTPB-18</t>
  </si>
  <si>
    <t>19972629</t>
  </si>
  <si>
    <t>2021-12-03</t>
  </si>
  <si>
    <t>2021-11-29</t>
  </si>
  <si>
    <t>2021-12-09</t>
  </si>
  <si>
    <t>2021-12-13</t>
  </si>
  <si>
    <t>HGTPB-19</t>
  </si>
  <si>
    <t>2021-08-03</t>
  </si>
  <si>
    <t>2021-07-30</t>
  </si>
  <si>
    <t>2021-08-11</t>
  </si>
  <si>
    <t>HGTPB-20</t>
  </si>
  <si>
    <t>15953358</t>
  </si>
  <si>
    <t>2021-10-01</t>
  </si>
  <si>
    <t>2021-09-28</t>
  </si>
  <si>
    <t>2021-09-29</t>
  </si>
  <si>
    <t>HGTPB-21</t>
  </si>
  <si>
    <t>607886</t>
  </si>
  <si>
    <t>2021-08-26</t>
  </si>
  <si>
    <t>2021-08-24</t>
  </si>
  <si>
    <t>HGTPB-22</t>
  </si>
  <si>
    <t>567218</t>
  </si>
  <si>
    <t>2024-04-30</t>
  </si>
  <si>
    <t>2024-05-02</t>
  </si>
  <si>
    <t>2024-05-03</t>
  </si>
  <si>
    <t>HGTPB-23</t>
  </si>
  <si>
    <t>15188846</t>
  </si>
  <si>
    <t>2022-10-20</t>
  </si>
  <si>
    <t>2022-10-18</t>
  </si>
  <si>
    <t>HGTPB-24</t>
  </si>
  <si>
    <t>2022-11-12</t>
  </si>
  <si>
    <t>2022-11-15</t>
  </si>
  <si>
    <t>2022-11-13</t>
  </si>
  <si>
    <t>2022-11-23</t>
  </si>
  <si>
    <t>2022-11-28</t>
  </si>
  <si>
    <t>HGTPB-25</t>
  </si>
  <si>
    <t>330039</t>
  </si>
  <si>
    <t>2022-11-25</t>
  </si>
  <si>
    <t>HGTPB-26</t>
  </si>
  <si>
    <t>2022-12-05</t>
  </si>
  <si>
    <t>2022-12-19</t>
  </si>
  <si>
    <t>HGTPB-27</t>
  </si>
  <si>
    <t>2022-12-21</t>
  </si>
  <si>
    <t>2022-12-30</t>
  </si>
  <si>
    <t>HGTPB-28</t>
  </si>
  <si>
    <t>2023-02-11</t>
  </si>
  <si>
    <t>HGTPB-29</t>
  </si>
  <si>
    <t>2023-05-19</t>
  </si>
  <si>
    <t>2023-05-16</t>
  </si>
  <si>
    <t>HGTPB-30</t>
  </si>
  <si>
    <t>2023-06-29</t>
  </si>
  <si>
    <t>2023-06-15</t>
  </si>
  <si>
    <t>HGTPB-31</t>
  </si>
  <si>
    <t>HGTPB-31_REVISADO</t>
  </si>
  <si>
    <t>2023-12-03</t>
  </si>
  <si>
    <t>HGTPB-32</t>
  </si>
  <si>
    <t>HGTPB-32_REVISADO</t>
  </si>
  <si>
    <t>2023-12-15</t>
  </si>
  <si>
    <t>2023-12-19</t>
  </si>
  <si>
    <t>2023-12-23</t>
  </si>
  <si>
    <t>2024-02-09</t>
  </si>
  <si>
    <t>HGTPB-33</t>
  </si>
  <si>
    <t>HGTPB-33_REVISADO</t>
  </si>
  <si>
    <t>2024-03-26</t>
  </si>
  <si>
    <t>2024-03-19</t>
  </si>
  <si>
    <t>HGTPB-34</t>
  </si>
  <si>
    <t>10852546</t>
  </si>
  <si>
    <t>2024-05-17</t>
  </si>
  <si>
    <t>2024-05-16</t>
  </si>
  <si>
    <t>HGTPB-35</t>
  </si>
  <si>
    <t>2024-05-23</t>
  </si>
  <si>
    <t>2024-05-20</t>
  </si>
  <si>
    <t>HGTPB-36</t>
  </si>
  <si>
    <t>2023-02-28</t>
  </si>
  <si>
    <t>2023-02-15</t>
  </si>
  <si>
    <t>2023-03-01</t>
  </si>
  <si>
    <t>HGTPB-37</t>
  </si>
  <si>
    <t>2022-11-14</t>
  </si>
  <si>
    <t>HGTPB-38</t>
  </si>
  <si>
    <t>2024-06-18</t>
  </si>
  <si>
    <t>2024-06-17</t>
  </si>
  <si>
    <t>2024-06-20</t>
  </si>
  <si>
    <t>2024-07-15</t>
  </si>
  <si>
    <t>HGTPB-39</t>
  </si>
  <si>
    <t>2024-07-09</t>
  </si>
  <si>
    <t>2024-07-08</t>
  </si>
  <si>
    <t>2024-07-10</t>
  </si>
  <si>
    <t>2024-07-12</t>
  </si>
  <si>
    <t>HGTPB-40</t>
  </si>
  <si>
    <t>2024-07-29</t>
  </si>
  <si>
    <t>2024-07-23</t>
  </si>
  <si>
    <t>HGTPB-41</t>
  </si>
  <si>
    <t>2024-08-05</t>
  </si>
  <si>
    <t>2024-09-17</t>
  </si>
  <si>
    <t>HGTPB-42</t>
  </si>
  <si>
    <t>2024-08-26</t>
  </si>
  <si>
    <t>2024-08-20</t>
  </si>
  <si>
    <t>2024-08-23</t>
  </si>
  <si>
    <t>HGTPB-43</t>
  </si>
  <si>
    <t>2024-08-08</t>
  </si>
  <si>
    <t>2024-08-14</t>
  </si>
  <si>
    <t>HGTPB-44</t>
  </si>
  <si>
    <t>2024-09-25</t>
  </si>
  <si>
    <t>2024-09-08</t>
  </si>
  <si>
    <t>HGTPB-45</t>
  </si>
  <si>
    <t>2024-12-05</t>
  </si>
  <si>
    <t>2024-11-20</t>
  </si>
  <si>
    <t>2024-12-09</t>
  </si>
  <si>
    <t>HGTPB-46</t>
  </si>
  <si>
    <t>570696</t>
  </si>
  <si>
    <t>2024-12-29</t>
  </si>
  <si>
    <t>HGTPB-47</t>
  </si>
  <si>
    <t>2025-03-14</t>
  </si>
  <si>
    <t>2025-03-10</t>
  </si>
  <si>
    <t>2025-03-17</t>
  </si>
  <si>
    <t>HGTPB-48</t>
  </si>
  <si>
    <t>2025-02-17</t>
  </si>
  <si>
    <t>2025-02-25</t>
  </si>
  <si>
    <t>HGTPB-49</t>
  </si>
  <si>
    <t>2025-02-21</t>
  </si>
  <si>
    <t>2025-02-28</t>
  </si>
  <si>
    <t>HGTPB-50</t>
  </si>
  <si>
    <t>2025-01-29</t>
  </si>
  <si>
    <t>2025-01-17</t>
  </si>
  <si>
    <t>2025-02-07</t>
  </si>
  <si>
    <t>HULAL-1</t>
  </si>
  <si>
    <t>2458671</t>
  </si>
  <si>
    <t>2020-12-02</t>
  </si>
  <si>
    <t>2020-12-03</t>
  </si>
  <si>
    <t>HULAL-2</t>
  </si>
  <si>
    <t>2159300</t>
  </si>
  <si>
    <t>2021-01-22</t>
  </si>
  <si>
    <t>2021-01-28</t>
  </si>
  <si>
    <t>HULAL-3</t>
  </si>
  <si>
    <t>2740919</t>
  </si>
  <si>
    <t>2024-05-28</t>
  </si>
  <si>
    <t>2024-05-29</t>
  </si>
  <si>
    <t>2024-05-27</t>
  </si>
  <si>
    <t>2024-06-07</t>
  </si>
  <si>
    <t>HULAL-4</t>
  </si>
  <si>
    <t>2702175</t>
  </si>
  <si>
    <t>2024-06-19</t>
  </si>
  <si>
    <t>2024-06-28</t>
  </si>
  <si>
    <t>HULAL-5</t>
  </si>
  <si>
    <t>2228902</t>
  </si>
  <si>
    <t>2024-06-03</t>
  </si>
  <si>
    <t>HULAL-6</t>
  </si>
  <si>
    <t>2488582</t>
  </si>
  <si>
    <t>2024-05-24</t>
  </si>
  <si>
    <t>HULAL-7</t>
  </si>
  <si>
    <t>2096816</t>
  </si>
  <si>
    <t>2024-04-03</t>
  </si>
  <si>
    <t>2024-04-10</t>
  </si>
  <si>
    <t>HULAL-8</t>
  </si>
  <si>
    <t>2427767</t>
  </si>
  <si>
    <t>2024-03-11</t>
  </si>
  <si>
    <t>2024-03-09</t>
  </si>
  <si>
    <t>2024-03-13</t>
  </si>
  <si>
    <t>2024-04-15</t>
  </si>
  <si>
    <t>HULAL-9</t>
  </si>
  <si>
    <t>2107639</t>
  </si>
  <si>
    <t>2023-11-07</t>
  </si>
  <si>
    <t>2023-10-30</t>
  </si>
  <si>
    <t>2023-12-26</t>
  </si>
  <si>
    <t>HULAL-10</t>
  </si>
  <si>
    <t>2243457</t>
  </si>
  <si>
    <t>2023-07-11</t>
  </si>
  <si>
    <t>2023-07-10</t>
  </si>
  <si>
    <t>2023-07-12</t>
  </si>
  <si>
    <t>HULAL-11</t>
  </si>
  <si>
    <t>2183094</t>
  </si>
  <si>
    <t>2023-07-06</t>
  </si>
  <si>
    <t>2023-06-24</t>
  </si>
  <si>
    <t>HULAL-12</t>
  </si>
  <si>
    <t>2288670</t>
  </si>
  <si>
    <t>2022-05-06</t>
  </si>
  <si>
    <t>2022-05-04</t>
  </si>
  <si>
    <t>2022-05-12</t>
  </si>
  <si>
    <t>HULAL-13</t>
  </si>
  <si>
    <t>2357806</t>
  </si>
  <si>
    <t>2022-02-27</t>
  </si>
  <si>
    <t>2022-03-15</t>
  </si>
  <si>
    <t>2022-03-20</t>
  </si>
  <si>
    <t>HULAL-14</t>
  </si>
  <si>
    <t>2216498</t>
  </si>
  <si>
    <t>2021-12-01</t>
  </si>
  <si>
    <t>2021-12-07</t>
  </si>
  <si>
    <t>HULAL-15</t>
  </si>
  <si>
    <t>2290594</t>
  </si>
  <si>
    <t>2021-11-30</t>
  </si>
  <si>
    <t>HULAL-16</t>
  </si>
  <si>
    <t>2233210</t>
  </si>
  <si>
    <t>2021-11-22</t>
  </si>
  <si>
    <t>HULAL-17</t>
  </si>
  <si>
    <t>2246482</t>
  </si>
  <si>
    <t>2021-10-06</t>
  </si>
  <si>
    <t>2021-09-15</t>
  </si>
  <si>
    <t>HULAL-18</t>
  </si>
  <si>
    <t>2064940</t>
  </si>
  <si>
    <t>2021-07-07</t>
  </si>
  <si>
    <t>2021-07-10</t>
  </si>
  <si>
    <t>2021-07-08</t>
  </si>
  <si>
    <t>2021-07-13</t>
  </si>
  <si>
    <t>HULAL-19</t>
  </si>
  <si>
    <t>2029578</t>
  </si>
  <si>
    <t>2021-05-03</t>
  </si>
  <si>
    <t>2021-04-17</t>
  </si>
  <si>
    <t>2021-05-18</t>
  </si>
  <si>
    <t>HULAL-20</t>
  </si>
  <si>
    <t>2049922</t>
  </si>
  <si>
    <t>2021-03-31</t>
  </si>
  <si>
    <t>2021-03-23</t>
  </si>
  <si>
    <t>2021-04-03</t>
  </si>
  <si>
    <t>HULAL-21</t>
  </si>
  <si>
    <t>2289489</t>
  </si>
  <si>
    <t>2021-02-23</t>
  </si>
  <si>
    <t>2021-03-02</t>
  </si>
  <si>
    <t>HULAL-22</t>
  </si>
  <si>
    <t>2359559</t>
  </si>
  <si>
    <t>2024-07-11</t>
  </si>
  <si>
    <t>2024-07-02</t>
  </si>
  <si>
    <t>HULAL-23</t>
  </si>
  <si>
    <t>2486399</t>
  </si>
  <si>
    <t>2020-11-15</t>
  </si>
  <si>
    <t>2020-11-27</t>
  </si>
  <si>
    <t>2020-11-16</t>
  </si>
  <si>
    <t>2020-12-14</t>
  </si>
  <si>
    <t>HULAL-24</t>
  </si>
  <si>
    <t>2174585</t>
  </si>
  <si>
    <t>2021-07-23</t>
  </si>
  <si>
    <t>HULAL-25</t>
  </si>
  <si>
    <t>2625910</t>
  </si>
  <si>
    <t>2021-07-22</t>
  </si>
  <si>
    <t>2021-08-01</t>
  </si>
  <si>
    <t>HULAL-26</t>
  </si>
  <si>
    <t>2262005</t>
  </si>
  <si>
    <t>HULAL-27</t>
  </si>
  <si>
    <t>2008977</t>
  </si>
  <si>
    <t>2022-05-20</t>
  </si>
  <si>
    <t>2020-05-22</t>
  </si>
  <si>
    <t>2020-05-20</t>
  </si>
  <si>
    <t>2020-06-04</t>
  </si>
  <si>
    <t>HULAL-28</t>
  </si>
  <si>
    <t>2396753</t>
  </si>
  <si>
    <t>2018-01-13</t>
  </si>
  <si>
    <t>2018-01-09</t>
  </si>
  <si>
    <t>2018-01-16</t>
  </si>
  <si>
    <t>2018-01-18</t>
  </si>
  <si>
    <t>HULAL-29</t>
  </si>
  <si>
    <t>2314368</t>
  </si>
  <si>
    <t>2020-03-25</t>
  </si>
  <si>
    <t>2020-03-23</t>
  </si>
  <si>
    <t>2020-03-26</t>
  </si>
  <si>
    <t>2020-04-04</t>
  </si>
  <si>
    <t>HULAL-30</t>
  </si>
  <si>
    <t>HULAL30IDModify</t>
  </si>
  <si>
    <t>2020-06-30</t>
  </si>
  <si>
    <t>2020-06-19</t>
  </si>
  <si>
    <t>2020-07-09</t>
  </si>
  <si>
    <t>2020-07-10</t>
  </si>
  <si>
    <t>HULAL-31</t>
  </si>
  <si>
    <t>2279866</t>
  </si>
  <si>
    <t>2023-06-30</t>
  </si>
  <si>
    <t>2023-06-26</t>
  </si>
  <si>
    <t>2023-07-03</t>
  </si>
  <si>
    <t>2023-07-04</t>
  </si>
  <si>
    <t>HULAL-32</t>
  </si>
  <si>
    <t>2410587</t>
  </si>
  <si>
    <t>2022-06-08</t>
  </si>
  <si>
    <t>2023-02-09</t>
  </si>
  <si>
    <t>HULAL-33</t>
  </si>
  <si>
    <t>2607295</t>
  </si>
  <si>
    <t>2022-11-17</t>
  </si>
  <si>
    <t>2022-11-29</t>
  </si>
  <si>
    <t>HULAL-34</t>
  </si>
  <si>
    <t>2344333</t>
  </si>
  <si>
    <t>2016-06-13</t>
  </si>
  <si>
    <t>2016-06-09</t>
  </si>
  <si>
    <t>HULAL-35</t>
  </si>
  <si>
    <t>HULAL-36</t>
  </si>
  <si>
    <t>2114679</t>
  </si>
  <si>
    <t>2017-11-27</t>
  </si>
  <si>
    <t>2017-12-07</t>
  </si>
  <si>
    <t>2017-11-29</t>
  </si>
  <si>
    <t>2017-12-11</t>
  </si>
  <si>
    <t>HULAL-37</t>
  </si>
  <si>
    <t>2102218</t>
  </si>
  <si>
    <t>2020-06-08</t>
  </si>
  <si>
    <t>2020-06-07</t>
  </si>
  <si>
    <t>2020-06-09</t>
  </si>
  <si>
    <t>HULAL-38</t>
  </si>
  <si>
    <t>2123606</t>
  </si>
  <si>
    <t>2020-06-03</t>
  </si>
  <si>
    <t>2020-05-30</t>
  </si>
  <si>
    <t>2020-06-05</t>
  </si>
  <si>
    <t>2020-06-20</t>
  </si>
  <si>
    <t>HULAL-39</t>
  </si>
  <si>
    <t>2528912</t>
  </si>
  <si>
    <t>2020-04-14</t>
  </si>
  <si>
    <t>2020-04-02</t>
  </si>
  <si>
    <t>HULAL-40</t>
  </si>
  <si>
    <t>2088688</t>
  </si>
  <si>
    <t>2024-06-12</t>
  </si>
  <si>
    <t>2024-07-18</t>
  </si>
  <si>
    <t>2024-07-26</t>
  </si>
  <si>
    <t>2024-08-25</t>
  </si>
  <si>
    <t>HULAL-41</t>
  </si>
  <si>
    <t>2731223</t>
  </si>
  <si>
    <t>2024-08-01</t>
  </si>
  <si>
    <t>2024-07-30</t>
  </si>
  <si>
    <t>2024-08-12</t>
  </si>
  <si>
    <t>2024-10-08</t>
  </si>
  <si>
    <t>HULAL-42</t>
  </si>
  <si>
    <t>2673186</t>
  </si>
  <si>
    <t>HULAL-43</t>
  </si>
  <si>
    <t>2273853</t>
  </si>
  <si>
    <t>HULAL-44</t>
  </si>
  <si>
    <t>2182871</t>
  </si>
  <si>
    <t>2024-10-21</t>
  </si>
  <si>
    <t>2024-10-11</t>
  </si>
  <si>
    <t>2024-11-18</t>
  </si>
  <si>
    <t>2024-11-28</t>
  </si>
  <si>
    <t>HULAL-45</t>
  </si>
  <si>
    <t>2119377</t>
  </si>
  <si>
    <t>2024-12-13</t>
  </si>
  <si>
    <t>HULAL-46</t>
  </si>
  <si>
    <t>2230647</t>
  </si>
  <si>
    <t>2024-12-14</t>
  </si>
  <si>
    <t>2024-12-16</t>
  </si>
  <si>
    <t>2025-01-19</t>
  </si>
  <si>
    <t>HULAL-47</t>
  </si>
  <si>
    <t>HULAL-48</t>
  </si>
  <si>
    <t>2321995</t>
  </si>
  <si>
    <t>2025-02-12</t>
  </si>
  <si>
    <t>2025-02-08</t>
  </si>
  <si>
    <t>2025-02-13</t>
  </si>
  <si>
    <t>HULAL-49</t>
  </si>
  <si>
    <t>2053180</t>
  </si>
  <si>
    <t>2025-02-06</t>
  </si>
  <si>
    <t>2025-01-11</t>
  </si>
  <si>
    <t>2025-03-07</t>
  </si>
  <si>
    <t>HULAL-50</t>
  </si>
  <si>
    <t>2168436</t>
  </si>
  <si>
    <t>2025-03-03</t>
  </si>
  <si>
    <t>2025-01-31</t>
  </si>
  <si>
    <t>HULAL-51</t>
  </si>
  <si>
    <t>2765503</t>
  </si>
  <si>
    <t>2024-04-11</t>
  </si>
  <si>
    <t>2025-04-08</t>
  </si>
  <si>
    <t>2025-04-11</t>
  </si>
  <si>
    <t>HULAL-52</t>
  </si>
  <si>
    <t>2025-04-23</t>
  </si>
  <si>
    <t>2025-02-11</t>
  </si>
  <si>
    <t>HULAL-53</t>
  </si>
  <si>
    <t>HULAL-54</t>
  </si>
  <si>
    <t>2025-07-03</t>
  </si>
  <si>
    <t>2025-06-26</t>
  </si>
  <si>
    <t>HULAL-55</t>
  </si>
  <si>
    <t>2025-07-02</t>
  </si>
  <si>
    <t>2025-06-25</t>
  </si>
  <si>
    <t>2025-07-09</t>
  </si>
  <si>
    <t>HULAL-56</t>
  </si>
  <si>
    <t>2025-07-01</t>
  </si>
  <si>
    <t>2025-06-17</t>
  </si>
  <si>
    <t>HULAL-57</t>
  </si>
  <si>
    <t>HULAL-58</t>
  </si>
  <si>
    <t>2025-06-19</t>
  </si>
  <si>
    <t>HULAL-59</t>
  </si>
  <si>
    <t>2025-06-09</t>
  </si>
  <si>
    <t>HULAL-60</t>
  </si>
  <si>
    <t>2025-06-18</t>
  </si>
  <si>
    <t>2025-06-07</t>
  </si>
  <si>
    <t>HULAL-61</t>
  </si>
  <si>
    <t>2025-06-06</t>
  </si>
  <si>
    <t>HULAL-62</t>
  </si>
  <si>
    <t>2025-05-28</t>
  </si>
  <si>
    <t>2025-05-27</t>
  </si>
  <si>
    <t>2025-06-02</t>
  </si>
  <si>
    <t>HULAL-63</t>
  </si>
  <si>
    <t>2025-07-07</t>
  </si>
  <si>
    <t>2025-07-11</t>
  </si>
  <si>
    <t>2025-07-08</t>
  </si>
  <si>
    <t>HULAL-64</t>
  </si>
  <si>
    <t>2025-07-17</t>
  </si>
  <si>
    <t>HULAL-65</t>
  </si>
  <si>
    <t>2025-06-24</t>
  </si>
  <si>
    <t>2025-05-20</t>
  </si>
  <si>
    <t>HULFV-1</t>
  </si>
  <si>
    <t>HULFV-2</t>
  </si>
  <si>
    <t>2024-02-03</t>
  </si>
  <si>
    <t>HULFV-3</t>
  </si>
  <si>
    <t>1994059</t>
  </si>
  <si>
    <t>2023-07-24</t>
  </si>
  <si>
    <t>2023-07-25</t>
  </si>
  <si>
    <t>HULFV-4</t>
  </si>
  <si>
    <t>2298922</t>
  </si>
  <si>
    <t>2023-04-11</t>
  </si>
  <si>
    <t>2023-03-28</t>
  </si>
  <si>
    <t>HULFV-5</t>
  </si>
  <si>
    <t>2288822</t>
  </si>
  <si>
    <t>2022-03-31</t>
  </si>
  <si>
    <t>HULFV-6</t>
  </si>
  <si>
    <t>2023-09-15</t>
  </si>
  <si>
    <t>HULFV-7</t>
  </si>
  <si>
    <t>2184812</t>
  </si>
  <si>
    <t>2023-04-04</t>
  </si>
  <si>
    <t>2023-04-05</t>
  </si>
  <si>
    <t>2024-04-04</t>
  </si>
  <si>
    <t>2023-05-24</t>
  </si>
  <si>
    <t>HULFV-8</t>
  </si>
  <si>
    <t>27187817</t>
  </si>
  <si>
    <t>2022-07-10</t>
  </si>
  <si>
    <t>2022-07-07</t>
  </si>
  <si>
    <t>2022-07-25</t>
  </si>
  <si>
    <t>2022-07-27</t>
  </si>
  <si>
    <t>2022-07-28</t>
  </si>
  <si>
    <t>HULFV-9</t>
  </si>
  <si>
    <t>3101013</t>
  </si>
  <si>
    <t>2022-07-20</t>
  </si>
  <si>
    <t>2022-07-14</t>
  </si>
  <si>
    <t>2022-08-03</t>
  </si>
  <si>
    <t>2022-08-17</t>
  </si>
  <si>
    <t>HULFV-10</t>
  </si>
  <si>
    <t>3299923</t>
  </si>
  <si>
    <t>2021-03-03</t>
  </si>
  <si>
    <t>2021-02-17</t>
  </si>
  <si>
    <t>2021-03-08</t>
  </si>
  <si>
    <t>HULFV-11</t>
  </si>
  <si>
    <t>3100013</t>
  </si>
  <si>
    <t>2021-11-12</t>
  </si>
  <si>
    <t>2021-11-15</t>
  </si>
  <si>
    <t>2021-11-17</t>
  </si>
  <si>
    <t>HULFV-12</t>
  </si>
  <si>
    <t>19480722647</t>
  </si>
  <si>
    <t>2021-12-21</t>
  </si>
  <si>
    <t>2021-12-20</t>
  </si>
  <si>
    <t>2021-12-23</t>
  </si>
  <si>
    <t>HULFV-13</t>
  </si>
  <si>
    <t>19710823660</t>
  </si>
  <si>
    <t>2021-11-27</t>
  </si>
  <si>
    <t>HULFV-14</t>
  </si>
  <si>
    <t>19531219115</t>
  </si>
  <si>
    <t>2021-09-20</t>
  </si>
  <si>
    <t>2021-08-28</t>
  </si>
  <si>
    <t>HULFV-15</t>
  </si>
  <si>
    <t>19550823854</t>
  </si>
  <si>
    <t>2021-05-20</t>
  </si>
  <si>
    <t>2021-05-17</t>
  </si>
  <si>
    <t>2022-05-22</t>
  </si>
  <si>
    <t>HULFV-16</t>
  </si>
  <si>
    <t>19670725985</t>
  </si>
  <si>
    <t>2021-11-18</t>
  </si>
  <si>
    <t>2021-11-11</t>
  </si>
  <si>
    <t>2021-11-19</t>
  </si>
  <si>
    <t>HULFV-17</t>
  </si>
  <si>
    <t>19460827885</t>
  </si>
  <si>
    <t>2021-03-28</t>
  </si>
  <si>
    <t>2021-04-04</t>
  </si>
  <si>
    <t>2021-04-02</t>
  </si>
  <si>
    <t>HUPHM-1</t>
  </si>
  <si>
    <t>1354354214</t>
  </si>
  <si>
    <t>2019-07-16</t>
  </si>
  <si>
    <t>2019-07-17</t>
  </si>
  <si>
    <t>2019-07-18</t>
  </si>
  <si>
    <t>HUPHM-2</t>
  </si>
  <si>
    <t>1096714736</t>
  </si>
  <si>
    <t>2019-08-08</t>
  </si>
  <si>
    <t>HUPHM-3</t>
  </si>
  <si>
    <t>1531305452</t>
  </si>
  <si>
    <t>2019-09-09</t>
  </si>
  <si>
    <t>2019-09-08</t>
  </si>
  <si>
    <t>2019-09-12</t>
  </si>
  <si>
    <t>2019-09-15</t>
  </si>
  <si>
    <t>HUPHM-4</t>
  </si>
  <si>
    <t>1317770056</t>
  </si>
  <si>
    <t>2019-09-03</t>
  </si>
  <si>
    <t>2019-10-08</t>
  </si>
  <si>
    <t>2019-10-03</t>
  </si>
  <si>
    <t>2019-10-21</t>
  </si>
  <si>
    <t>HUPHM-5</t>
  </si>
  <si>
    <t>1612054518</t>
  </si>
  <si>
    <t>2019-12-14</t>
  </si>
  <si>
    <t>2019-12-16</t>
  </si>
  <si>
    <t>2019-12-18</t>
  </si>
  <si>
    <t>2019-12-20</t>
  </si>
  <si>
    <t>HUPHM-6</t>
  </si>
  <si>
    <t>1110296554</t>
  </si>
  <si>
    <t>2020-01-07</t>
  </si>
  <si>
    <t>2020-01-09</t>
  </si>
  <si>
    <t>2020-01-24</t>
  </si>
  <si>
    <t>HUPHM-7</t>
  </si>
  <si>
    <t>3389194</t>
  </si>
  <si>
    <t>2020-01-29</t>
  </si>
  <si>
    <t>2020-01-28</t>
  </si>
  <si>
    <t>2020-02-11</t>
  </si>
  <si>
    <t>2020-03-03</t>
  </si>
  <si>
    <t>HUPHM-8</t>
  </si>
  <si>
    <t>1553799146</t>
  </si>
  <si>
    <t>2020-03-02</t>
  </si>
  <si>
    <t>2020-02-25</t>
  </si>
  <si>
    <t>HUPHM-9</t>
  </si>
  <si>
    <t>1531867547</t>
  </si>
  <si>
    <t>2020-04-29</t>
  </si>
  <si>
    <t>2020-04-30</t>
  </si>
  <si>
    <t>HUPHM-10</t>
  </si>
  <si>
    <t>1316287269</t>
  </si>
  <si>
    <t>2020-06-24</t>
  </si>
  <si>
    <t>2020-06-21</t>
  </si>
  <si>
    <t>2020-06-26</t>
  </si>
  <si>
    <t>HUPHM-11</t>
  </si>
  <si>
    <t>1553400941</t>
  </si>
  <si>
    <t>2020-07-16</t>
  </si>
  <si>
    <t>2020-07-14</t>
  </si>
  <si>
    <t>HUPHM-12</t>
  </si>
  <si>
    <t>1597028107</t>
  </si>
  <si>
    <t>2020-08-25</t>
  </si>
  <si>
    <t>HUPHM-13</t>
  </si>
  <si>
    <t>1447021445</t>
  </si>
  <si>
    <t>2020-08-28</t>
  </si>
  <si>
    <t>HUPHM-14</t>
  </si>
  <si>
    <t>1167554139</t>
  </si>
  <si>
    <t>2020-09-28</t>
  </si>
  <si>
    <t>HUPHM-15</t>
  </si>
  <si>
    <t>5067841</t>
  </si>
  <si>
    <t>2020-02-22</t>
  </si>
  <si>
    <t>2021-03-17</t>
  </si>
  <si>
    <t>HUPHM-16</t>
  </si>
  <si>
    <t>1374092603</t>
  </si>
  <si>
    <t>2021-02-09</t>
  </si>
  <si>
    <t>2021-02-12</t>
  </si>
  <si>
    <t>2021-02-15</t>
  </si>
  <si>
    <t>HUPHM-17</t>
  </si>
  <si>
    <t>878538</t>
  </si>
  <si>
    <t>2021-06-10</t>
  </si>
  <si>
    <t>HUPHM-18</t>
  </si>
  <si>
    <t>5436085</t>
  </si>
  <si>
    <t>HUPHM-19</t>
  </si>
  <si>
    <t>1145968508</t>
  </si>
  <si>
    <t>HUPHM-20</t>
  </si>
  <si>
    <t>1553251195</t>
  </si>
  <si>
    <t>2021-05-19</t>
  </si>
  <si>
    <t>2021-05-27</t>
  </si>
  <si>
    <t>HUPHM-21</t>
  </si>
  <si>
    <t>1244701976</t>
  </si>
  <si>
    <t>2021-05-07</t>
  </si>
  <si>
    <t>2021-05-06</t>
  </si>
  <si>
    <t>HUPHM-22</t>
  </si>
  <si>
    <t>1491110369</t>
  </si>
  <si>
    <t>2021-06-08</t>
  </si>
  <si>
    <t>2021-06-16</t>
  </si>
  <si>
    <t>2021-06-17</t>
  </si>
  <si>
    <t>HUPHM-23</t>
  </si>
  <si>
    <t>1849532241</t>
  </si>
  <si>
    <t>2021-06-09</t>
  </si>
  <si>
    <t>HUPHM-24</t>
  </si>
  <si>
    <t>1144938688</t>
  </si>
  <si>
    <t>2021-07-05</t>
  </si>
  <si>
    <t>2021-07-04</t>
  </si>
  <si>
    <t>2021-07-20</t>
  </si>
  <si>
    <t>HUPHM-25</t>
  </si>
  <si>
    <t>1513141493</t>
  </si>
  <si>
    <t>2021-10-11</t>
  </si>
  <si>
    <t>2021-10-21</t>
  </si>
  <si>
    <t>HUPHM-26</t>
  </si>
  <si>
    <t>1470913252</t>
  </si>
  <si>
    <t>2021-10-14</t>
  </si>
  <si>
    <t>HUPHM-27</t>
  </si>
  <si>
    <t>1389102240</t>
  </si>
  <si>
    <t>HUPHM-28</t>
  </si>
  <si>
    <t>1576287079</t>
  </si>
  <si>
    <t>2021-10-29</t>
  </si>
  <si>
    <t>2021-11-03</t>
  </si>
  <si>
    <t>HUPHM-29</t>
  </si>
  <si>
    <t>1437929717</t>
  </si>
  <si>
    <t>2021-11-25</t>
  </si>
  <si>
    <t>HUPHM-30</t>
  </si>
  <si>
    <t>1266670759</t>
  </si>
  <si>
    <t>2021-12-17</t>
  </si>
  <si>
    <t>HUPHM-31</t>
  </si>
  <si>
    <t>1784132114</t>
  </si>
  <si>
    <t>HUPHM-32</t>
  </si>
  <si>
    <t>1025819254</t>
  </si>
  <si>
    <t>2022-01-12</t>
  </si>
  <si>
    <t>2022-01-11</t>
  </si>
  <si>
    <t>HUPHM-33</t>
  </si>
  <si>
    <t>2039537457</t>
  </si>
  <si>
    <t>2022-01-31</t>
  </si>
  <si>
    <t>2022-01-30</t>
  </si>
  <si>
    <t>HUPHM-34</t>
  </si>
  <si>
    <t>1553813900</t>
  </si>
  <si>
    <t>2022-02-09</t>
  </si>
  <si>
    <t>2022-02-02</t>
  </si>
  <si>
    <t>HUPHM-35</t>
  </si>
  <si>
    <t>HUPHM_35422</t>
  </si>
  <si>
    <t>2022-05-19</t>
  </si>
  <si>
    <t>2022-05-11</t>
  </si>
  <si>
    <t>HUPHM-36</t>
  </si>
  <si>
    <t>2022-06-01</t>
  </si>
  <si>
    <t>2022-06-02</t>
  </si>
  <si>
    <t>2022-06-11</t>
  </si>
  <si>
    <t>HUPHM-37</t>
  </si>
  <si>
    <t>HUPHM_37333</t>
  </si>
  <si>
    <t>2022-06-13</t>
  </si>
  <si>
    <t>HUPHM-38</t>
  </si>
  <si>
    <t>HUPHM_38434</t>
  </si>
  <si>
    <t>2022-07-01</t>
  </si>
  <si>
    <t>HUPHM-39</t>
  </si>
  <si>
    <t>HUPHM_39493</t>
  </si>
  <si>
    <t>2022-08-22</t>
  </si>
  <si>
    <t>2022-08-26</t>
  </si>
  <si>
    <t>HUPHM-40</t>
  </si>
  <si>
    <t>HUPHM_40404</t>
  </si>
  <si>
    <t>2022-11-11</t>
  </si>
  <si>
    <t>HUPHM-41</t>
  </si>
  <si>
    <t>HUPHM_41421</t>
  </si>
  <si>
    <t>2022-12-01</t>
  </si>
  <si>
    <t>HUPHM-42</t>
  </si>
  <si>
    <t>HUPHM_42221</t>
  </si>
  <si>
    <t>2022-10-14</t>
  </si>
  <si>
    <t>2022-10-03</t>
  </si>
  <si>
    <t>2022-10-19</t>
  </si>
  <si>
    <t>HUPHM-43</t>
  </si>
  <si>
    <t>HUPHM_43321</t>
  </si>
  <si>
    <t>2023-01-20</t>
  </si>
  <si>
    <t>2023-01-18</t>
  </si>
  <si>
    <t>2023-01-27</t>
  </si>
  <si>
    <t>2023-01-31</t>
  </si>
  <si>
    <t>HUPHM-44</t>
  </si>
  <si>
    <t>HUPHM_44121</t>
  </si>
  <si>
    <t>2023-03-17</t>
  </si>
  <si>
    <t>2023-03-24</t>
  </si>
  <si>
    <t>HUPHM-45</t>
  </si>
  <si>
    <t>HUPHM_45525</t>
  </si>
  <si>
    <t>2023-03-30</t>
  </si>
  <si>
    <t>2023-04-20</t>
  </si>
  <si>
    <t>HUPHM-46</t>
  </si>
  <si>
    <t>HUPHM_46265</t>
  </si>
  <si>
    <t>2021-08-02</t>
  </si>
  <si>
    <t>2021-08-10</t>
  </si>
  <si>
    <t>2021-08-04</t>
  </si>
  <si>
    <t>HUPHM-47</t>
  </si>
  <si>
    <t>HUPHM_47167</t>
  </si>
  <si>
    <t>HUPHM-48</t>
  </si>
  <si>
    <t>HUPHM_48228</t>
  </si>
  <si>
    <t>2023-05-18</t>
  </si>
  <si>
    <t>HUPHM-49</t>
  </si>
  <si>
    <t>HUPHM_49119</t>
  </si>
  <si>
    <t>2023-06-20</t>
  </si>
  <si>
    <t>2023-06-18</t>
  </si>
  <si>
    <t>2023-06-19</t>
  </si>
  <si>
    <t>2023-06-23</t>
  </si>
  <si>
    <t>2023-07-07</t>
  </si>
  <si>
    <t>HUPHM-50</t>
  </si>
  <si>
    <t>HUPHM_50055</t>
  </si>
  <si>
    <t>2023-06-08</t>
  </si>
  <si>
    <t>2023-06-22</t>
  </si>
  <si>
    <t>HURSC-1</t>
  </si>
  <si>
    <t>PH 591-45</t>
  </si>
  <si>
    <t>2017-08-15</t>
  </si>
  <si>
    <t>2017-09-20</t>
  </si>
  <si>
    <t>2017-09-19</t>
  </si>
  <si>
    <t>2017-09-27</t>
  </si>
  <si>
    <t>2017-09-28</t>
  </si>
  <si>
    <t>HURSC-2</t>
  </si>
  <si>
    <t>SC 241-8</t>
  </si>
  <si>
    <t>2017-07-22</t>
  </si>
  <si>
    <t>2017-07-06</t>
  </si>
  <si>
    <t>2017-07-31</t>
  </si>
  <si>
    <t>HURSC-3</t>
  </si>
  <si>
    <t>SC 235-8</t>
  </si>
  <si>
    <t>2017-06-19</t>
  </si>
  <si>
    <t>2017-06-15</t>
  </si>
  <si>
    <t>HURSC-4</t>
  </si>
  <si>
    <t>PH 536-1</t>
  </si>
  <si>
    <t>2016-08-30</t>
  </si>
  <si>
    <t>2016-08-29</t>
  </si>
  <si>
    <t>2016-09-05</t>
  </si>
  <si>
    <t>HURSC-5</t>
  </si>
  <si>
    <t>PH 511-8</t>
  </si>
  <si>
    <t>2016-04-25</t>
  </si>
  <si>
    <t>2016-04-28</t>
  </si>
  <si>
    <t>2016-05-03</t>
  </si>
  <si>
    <t>2016-05-05</t>
  </si>
  <si>
    <t>HURSC-6</t>
  </si>
  <si>
    <t>PH 662-64</t>
  </si>
  <si>
    <t>2018-12-13</t>
  </si>
  <si>
    <t>2018-12-10</t>
  </si>
  <si>
    <t>2018-12-20</t>
  </si>
  <si>
    <t>2019-01-10</t>
  </si>
  <si>
    <t>HURSC-7</t>
  </si>
  <si>
    <t>PH 658-56</t>
  </si>
  <si>
    <t>2018-11-20</t>
  </si>
  <si>
    <t>2018-11-21</t>
  </si>
  <si>
    <t>2018-11-30</t>
  </si>
  <si>
    <t>2018-12-09</t>
  </si>
  <si>
    <t>HURSC-8</t>
  </si>
  <si>
    <t>PH 368-49</t>
  </si>
  <si>
    <t>2014-10-09</t>
  </si>
  <si>
    <t>2014-10-10</t>
  </si>
  <si>
    <t>HURSC-9</t>
  </si>
  <si>
    <t>PH 473-17</t>
  </si>
  <si>
    <t>2015-08-03</t>
  </si>
  <si>
    <t>2015-07-26</t>
  </si>
  <si>
    <t>2015-08-11</t>
  </si>
  <si>
    <t>HURSC-10</t>
  </si>
  <si>
    <t>PH 483-2</t>
  </si>
  <si>
    <t>2015-10-11</t>
  </si>
  <si>
    <t>2015-10-19</t>
  </si>
  <si>
    <t>2015-10-06</t>
  </si>
  <si>
    <t>HURSC-11</t>
  </si>
  <si>
    <t>PH 668-30</t>
  </si>
  <si>
    <t>2018-05-24</t>
  </si>
  <si>
    <t>2018-05-29</t>
  </si>
  <si>
    <t>2018-05-25</t>
  </si>
  <si>
    <t>2018-05-31</t>
  </si>
  <si>
    <t>2018-06-04</t>
  </si>
  <si>
    <t>HURSC-12</t>
  </si>
  <si>
    <t>AN0197572833</t>
  </si>
  <si>
    <t>2018-11-16</t>
  </si>
  <si>
    <t>2018-11-18</t>
  </si>
  <si>
    <t>HURSC-13</t>
  </si>
  <si>
    <t>PH 600-65</t>
  </si>
  <si>
    <t>2017-11-10</t>
  </si>
  <si>
    <t>2017-11-08</t>
  </si>
  <si>
    <t>2024-11-15</t>
  </si>
  <si>
    <t>2017-11-22</t>
  </si>
  <si>
    <t>2017-12-12</t>
  </si>
  <si>
    <t>HURSC-14</t>
  </si>
  <si>
    <t>PH 482-53</t>
  </si>
  <si>
    <t>2015-10-16</t>
  </si>
  <si>
    <t>HURSC-15</t>
  </si>
  <si>
    <t>PH 484-45</t>
  </si>
  <si>
    <t>2015-10-21</t>
  </si>
  <si>
    <t>2015-10-29</t>
  </si>
  <si>
    <t>HURSC-16</t>
  </si>
  <si>
    <t>2015-09-16</t>
  </si>
  <si>
    <t>2015-09-17</t>
  </si>
  <si>
    <t>2015-09-23</t>
  </si>
  <si>
    <t>HURSC-17</t>
  </si>
  <si>
    <t>PH 395-62</t>
  </si>
  <si>
    <t>2015-04-10</t>
  </si>
  <si>
    <t>2015-04-04</t>
  </si>
  <si>
    <t>HURSC-18</t>
  </si>
  <si>
    <t>PH 394-23</t>
  </si>
  <si>
    <t>2015-04-01</t>
  </si>
  <si>
    <t>2015-03-25</t>
  </si>
  <si>
    <t>HURSC-19</t>
  </si>
  <si>
    <t>PH 387-60</t>
  </si>
  <si>
    <t>2015-01-16</t>
  </si>
  <si>
    <t>2015-01-13</t>
  </si>
  <si>
    <t>2015-02-13</t>
  </si>
  <si>
    <t>2015-03-03</t>
  </si>
  <si>
    <t>HURSC-20</t>
  </si>
  <si>
    <t>PH 796-17</t>
  </si>
  <si>
    <t>2021-03-18</t>
  </si>
  <si>
    <t>2021-04-06</t>
  </si>
  <si>
    <t>HURSC-21</t>
  </si>
  <si>
    <t>EPIQ4315</t>
  </si>
  <si>
    <t>2020-07-11</t>
  </si>
  <si>
    <t>2020-07-12</t>
  </si>
  <si>
    <t>HURSC-22</t>
  </si>
  <si>
    <t>EPIQ3537</t>
  </si>
  <si>
    <t>2020-05-15</t>
  </si>
  <si>
    <t>2020-05-14</t>
  </si>
  <si>
    <t>2020-05-18</t>
  </si>
  <si>
    <t>HURSC-23</t>
  </si>
  <si>
    <t>EPIZ3512</t>
  </si>
  <si>
    <t>2020-05-11</t>
  </si>
  <si>
    <t>2020-05-08</t>
  </si>
  <si>
    <t>2020-05-12</t>
  </si>
  <si>
    <t>HURSC-24</t>
  </si>
  <si>
    <t>EPIQ 32-16</t>
  </si>
  <si>
    <t>2020-04-21</t>
  </si>
  <si>
    <t>HURSC-25</t>
  </si>
  <si>
    <t>SC 372-36</t>
  </si>
  <si>
    <t>2020-01-15</t>
  </si>
  <si>
    <t>2020-02-06</t>
  </si>
  <si>
    <t>HURSC-26</t>
  </si>
  <si>
    <t>SC 394-28</t>
  </si>
  <si>
    <t>2020-07-30</t>
  </si>
  <si>
    <t>2020-08-22</t>
  </si>
  <si>
    <t>2020-09-08</t>
  </si>
  <si>
    <t>HURSC-27</t>
  </si>
  <si>
    <t>AN0188357732</t>
  </si>
  <si>
    <t>2020-02-27</t>
  </si>
  <si>
    <t>2020-03-05</t>
  </si>
  <si>
    <t>HURSC-28</t>
  </si>
  <si>
    <t>EPIQ 16-11</t>
  </si>
  <si>
    <t>2020-01-10</t>
  </si>
  <si>
    <t>2020-01-20</t>
  </si>
  <si>
    <t>2020-01-21</t>
  </si>
  <si>
    <t>HURSC-29</t>
  </si>
  <si>
    <t>AN0201948341</t>
  </si>
  <si>
    <t>2020-08-30</t>
  </si>
  <si>
    <t>2020-08-24</t>
  </si>
  <si>
    <t>2020-09-01</t>
  </si>
  <si>
    <t>2020-09-18</t>
  </si>
  <si>
    <t>HURSC-30</t>
  </si>
  <si>
    <t>EPIQ 17-4</t>
  </si>
  <si>
    <t>2019-12-22</t>
  </si>
  <si>
    <t>2019-12-10</t>
  </si>
  <si>
    <t>2024-01-27</t>
  </si>
  <si>
    <t>2020-04-18</t>
  </si>
  <si>
    <t>HURSC-31</t>
  </si>
  <si>
    <t>EPIQ62</t>
  </si>
  <si>
    <t>2019-11-03</t>
  </si>
  <si>
    <t>HURSC-32</t>
  </si>
  <si>
    <t>SC 352-3</t>
  </si>
  <si>
    <t>2019-08-26</t>
  </si>
  <si>
    <t>2019-08-17</t>
  </si>
  <si>
    <t>HURSC-33</t>
  </si>
  <si>
    <t>PH 697-15</t>
  </si>
  <si>
    <t>2019-06-28</t>
  </si>
  <si>
    <t>2019-06-26</t>
  </si>
  <si>
    <t>2019-07-23</t>
  </si>
  <si>
    <t>2019-07-24</t>
  </si>
  <si>
    <t>2019-07-26</t>
  </si>
  <si>
    <t>HURSC-34</t>
  </si>
  <si>
    <t>PH 684-6</t>
  </si>
  <si>
    <t>2019-04-29</t>
  </si>
  <si>
    <t>2019-04-25</t>
  </si>
  <si>
    <t>2019-05-07</t>
  </si>
  <si>
    <t>HURSC-35</t>
  </si>
  <si>
    <t>PH 683-20</t>
  </si>
  <si>
    <t>2019-04-23</t>
  </si>
  <si>
    <t>2019-04-06</t>
  </si>
  <si>
    <t>HURSC-36</t>
  </si>
  <si>
    <t>PH 676-20</t>
  </si>
  <si>
    <t>2019-03-12</t>
  </si>
  <si>
    <t>2019-03-11</t>
  </si>
  <si>
    <t>2019-04-20</t>
  </si>
  <si>
    <t>HURSC-37</t>
  </si>
  <si>
    <t>PH 671-16</t>
  </si>
  <si>
    <t>2019-02-15</t>
  </si>
  <si>
    <t>2019-02-12</t>
  </si>
  <si>
    <t>HURSC-38</t>
  </si>
  <si>
    <t>SC 283-38</t>
  </si>
  <si>
    <t>2019-01-29</t>
  </si>
  <si>
    <t>2019-01-28</t>
  </si>
  <si>
    <t>2019-02-03</t>
  </si>
  <si>
    <t>2019-02-19</t>
  </si>
  <si>
    <t>HURSC-39</t>
  </si>
  <si>
    <t>PH 667-19</t>
  </si>
  <si>
    <t>2019-01-22</t>
  </si>
  <si>
    <t>2019-01-17</t>
  </si>
  <si>
    <t>2019-01-25</t>
  </si>
  <si>
    <t>2019-01-27</t>
  </si>
  <si>
    <t>HURSC-40</t>
  </si>
  <si>
    <t>EPIQ 301-21</t>
  </si>
  <si>
    <t>2025-02-16</t>
  </si>
  <si>
    <t>2025-02-20</t>
  </si>
  <si>
    <t>2025-02-24</t>
  </si>
  <si>
    <t>2025-03-06</t>
  </si>
  <si>
    <t>HURSC-41</t>
  </si>
  <si>
    <t>EPIQ 246-22</t>
  </si>
  <si>
    <t>2024-01-29</t>
  </si>
  <si>
    <t>2024-01-31</t>
  </si>
  <si>
    <t>2024-02-05</t>
  </si>
  <si>
    <t>2024-02-06</t>
  </si>
  <si>
    <t>HURSC-42</t>
  </si>
  <si>
    <t>EPIQ 243-15</t>
  </si>
  <si>
    <t>2023-12-24</t>
  </si>
  <si>
    <t>2024-01-09</t>
  </si>
  <si>
    <t>2024-01-15</t>
  </si>
  <si>
    <t>2025-01-16</t>
  </si>
  <si>
    <t>2024-01-17</t>
  </si>
  <si>
    <t>HURSC-43</t>
  </si>
  <si>
    <t>EPIQ 139-23</t>
  </si>
  <si>
    <t>2022-03-18</t>
  </si>
  <si>
    <t>2022-03-22</t>
  </si>
  <si>
    <t>HURSC-44</t>
  </si>
  <si>
    <t>EPIQ 45-5</t>
  </si>
  <si>
    <t>2020-06-15</t>
  </si>
  <si>
    <t>2020-07-06</t>
  </si>
  <si>
    <t>2020-07-13</t>
  </si>
  <si>
    <t>HURSC-45</t>
  </si>
  <si>
    <t>EPIQ 27-1</t>
  </si>
  <si>
    <t>2020-03-11</t>
  </si>
  <si>
    <t>2020-03-16</t>
  </si>
  <si>
    <t>HURSC-46</t>
  </si>
  <si>
    <t>2020-01-14</t>
  </si>
  <si>
    <t>2020-01-27</t>
  </si>
  <si>
    <t>2020-02-03</t>
  </si>
  <si>
    <t>2025-02-03</t>
  </si>
  <si>
    <t>HURSC-47</t>
  </si>
  <si>
    <t>PH 380-4</t>
  </si>
  <si>
    <t>2014-12-26</t>
  </si>
  <si>
    <t>2014-12-29</t>
  </si>
  <si>
    <t>2014-12-31</t>
  </si>
  <si>
    <t>2015-01-12</t>
  </si>
  <si>
    <t>mismo 51 tras la cirugia</t>
  </si>
  <si>
    <t>Duplicado con 13, ya no hay imágenes en REDCAP (revisar las descargadas)</t>
  </si>
  <si>
    <t>Misma que la 30</t>
  </si>
  <si>
    <t>en el 35 se ha rellenado diferente y no le da embolia…</t>
  </si>
  <si>
    <t>es el 46 y lo ha rellenado diferente</t>
  </si>
  <si>
    <t>Duplicado con el 22</t>
  </si>
  <si>
    <t>Embolia post-eco con embolia previa</t>
  </si>
  <si>
    <t>Es claramente mayor de 8</t>
  </si>
  <si>
    <t>fechas antes que el eco</t>
  </si>
  <si>
    <t>claramente mayor que 8</t>
  </si>
  <si>
    <t>esta en cavidades derechas</t>
  </si>
  <si>
    <t>HGTPB-51</t>
  </si>
  <si>
    <t>HGTPB-52</t>
  </si>
  <si>
    <t>HGTPB-53</t>
  </si>
  <si>
    <t>HGTPB-54</t>
  </si>
  <si>
    <t>2025-01-24</t>
  </si>
  <si>
    <t>2025-01-22</t>
  </si>
  <si>
    <t>2025-02-26</t>
  </si>
  <si>
    <t>2025-04-20</t>
  </si>
  <si>
    <t>2025-06-21</t>
  </si>
  <si>
    <t>2024-12-23</t>
  </si>
  <si>
    <t>2025-03-05</t>
  </si>
  <si>
    <t>2025-03-29</t>
  </si>
  <si>
    <t>No hay imágenes subidas</t>
  </si>
  <si>
    <t>diam_ao_2</t>
  </si>
  <si>
    <t>diam_mitral_2</t>
  </si>
  <si>
    <t>mecánica dificil de medir, hay dos que se juntan</t>
  </si>
  <si>
    <t>bicuspide, dificil de medir</t>
  </si>
  <si>
    <t>Se encuentra entre la válvulas</t>
  </si>
  <si>
    <t>Solo embolias previas sin cirugía ni muerte</t>
  </si>
  <si>
    <t>Muy larga, muy móvil, operada mismo día que el eco con varias previas</t>
  </si>
  <si>
    <t>mala calidad en la imagen</t>
  </si>
  <si>
    <t>hay dos grandes</t>
  </si>
  <si>
    <t>revisar medida</t>
  </si>
  <si>
    <t>muere dos días después de la eco</t>
  </si>
  <si>
    <t>Se indica cirtugía pero no se realiza por la fragilidad del paciente</t>
  </si>
  <si>
    <t>Se opera el mismo día que se realiza la eco</t>
  </si>
  <si>
    <t>Cirugía realizada rápida</t>
  </si>
  <si>
    <t>mecánica, no veo la vegetación</t>
  </si>
  <si>
    <t>Medir la vegetación</t>
  </si>
  <si>
    <t>artefacto y dificil de medir</t>
  </si>
  <si>
    <t>Grande y con movilidad, me parece un pelin más grande</t>
  </si>
  <si>
    <t>Parece que se va a soltar, operan el mismo día</t>
  </si>
  <si>
    <t>Hay una masa rara muy móvil</t>
  </si>
  <si>
    <t>medido muy diferente</t>
  </si>
  <si>
    <t>Hay ecografías de dos días diferentes de este paciente</t>
  </si>
  <si>
    <t>No hay imágenes</t>
  </si>
  <si>
    <t>Hay dos la de la aórtica es la mas grande y cuenta un poco medirla</t>
  </si>
  <si>
    <t>No soy capaz de medirlo, aneurisma</t>
  </si>
  <si>
    <t>Es enorme, como no puede tener embolias previas? (Bacilos Gram Negativos)</t>
  </si>
  <si>
    <t>muy dificil de medir</t>
  </si>
  <si>
    <t>sin embolias previas, grande y móvil, Hemocultivos negativos!!!</t>
  </si>
  <si>
    <t>Ha subido tres imagénes y no son validas</t>
  </si>
  <si>
    <t>Muy dificil de medir</t>
  </si>
  <si>
    <t>Muere 20 días después</t>
  </si>
  <si>
    <t>La vegetación tiene dos partes, la móvil es pequeña pero en conjunto es grande</t>
  </si>
  <si>
    <t>No veo vegetación</t>
  </si>
  <si>
    <t>No se medirla, muy anclada</t>
  </si>
  <si>
    <t>No se medirla</t>
  </si>
  <si>
    <t>Dificil de medir, masa grande de forma inusual</t>
  </si>
  <si>
    <t>No se medirla, no está medida</t>
  </si>
  <si>
    <t>Dificil de medir, muy pequeña</t>
  </si>
  <si>
    <t>No se opera por no fragilidad y alto riesgo quirúrgico</t>
  </si>
  <si>
    <t>Parece mitral</t>
  </si>
  <si>
    <t>raro que no embolice en 15 días, dificil de medir</t>
  </si>
  <si>
    <t>Muy anclada, no se medirla, no creo que sea 20</t>
  </si>
  <si>
    <t>Muy anclada, no parece 25</t>
  </si>
  <si>
    <t>No la veo</t>
  </si>
  <si>
    <t>no esta medida, no se medirla</t>
  </si>
  <si>
    <t>no esta medida,muy pequeña,  no se medirla</t>
  </si>
  <si>
    <t>muy larga y móvil, un mes en operar</t>
  </si>
  <si>
    <t>es grande</t>
  </si>
  <si>
    <t>No se medirla, pequeña</t>
  </si>
  <si>
    <t>No esta rellena</t>
  </si>
  <si>
    <t>muy pequeña y anclada</t>
  </si>
  <si>
    <t>Operado el mismo día, enorme y móvil</t>
  </si>
  <si>
    <t>grande y móvil y 14 días sin cirugía</t>
  </si>
  <si>
    <t>dificil de medir</t>
  </si>
  <si>
    <t>No está medida</t>
  </si>
  <si>
    <t>muy pequeña</t>
  </si>
  <si>
    <t>parece menos que 12</t>
  </si>
  <si>
    <t>Incluido por error</t>
  </si>
  <si>
    <t>es muy grande, mide más que 8</t>
  </si>
  <si>
    <t>mide  más de 10</t>
  </si>
  <si>
    <t>parece muy grande</t>
  </si>
  <si>
    <t>No se medirlo, no es 28</t>
  </si>
  <si>
    <t>Dificil de medir</t>
  </si>
  <si>
    <t>Medición muy diferente</t>
  </si>
  <si>
    <t>Muy anclada</t>
  </si>
  <si>
    <t>No se ve bien donde empieza</t>
  </si>
  <si>
    <t>No parece muy móvil en la unica vista que hay</t>
  </si>
  <si>
    <t>Muy anclada, poco móvil</t>
  </si>
  <si>
    <t>muy extraño no indicación de cirugía</t>
  </si>
  <si>
    <t>movimiento bote</t>
  </si>
  <si>
    <t>muy anclada</t>
  </si>
  <si>
    <t xml:space="preserve">también aparece aneurisma </t>
  </si>
  <si>
    <t>medida muy diferente</t>
  </si>
  <si>
    <t>HCSCM-51</t>
  </si>
  <si>
    <t>HCSCM-52</t>
  </si>
  <si>
    <t>Muy fina, movimiento bote</t>
  </si>
  <si>
    <t>es mayor que 8</t>
  </si>
  <si>
    <t>no se indica cirugía</t>
  </si>
  <si>
    <t>dos vegetaciones muy pegadas</t>
  </si>
  <si>
    <t xml:space="preserve"> HCSC51</t>
  </si>
  <si>
    <t>2025-07-23</t>
  </si>
  <si>
    <t>2025-08-04</t>
  </si>
  <si>
    <t>HCSC_52</t>
  </si>
  <si>
    <t>2025-07-10</t>
  </si>
  <si>
    <t>2025-07-21</t>
  </si>
  <si>
    <t>2025-07-14</t>
  </si>
  <si>
    <t>2025-07-12</t>
  </si>
  <si>
    <t>No se realiza la cirugía porque se muere y complicación neurológica</t>
  </si>
  <si>
    <t>muy grande, no pone medida, no se medir</t>
  </si>
  <si>
    <t>No se medirla, muy pequeña</t>
  </si>
  <si>
    <t>cuesta distinguirla de la válvula</t>
  </si>
  <si>
    <t>redondeada</t>
  </si>
  <si>
    <t>Tiene algo enorme moviendose que no se que es</t>
  </si>
  <si>
    <t>pequeña</t>
  </si>
  <si>
    <t>Yo no veo nada</t>
  </si>
  <si>
    <t>muy anclado</t>
  </si>
  <si>
    <t>varias semanas después de la eco</t>
  </si>
  <si>
    <t>No se realiza cirugía por fragilidad del paciente</t>
  </si>
  <si>
    <t>la vegetación tiene dos partes, la parte móvil es muy pequeña</t>
  </si>
  <si>
    <t>Muy dgrande y móvil, no se opera por alto riesgo quirúrgico</t>
  </si>
  <si>
    <t>No medida, parece pequeña</t>
  </si>
  <si>
    <t>No se medila, parece muy anclada</t>
  </si>
  <si>
    <t>puede que haya dos y una más grande</t>
  </si>
  <si>
    <t>es grande y móvil pero no tiene indicación de cirugía</t>
  </si>
  <si>
    <t>dos pequeñas</t>
  </si>
  <si>
    <t>pequeñísima</t>
  </si>
  <si>
    <t>base muy ancha</t>
  </si>
  <si>
    <t>dos partes, una anclada y una móvil, es más grande de lo que pone</t>
  </si>
  <si>
    <t>es menos de 14 si usas solo las vistas validas</t>
  </si>
  <si>
    <t>dificil distinguir donde empieza</t>
  </si>
  <si>
    <t>no es muy móvil</t>
  </si>
  <si>
    <t>son pequeñas</t>
  </si>
  <si>
    <t xml:space="preserve"> no la veo</t>
  </si>
  <si>
    <t>parece bastante anclada</t>
  </si>
  <si>
    <t>pequeña, muy anclada</t>
  </si>
  <si>
    <t>pequeña y anclada</t>
  </si>
  <si>
    <t>parece bastante móvil</t>
  </si>
  <si>
    <t>muy anclada, dificil de medir sin indicación</t>
  </si>
  <si>
    <t>solo hay transtorácicas</t>
  </si>
  <si>
    <t>parece pequeña</t>
  </si>
  <si>
    <t>Alto riesgo quirúrgico</t>
  </si>
  <si>
    <t>hay algo bailando en otra cavidad</t>
  </si>
  <si>
    <t>en el borde</t>
  </si>
  <si>
    <t>Anclada mécanica, no grande, movimiento asincopado respecto  válvula, parece gran tensión</t>
  </si>
  <si>
    <t>muy redondeada</t>
  </si>
  <si>
    <t>2318112</t>
  </si>
  <si>
    <t>dice Alberto que hay que quitarlo, disección</t>
  </si>
  <si>
    <t xml:space="preserve">es la misma que la 48, hay dos fechas eco </t>
  </si>
  <si>
    <t>no se medirla</t>
  </si>
  <si>
    <t>parece más pequeña, muy móvil y alargada, raro que no tenga indicación de cirugía</t>
  </si>
  <si>
    <t>no la veo</t>
  </si>
  <si>
    <t>2642759</t>
  </si>
  <si>
    <t>muy poco móvil</t>
  </si>
  <si>
    <t>Hay dos, parecen muy rigidas, tiene forma muy irregular en la aórtica</t>
  </si>
  <si>
    <t>muy fina y móvil</t>
  </si>
  <si>
    <t>No parece embolizable, está sin medir</t>
  </si>
  <si>
    <t>muy grande, pone que la de la eco es posterior a la embolia</t>
  </si>
  <si>
    <t>es más grande de 19</t>
  </si>
  <si>
    <t>una parte anclada y otra muy móvil</t>
  </si>
  <si>
    <t>Se ve en dos partes del ciclo con formas muy diferentes</t>
  </si>
  <si>
    <t>Muy grande y móvil</t>
  </si>
  <si>
    <t>grande y móvil</t>
  </si>
  <si>
    <t>no se medirla, muy dificil</t>
  </si>
  <si>
    <t>dificil saber donde empieza</t>
  </si>
  <si>
    <t>no se de donde sale el 22, formato transgánstricas</t>
  </si>
  <si>
    <t>es gigantesca, formato transgánstrica</t>
  </si>
  <si>
    <t>muy grande y móvil, no son ciertos los 10</t>
  </si>
  <si>
    <t>no estoy seguro de que sea la vegetación, pero es más de 7 seguro</t>
  </si>
  <si>
    <t>no se mide bien en las vistas que usamos</t>
  </si>
  <si>
    <t>parece muy anclada</t>
  </si>
  <si>
    <t>Final</t>
  </si>
  <si>
    <t>Valido</t>
  </si>
  <si>
    <t>parece más grande de 12</t>
  </si>
  <si>
    <t>No viene en el redcap, ni sexo ni edad, ni fecha eco, pone que no hay indicación de cirugía, es un hombre</t>
  </si>
  <si>
    <t>Hay dos</t>
  </si>
  <si>
    <t>cuesta saber donde empieza</t>
  </si>
  <si>
    <t>No se medirlo</t>
  </si>
  <si>
    <t>cuesta medirla un poco</t>
  </si>
  <si>
    <t>hay dos</t>
  </si>
  <si>
    <t>cuesta medirla</t>
  </si>
  <si>
    <t>cuesta medirla, muy anclada</t>
  </si>
  <si>
    <t>algo móvil pero parece bastante rigida</t>
  </si>
  <si>
    <t>parecen dos</t>
  </si>
  <si>
    <t>filiforme muy móvil</t>
  </si>
  <si>
    <t>muy grande, no se medirla</t>
  </si>
  <si>
    <t>muy grande y muy móvil</t>
  </si>
  <si>
    <t>muy móvil</t>
  </si>
  <si>
    <t>tiene varias partes la vegetación, dificil de medir</t>
  </si>
  <si>
    <t>muy grande</t>
  </si>
  <si>
    <t>dificil de medir en la aórtica</t>
  </si>
  <si>
    <t>parece bastante grande</t>
  </si>
  <si>
    <t>Es grande y mucho tiempo entre eco y cirugía</t>
  </si>
  <si>
    <t>la vegetación consta de varias partes, un anclada y otra móvil</t>
  </si>
  <si>
    <t>hemocultivos negativos</t>
  </si>
  <si>
    <t>forma muy inusual, no se medirlo, muy anclada</t>
  </si>
  <si>
    <t>muy difusa, hay varias, cuesta medirlas</t>
  </si>
  <si>
    <t>un poco dificil definirla, solo hay una imagen y es con zoom</t>
  </si>
  <si>
    <t>muy embolizable y pasa mucho tiempo entre eco y cirugía</t>
  </si>
  <si>
    <t>pequeña y poco móvil</t>
  </si>
  <si>
    <t>es grande pero la parte móvil es muy pequeña</t>
  </si>
  <si>
    <t>un mes entre eco y cirugía</t>
  </si>
  <si>
    <t>es dificil saber cuando empieza la vegetación</t>
  </si>
  <si>
    <t>estafilococus aureus sensible a la meticilina</t>
  </si>
  <si>
    <t>hay dos, la de la mitral muy anclada y la aótica móvil</t>
  </si>
  <si>
    <t>muy anclada a la válvula</t>
  </si>
  <si>
    <t>No se medirla, forma inusual</t>
  </si>
  <si>
    <t>Bicúspide, no se medirla</t>
  </si>
  <si>
    <t>Formato transgánstrica muy difusa, dificil de medir</t>
  </si>
  <si>
    <t>parece más pequeña de 16</t>
  </si>
  <si>
    <t>en la mitral también parece haber algo</t>
  </si>
  <si>
    <t>no se medirlo</t>
  </si>
  <si>
    <t>aureus sensible a la meticilina</t>
  </si>
  <si>
    <t>la parte móvil solo mide 10</t>
  </si>
  <si>
    <t>muy grande y homogenea</t>
  </si>
  <si>
    <t>muy extendida, no se medirla</t>
  </si>
  <si>
    <t>gigante</t>
  </si>
  <si>
    <t>no hay imágenes transexofágicas</t>
  </si>
  <si>
    <t>grande anclada y poco móvil</t>
  </si>
  <si>
    <t>no parece muy embolizable pero muere dos meses después</t>
  </si>
  <si>
    <t>muy grande y muy móvil 5 días hasta cirugía y sin embolias previas</t>
  </si>
  <si>
    <t>enorme, 10 días sin embolia</t>
  </si>
  <si>
    <t>muy grande, con parte central poco móvil</t>
  </si>
  <si>
    <t>masa gigante, muy poco móvil, muy anclada</t>
  </si>
  <si>
    <t>9 días sin embolizar</t>
  </si>
  <si>
    <t>muy en el borde</t>
  </si>
  <si>
    <t>se ve un absceso, o algo, al otro lado de la válvula</t>
  </si>
  <si>
    <t>hay ecos en dos fechas diferentes, estas son de 2022</t>
  </si>
  <si>
    <t>la de la aórtica es dificil de medir</t>
  </si>
  <si>
    <t>creo que hay dos en la protesis</t>
  </si>
  <si>
    <t>muy anclada pero parece más de 12</t>
  </si>
  <si>
    <t>parece haber más de una</t>
  </si>
  <si>
    <t>me parece que está en la mitral</t>
  </si>
  <si>
    <t>se ve algo en la mitral muy móvil pero creo que velo</t>
  </si>
  <si>
    <t>dificil ver donde empieza y donde acaba</t>
  </si>
  <si>
    <t>muchos días hasta la cirugía pero no es excesivamente grande, ni excesivamente móvil</t>
  </si>
  <si>
    <t>No hay ecos buenas, solo transgánstricas</t>
  </si>
  <si>
    <t>muy anclada a la vegetación, se distingue mal el borde</t>
  </si>
  <si>
    <t>me parece un poco raro que no indiquen cirugía</t>
  </si>
  <si>
    <t>No se medirla, pone que le ha dado una embolia previa pero no pone fecha</t>
  </si>
  <si>
    <t>Destrozo, No indican operación, sigue vivo, no emboliza???</t>
  </si>
  <si>
    <t>Muy grande, muy móvil, ni si quiera indican operación?</t>
  </si>
  <si>
    <t>Me parece que han medido de menos</t>
  </si>
  <si>
    <t>parece muy anclada y poco móvil</t>
  </si>
  <si>
    <t>larguísima, no se opera por alto riesgo quirúrgico y muerte por fracaso multiorgánico</t>
  </si>
  <si>
    <t>muy difusa, no soy capaz de medirla</t>
  </si>
  <si>
    <t>10 diás sin operar y no le da una embolia y embolia 20 días más tarde tras haberse operado</t>
  </si>
  <si>
    <t>embolia previa durante el tratamiento (e ingreso)</t>
  </si>
  <si>
    <t>no la veo, no se medirla, pone que es enorme, se le ha operado, luego le ha dado la embolia, luego eco</t>
  </si>
  <si>
    <t>validos:</t>
  </si>
  <si>
    <t>Embolia despues que el eco con muerte</t>
  </si>
  <si>
    <t>Solo previas con cirugía sin muerte</t>
  </si>
  <si>
    <t>muerte sin cirugía con solo previas</t>
  </si>
  <si>
    <t xml:space="preserve">cirugia y muerte con  solo previas </t>
  </si>
  <si>
    <t xml:space="preserve">muerte sin cirugía sin embolias </t>
  </si>
  <si>
    <t xml:space="preserve">cirugía y muerte sin embolias </t>
  </si>
  <si>
    <t xml:space="preserve">cirugía sin muerte sin embolias </t>
  </si>
  <si>
    <t>Difuso, dificil de medir, medido Alberto</t>
  </si>
  <si>
    <t>cuesta medirla, medida Alberto</t>
  </si>
  <si>
    <t>dificil de medir, le da la embolia 2 días después de operarse en el día que se muere, medida Alberto</t>
  </si>
  <si>
    <t>dificil de medir, medida Alberto</t>
  </si>
  <si>
    <t>medida Alberto</t>
  </si>
  <si>
    <t>muy pequeña, medida Alberto</t>
  </si>
  <si>
    <t>HGTPB-55</t>
  </si>
  <si>
    <t>2025-09-18</t>
  </si>
  <si>
    <t>2025-09-27</t>
  </si>
  <si>
    <t>HCSCM-53</t>
  </si>
  <si>
    <t>2025-05-21</t>
  </si>
  <si>
    <t>2025-05-07</t>
  </si>
  <si>
    <t>2025-05-22</t>
  </si>
  <si>
    <t>2025-05-23</t>
  </si>
  <si>
    <t>HCSCM-54</t>
  </si>
  <si>
    <t>2025-05-24</t>
  </si>
  <si>
    <t>fecha_alta</t>
  </si>
  <si>
    <t>2023-11-28</t>
  </si>
  <si>
    <t>2023-01-03</t>
  </si>
  <si>
    <t>2023-01-30</t>
  </si>
  <si>
    <t>2023-04-25</t>
  </si>
  <si>
    <t>2021-03-30</t>
  </si>
  <si>
    <t>2020-07-24</t>
  </si>
  <si>
    <t>2020-10-26</t>
  </si>
  <si>
    <t>2021-05-14</t>
  </si>
  <si>
    <t>2021-05-22</t>
  </si>
  <si>
    <t>2021-03-21</t>
  </si>
  <si>
    <t>2022-07-26</t>
  </si>
  <si>
    <t>2022-06-30</t>
  </si>
  <si>
    <t>2022-07-16</t>
  </si>
  <si>
    <t>2022-01-26</t>
  </si>
  <si>
    <t>2025-05-19</t>
  </si>
  <si>
    <t>2021-05-15</t>
  </si>
  <si>
    <t>2023-11-02</t>
  </si>
  <si>
    <t>2023-10-16</t>
  </si>
  <si>
    <t>2022-12-27</t>
  </si>
  <si>
    <t>2022-11-16</t>
  </si>
  <si>
    <t>2022-08-29</t>
  </si>
  <si>
    <t>2021-11-05</t>
  </si>
  <si>
    <t>2022-02-01</t>
  </si>
  <si>
    <t>2021-10-07</t>
  </si>
  <si>
    <t>2022-04-08</t>
  </si>
  <si>
    <t>2025-01-30</t>
  </si>
  <si>
    <t>2025-01-13</t>
  </si>
  <si>
    <t>2022-03-23</t>
  </si>
  <si>
    <t>2022-01-14</t>
  </si>
  <si>
    <t>2021-11-26</t>
  </si>
  <si>
    <t>2025-08-19</t>
  </si>
  <si>
    <t>2025-08-14</t>
  </si>
  <si>
    <t>2023-11-27</t>
  </si>
  <si>
    <t>2023-10-05</t>
  </si>
  <si>
    <t>2023-08-26</t>
  </si>
  <si>
    <t>2023-06-27</t>
  </si>
  <si>
    <t>2023-06-07</t>
  </si>
  <si>
    <t>2023-02-07</t>
  </si>
  <si>
    <t>2024-04-02</t>
  </si>
  <si>
    <t>2022-02-23</t>
  </si>
  <si>
    <t>2022-04-14</t>
  </si>
  <si>
    <t>2021-10-19</t>
  </si>
  <si>
    <t>2024-08-22</t>
  </si>
  <si>
    <t>2022-10-25</t>
  </si>
  <si>
    <t>2022-12-09</t>
  </si>
  <si>
    <t>2023-07-17</t>
  </si>
  <si>
    <t>2024-01-08</t>
  </si>
  <si>
    <t>2024-03-01</t>
  </si>
  <si>
    <t>2024-04-26</t>
  </si>
  <si>
    <t>2024-06-21</t>
  </si>
  <si>
    <t>2024-10-07</t>
  </si>
  <si>
    <t>2024-10-02</t>
  </si>
  <si>
    <t>2024-09-10</t>
  </si>
  <si>
    <t>2025-01-14</t>
  </si>
  <si>
    <t>2025-03-30</t>
  </si>
  <si>
    <t>2025-03-26</t>
  </si>
  <si>
    <t>2025-01-21</t>
  </si>
  <si>
    <t>2025-04-17</t>
  </si>
  <si>
    <t>2025-10-06</t>
  </si>
  <si>
    <t>2023-10-17</t>
  </si>
  <si>
    <t>2021-06-01</t>
  </si>
  <si>
    <t>2021-03-15</t>
  </si>
  <si>
    <t>2020-12-30</t>
  </si>
  <si>
    <t>2021-08-27</t>
  </si>
  <si>
    <t>2020-07-02</t>
  </si>
  <si>
    <t>2018-02-15</t>
  </si>
  <si>
    <t>2020-07-23</t>
  </si>
  <si>
    <t>2023-07-18</t>
  </si>
  <si>
    <t>2023-02-14</t>
  </si>
  <si>
    <t>2023-01-23</t>
  </si>
  <si>
    <t>2016-07-22</t>
  </si>
  <si>
    <t>2018-01-19</t>
  </si>
  <si>
    <t>2020-07-15</t>
  </si>
  <si>
    <t>2020-05-06</t>
  </si>
  <si>
    <t>2024-09-13</t>
  </si>
  <si>
    <t>2025-03-24</t>
  </si>
  <si>
    <t>2025-03-11</t>
  </si>
  <si>
    <t>2025-05-02</t>
  </si>
  <si>
    <t>2025-06-05</t>
  </si>
  <si>
    <t>2025-07-18</t>
  </si>
  <si>
    <t>2025-08-03</t>
  </si>
  <si>
    <t>2025-07-16</t>
  </si>
  <si>
    <t>2025-07-15</t>
  </si>
  <si>
    <t>2025-07-04</t>
  </si>
  <si>
    <t>2025-06-27</t>
  </si>
  <si>
    <t>2025-07-29</t>
  </si>
  <si>
    <t>2025-06-30</t>
  </si>
  <si>
    <t>2024-02-28</t>
  </si>
  <si>
    <t>2023-08-17</t>
  </si>
  <si>
    <t>2022-04-01</t>
  </si>
  <si>
    <t>2023-10-04</t>
  </si>
  <si>
    <t>2022-08-14</t>
  </si>
  <si>
    <t>2022-08-24</t>
  </si>
  <si>
    <t>2022-01-04</t>
  </si>
  <si>
    <t>2019-08-20</t>
  </si>
  <si>
    <t>2020-02-10</t>
  </si>
  <si>
    <t>2020-04-06</t>
  </si>
  <si>
    <t>2020-03-13</t>
  </si>
  <si>
    <t>2020-03-10</t>
  </si>
  <si>
    <t>2020-06-17</t>
  </si>
  <si>
    <t>2020-09-23</t>
  </si>
  <si>
    <t>2020-10-23</t>
  </si>
  <si>
    <t>2020-04-27</t>
  </si>
  <si>
    <t>2021-04-29</t>
  </si>
  <si>
    <t>2021-07-06</t>
  </si>
  <si>
    <t>2021-11-16</t>
  </si>
  <si>
    <t>2022-01-07</t>
  </si>
  <si>
    <t>2022-03-08</t>
  </si>
  <si>
    <t>2022-06-07</t>
  </si>
  <si>
    <t>2022-06-23</t>
  </si>
  <si>
    <t>2022-07-08</t>
  </si>
  <si>
    <t>2022-10-10</t>
  </si>
  <si>
    <t>2022-12-02</t>
  </si>
  <si>
    <t>2022-11-03</t>
  </si>
  <si>
    <t>2023-02-27</t>
  </si>
  <si>
    <t>2023-04-28</t>
  </si>
  <si>
    <t>2023-06-02</t>
  </si>
  <si>
    <t>2023-06-01</t>
  </si>
  <si>
    <t>2017-08-16</t>
  </si>
  <si>
    <t>2017-07-27</t>
  </si>
  <si>
    <t>2016-09-15</t>
  </si>
  <si>
    <t>2016-05-13</t>
  </si>
  <si>
    <t>2014-11-03</t>
  </si>
  <si>
    <t>2015-08-30</t>
  </si>
  <si>
    <t>2015-11-04</t>
  </si>
  <si>
    <t>2018-06-14</t>
  </si>
  <si>
    <t>2015-10-14</t>
  </si>
  <si>
    <t>2015-05-08</t>
  </si>
  <si>
    <t>2015-04-30</t>
  </si>
  <si>
    <t>2015-03-07</t>
  </si>
  <si>
    <t>2021-05-12</t>
  </si>
  <si>
    <t>2020-05-19</t>
  </si>
  <si>
    <t>2020-03-30</t>
  </si>
  <si>
    <t>2020-10-19</t>
  </si>
  <si>
    <t>2020-04-03</t>
  </si>
  <si>
    <t>2020-02-07</t>
  </si>
  <si>
    <t>2019-11-21</t>
  </si>
  <si>
    <t>2019-09-16</t>
  </si>
  <si>
    <t>2019-05-30</t>
  </si>
  <si>
    <t>2019-05-26</t>
  </si>
  <si>
    <t>2019-03-29</t>
  </si>
  <si>
    <t>2025-03-28</t>
  </si>
  <si>
    <t>2024-02-20</t>
  </si>
  <si>
    <t>2022-04-25</t>
  </si>
  <si>
    <t>2020-07-22</t>
  </si>
  <si>
    <t>2020-04-24</t>
  </si>
  <si>
    <t>2015-01-26</t>
  </si>
  <si>
    <t>se ven dos vegetaciones en la protesis, estan mal puesta las fechas de evolución en el redcap</t>
  </si>
  <si>
    <t>me parece bastante más grande y la fecha del eco creo que está mal o no encaja de año</t>
  </si>
  <si>
    <t>bastante grande, más de 6, no encaja la fecha de la cirugía del redcap</t>
  </si>
  <si>
    <t>muy anclada y poco móvil, fechas mal redcap</t>
  </si>
  <si>
    <t>HGTPB-56</t>
  </si>
  <si>
    <t>2025-05-26</t>
  </si>
  <si>
    <t>HGTPB-57</t>
  </si>
  <si>
    <t>HGTPB-58</t>
  </si>
  <si>
    <t>No esta medida, no la veo</t>
  </si>
  <si>
    <t>pone que la fecha es anterior a la eco, no está medida, dificil de medir</t>
  </si>
  <si>
    <t>Ha dicho Alberto que quitar del estudio ya que la endocarditis, según las iágenes que nos han proporcionado, no está en cavidades izquierdas</t>
  </si>
  <si>
    <t>2072-2070</t>
  </si>
  <si>
    <t>15/02/2015</t>
  </si>
  <si>
    <t>25/03/2009</t>
  </si>
  <si>
    <t>revisar</t>
  </si>
  <si>
    <t>17/05/2010</t>
  </si>
  <si>
    <t>02/02/2009</t>
  </si>
  <si>
    <t>08/08/2014</t>
  </si>
  <si>
    <t>27/05/2013</t>
  </si>
  <si>
    <t>28/11/2023</t>
  </si>
  <si>
    <t>06/10/2022</t>
  </si>
  <si>
    <t>16/03/2021</t>
  </si>
  <si>
    <t>28/03/2014</t>
  </si>
  <si>
    <t>30/09/2011</t>
  </si>
  <si>
    <t>21/10/2010</t>
  </si>
  <si>
    <t>18/01/2010</t>
  </si>
  <si>
    <t>09/03/2012</t>
  </si>
  <si>
    <t>20/01/2022</t>
  </si>
  <si>
    <t>2015-09-25</t>
  </si>
  <si>
    <t>2014-11-05</t>
  </si>
  <si>
    <t>2015-02-15</t>
  </si>
  <si>
    <t>2014-10-24</t>
  </si>
  <si>
    <t>miss</t>
  </si>
  <si>
    <t>2014-03-28</t>
  </si>
  <si>
    <t>2011-09-02</t>
  </si>
  <si>
    <t>2014-01-28</t>
  </si>
  <si>
    <t>2013-05-16</t>
  </si>
  <si>
    <t>2014-01-13</t>
  </si>
  <si>
    <t>2000-01-01</t>
  </si>
  <si>
    <t>2012-01-30</t>
  </si>
  <si>
    <t>2011-04-20</t>
  </si>
  <si>
    <t>2011-01-26, 2012-03-10, 2011-09-29</t>
  </si>
  <si>
    <t>2011-09-29</t>
  </si>
  <si>
    <t>2008-12-25</t>
  </si>
  <si>
    <t>2010-05-06</t>
  </si>
  <si>
    <t>2008-06-20</t>
  </si>
  <si>
    <t>2008-09-17</t>
  </si>
  <si>
    <t>2010-10-13</t>
  </si>
  <si>
    <t>2010-10-21</t>
  </si>
  <si>
    <t>2010-01-19</t>
  </si>
  <si>
    <t>2008-02-22</t>
  </si>
  <si>
    <t>2009-12-14</t>
  </si>
  <si>
    <t>2010-01-12</t>
  </si>
  <si>
    <t>2010-03-11, 2010-03-12</t>
  </si>
  <si>
    <t>2010-06-15</t>
  </si>
  <si>
    <t>2010-05-17</t>
  </si>
  <si>
    <t>2009-12-29</t>
  </si>
  <si>
    <t>2009-06-23</t>
  </si>
  <si>
    <t>2009-03-27</t>
  </si>
  <si>
    <t>2009-02-03</t>
  </si>
  <si>
    <t>2008-12-21</t>
  </si>
  <si>
    <t>2009-01-13</t>
  </si>
  <si>
    <t>2008-09-15</t>
  </si>
  <si>
    <t>2008-03-06</t>
  </si>
  <si>
    <t>2008-08-22</t>
  </si>
  <si>
    <t>2008-05-29</t>
  </si>
  <si>
    <t>2013-07-17</t>
  </si>
  <si>
    <t>2013-04-12</t>
  </si>
  <si>
    <t>2011-10-14</t>
  </si>
  <si>
    <t>2012-06-28</t>
  </si>
  <si>
    <t>2012-05-24</t>
  </si>
  <si>
    <t>2012-03-21</t>
  </si>
  <si>
    <t>2012-03-13</t>
  </si>
  <si>
    <t>2012-02-02</t>
  </si>
  <si>
    <t>2012-03-10</t>
  </si>
  <si>
    <t>2011-10-06</t>
  </si>
  <si>
    <t>2011-03-17</t>
  </si>
  <si>
    <t>2011-01-26</t>
  </si>
  <si>
    <t>2024-02-21</t>
  </si>
  <si>
    <t>2023-11-16</t>
  </si>
  <si>
    <t>2023-04-10</t>
  </si>
  <si>
    <t>2022-12-07, 2022-12-19</t>
  </si>
  <si>
    <t>2023-02-09, 2023-01-20</t>
  </si>
  <si>
    <t>2022-10-04</t>
  </si>
  <si>
    <t>2022-09-09</t>
  </si>
  <si>
    <t>2022-07-04</t>
  </si>
  <si>
    <t>2022-04-26</t>
  </si>
  <si>
    <t>2022-01-20</t>
  </si>
  <si>
    <t>2021-11-05, 2021-11-11</t>
  </si>
  <si>
    <t>2021-10-15</t>
  </si>
  <si>
    <t>2021-08-30, 2021-10-05</t>
  </si>
  <si>
    <t>2021-03-16</t>
  </si>
  <si>
    <t>2021-07-09</t>
  </si>
  <si>
    <t>2021-02-02</t>
  </si>
  <si>
    <t>2020-06-23, 2020-05-29</t>
  </si>
  <si>
    <t>2020-02-04</t>
  </si>
  <si>
    <t>2018-07-16</t>
  </si>
  <si>
    <t>23/09/2015</t>
  </si>
  <si>
    <t>03/11/2014</t>
  </si>
  <si>
    <t>01/02/2015</t>
  </si>
  <si>
    <t>14/02/2015</t>
  </si>
  <si>
    <t>14/10/2014</t>
  </si>
  <si>
    <t>03/03/2014</t>
  </si>
  <si>
    <t>28/08/2011</t>
  </si>
  <si>
    <t>24/01/2014</t>
  </si>
  <si>
    <t>30/04/2013</t>
  </si>
  <si>
    <t>02/01/2014</t>
  </si>
  <si>
    <t>09/09/2014</t>
  </si>
  <si>
    <t>20/01/2012</t>
  </si>
  <si>
    <t>14/04/2011</t>
  </si>
  <si>
    <t>20/04/2011</t>
  </si>
  <si>
    <t>24/09/2011</t>
  </si>
  <si>
    <t>10/12/2008</t>
  </si>
  <si>
    <t>03/05/2010</t>
  </si>
  <si>
    <t>03/06/2008</t>
  </si>
  <si>
    <t>15/09/2008</t>
  </si>
  <si>
    <t>29/09/2010</t>
  </si>
  <si>
    <t>20/10/2010</t>
  </si>
  <si>
    <t>11/06/2010</t>
  </si>
  <si>
    <t>11/04/2010</t>
  </si>
  <si>
    <t>14/01/2010</t>
  </si>
  <si>
    <t>06/02/2008</t>
  </si>
  <si>
    <t>18/11/2009</t>
  </si>
  <si>
    <t>07/01/2010</t>
  </si>
  <si>
    <t>03/03/2010</t>
  </si>
  <si>
    <t>10/06/2010</t>
  </si>
  <si>
    <t>04/05/2010</t>
  </si>
  <si>
    <t>27/12/2009</t>
  </si>
  <si>
    <t>17/10/2009</t>
  </si>
  <si>
    <t>21/12/2009</t>
  </si>
  <si>
    <t>06/06/2009</t>
  </si>
  <si>
    <t>29/06/2009</t>
  </si>
  <si>
    <t>18/03/2009</t>
  </si>
  <si>
    <t>18/12/2008</t>
  </si>
  <si>
    <t>27/12/2008</t>
  </si>
  <si>
    <t>13/09/2008</t>
  </si>
  <si>
    <t>28/02/2008</t>
  </si>
  <si>
    <t>16/07/2008</t>
  </si>
  <si>
    <t>19/05/2008</t>
  </si>
  <si>
    <t>29/06/2014</t>
  </si>
  <si>
    <t>13/07/2013</t>
  </si>
  <si>
    <t>19/05/2013</t>
  </si>
  <si>
    <t>26/04/2013</t>
  </si>
  <si>
    <t>06/08/2014</t>
  </si>
  <si>
    <t>30/03/2013</t>
  </si>
  <si>
    <t>11/02/2013</t>
  </si>
  <si>
    <t>13/01/2013</t>
  </si>
  <si>
    <t>09/10/2011</t>
  </si>
  <si>
    <t>28/05/2012</t>
  </si>
  <si>
    <t>28/01/2013</t>
  </si>
  <si>
    <t>22/01/2013</t>
  </si>
  <si>
    <t>12/01/2012</t>
  </si>
  <si>
    <t>20/04/2012</t>
  </si>
  <si>
    <t>21/03/2012</t>
  </si>
  <si>
    <t>12/03/2012</t>
  </si>
  <si>
    <t>17/01/2012</t>
  </si>
  <si>
    <t>02/03/2012</t>
  </si>
  <si>
    <t>27/09/2011</t>
  </si>
  <si>
    <t>19/01/2012</t>
  </si>
  <si>
    <t>03/03/2011</t>
  </si>
  <si>
    <t>25/12/2010</t>
  </si>
  <si>
    <t>28/01/2024</t>
  </si>
  <si>
    <t>07/01/2024</t>
  </si>
  <si>
    <t>23/11/2023</t>
  </si>
  <si>
    <t>10/11/2023</t>
  </si>
  <si>
    <t>24/10/2023</t>
  </si>
  <si>
    <t>05/05/2023</t>
  </si>
  <si>
    <t>14/11/2022</t>
  </si>
  <si>
    <t>04/04/2023</t>
  </si>
  <si>
    <t>27/11/2022</t>
  </si>
  <si>
    <t>11/01/2023</t>
  </si>
  <si>
    <t>02/10/2022</t>
  </si>
  <si>
    <t>08/09/2022</t>
  </si>
  <si>
    <t>03/07/2022</t>
  </si>
  <si>
    <t>28/05/2022</t>
  </si>
  <si>
    <t>09/04/2022</t>
  </si>
  <si>
    <t>18/01/2022</t>
  </si>
  <si>
    <t>28/10/2021</t>
  </si>
  <si>
    <t>15/01/2022</t>
  </si>
  <si>
    <t>26/09/2021</t>
  </si>
  <si>
    <t>22/08/2021</t>
  </si>
  <si>
    <t>06/03/2021</t>
  </si>
  <si>
    <t>03/07/2021</t>
  </si>
  <si>
    <t>06/06/2021</t>
  </si>
  <si>
    <t>27/01/2021</t>
  </si>
  <si>
    <t>17/08/2020</t>
  </si>
  <si>
    <t>31/08/2020</t>
  </si>
  <si>
    <t>26/05/2020</t>
  </si>
  <si>
    <t>10/01/2020</t>
  </si>
  <si>
    <t>03/02/2020</t>
  </si>
  <si>
    <t>02/07/2018</t>
  </si>
  <si>
    <t>21/09/2015</t>
  </si>
  <si>
    <t>04/11/2014</t>
  </si>
  <si>
    <t>06/02/2015</t>
  </si>
  <si>
    <t>17/10/2014</t>
  </si>
  <si>
    <t>05/03/2014</t>
  </si>
  <si>
    <t>30/08/2011</t>
  </si>
  <si>
    <t>27/01/2014</t>
  </si>
  <si>
    <t>09/05/2013</t>
  </si>
  <si>
    <t>10/01/2014</t>
  </si>
  <si>
    <t>25/01/2012</t>
  </si>
  <si>
    <t>15/04/2011</t>
  </si>
  <si>
    <t>10/05/2011</t>
  </si>
  <si>
    <t>28/09/2011</t>
  </si>
  <si>
    <t>24/12/2008</t>
  </si>
  <si>
    <t>05/05/2010</t>
  </si>
  <si>
    <t>19/06/2008</t>
  </si>
  <si>
    <t>17/09/2008</t>
  </si>
  <si>
    <t>01/10/2010</t>
  </si>
  <si>
    <t>30/06/2010</t>
  </si>
  <si>
    <t>19/04/2010</t>
  </si>
  <si>
    <t>22/02/2008</t>
  </si>
  <si>
    <t>10/12/2009</t>
  </si>
  <si>
    <t>08/01/2010</t>
  </si>
  <si>
    <t>08/03/2010</t>
  </si>
  <si>
    <t>23/06/2010</t>
  </si>
  <si>
    <t>15/06/2010</t>
  </si>
  <si>
    <t>21/10/2009</t>
  </si>
  <si>
    <t>28/12/2009</t>
  </si>
  <si>
    <t>23/06/2009</t>
  </si>
  <si>
    <t>01/07/2009</t>
  </si>
  <si>
    <t>03/02/2009</t>
  </si>
  <si>
    <t>22/12/2008</t>
  </si>
  <si>
    <t>13/01/2009</t>
  </si>
  <si>
    <t>04/03/2008</t>
  </si>
  <si>
    <t>25/07/2008</t>
  </si>
  <si>
    <t>26/05/2008</t>
  </si>
  <si>
    <t>02/07/2014</t>
  </si>
  <si>
    <t>16/07/2013</t>
  </si>
  <si>
    <t>25/04/2013</t>
  </si>
  <si>
    <t>02/04/2013</t>
  </si>
  <si>
    <t>13/02/2013</t>
  </si>
  <si>
    <t>23/01/2013</t>
  </si>
  <si>
    <t>10/10/2011</t>
  </si>
  <si>
    <t>28/06/2012</t>
  </si>
  <si>
    <t>24/12/2012</t>
  </si>
  <si>
    <t>31/01/2013</t>
  </si>
  <si>
    <t>26/01/2012</t>
  </si>
  <si>
    <t>27/01/2012</t>
  </si>
  <si>
    <t>08/03/2011</t>
  </si>
  <si>
    <t>13/01/2011</t>
  </si>
  <si>
    <t>08/02/2024</t>
  </si>
  <si>
    <t>09/01/2024</t>
  </si>
  <si>
    <t>16/11/2023</t>
  </si>
  <si>
    <t>27/10/2023</t>
  </si>
  <si>
    <t>04/11/2022</t>
  </si>
  <si>
    <t>07/04/2023</t>
  </si>
  <si>
    <t>07/12/2022</t>
  </si>
  <si>
    <t>20/01/2023</t>
  </si>
  <si>
    <t>28/09/2022</t>
  </si>
  <si>
    <t>04/07/2022</t>
  </si>
  <si>
    <t>30/05/2022</t>
  </si>
  <si>
    <t>02/11/2021</t>
  </si>
  <si>
    <t>27/09/2021</t>
  </si>
  <si>
    <t>30/08/2021</t>
  </si>
  <si>
    <t>09/06/2021</t>
  </si>
  <si>
    <t>29/01/2021</t>
  </si>
  <si>
    <t>20/08/2020</t>
  </si>
  <si>
    <t>28/08/2020</t>
  </si>
  <si>
    <t>28/05/2020</t>
  </si>
  <si>
    <t>04/02/2020</t>
  </si>
  <si>
    <t>13/07/2018</t>
  </si>
  <si>
    <t>Miss</t>
  </si>
  <si>
    <t>no está medida, no se medirla</t>
  </si>
  <si>
    <t>dos protocolos, revisar</t>
  </si>
  <si>
    <t>la fecha de la eco no coincide con niguna de los días de medición</t>
  </si>
  <si>
    <t>no queda registrada en el dicom la fecha de la eco, no puedo relacionarla</t>
  </si>
  <si>
    <t>si</t>
  </si>
  <si>
    <t>ingreso</t>
  </si>
  <si>
    <t>Seguimiento</t>
  </si>
  <si>
    <t>ingreso-embolia</t>
  </si>
  <si>
    <t>ingreso,sem 1 ,sem 2-embolia</t>
  </si>
  <si>
    <t>ingreso y todas las semanas emboliaSeguimiento</t>
  </si>
  <si>
    <t>primera semana y todas las semanas embolia</t>
  </si>
  <si>
    <t>acv persiste ingreso y nuevo en la primera semana</t>
  </si>
  <si>
    <t>embolia y acv ingreso y persisten algunas semanas</t>
  </si>
  <si>
    <t>embolia ingreso y acv persiste ingreso</t>
  </si>
  <si>
    <t>acv ingreso y persiste la primera semana</t>
  </si>
  <si>
    <t>embolia en la semna 1 y persiste la siguientes, acv persiste tdas las semanas desde el ingreso</t>
  </si>
  <si>
    <t>embolias ingreso y semana 4 y persiste entre medias</t>
  </si>
  <si>
    <t>ACVA Isquemico</t>
  </si>
  <si>
    <t>ACVA Hemorragico</t>
  </si>
  <si>
    <t>ACVA isquemico</t>
  </si>
  <si>
    <t>ACVA hemorragico</t>
  </si>
  <si>
    <t>Hay dos en la mitral, no hay fecha alta y la fecha muerte es 4 años despues</t>
  </si>
  <si>
    <t>muy grande, año fecha muerte está mal puesta en el redcap</t>
  </si>
  <si>
    <t>Muy grande y fecha cirugía y alta 246 días despues</t>
  </si>
  <si>
    <t>creo que la fecha esta mal</t>
  </si>
  <si>
    <t>dificil de medir en la mitral, fecha cirugia mal puesto el año en el redcap</t>
  </si>
  <si>
    <t>muy pequeña, fecha embolia previa mal puesta el año</t>
  </si>
  <si>
    <t>fecha eco dicom rara, eco tambien rara, y es más grande que 11 y muy móvil</t>
  </si>
  <si>
    <t>cuesta saber donde empieza, pasan 97 días hasta el alta, tiene indicación de cirugía pero no se realiza por fragilidad</t>
  </si>
  <si>
    <t>dificil saber donde empieza, fecha de ingreso es la misma que la del alta y la cirugía es después</t>
  </si>
  <si>
    <t>en la mitral también hay algo con movimiento algo con movimiento errático. La fecha eco sacada del REDCAP, pero la fecha del alta es la misma que la de ingreso y anterior a la eco y a la cirugía</t>
  </si>
  <si>
    <t>no son 20. fecha del alta misma que la de ingreso y anterior al eco</t>
  </si>
  <si>
    <t>2015-10-15</t>
  </si>
  <si>
    <t>2015-03-20</t>
  </si>
  <si>
    <t>2014-11-14</t>
  </si>
  <si>
    <t>2014-04-21</t>
  </si>
  <si>
    <t>2014-04-28</t>
  </si>
  <si>
    <t>2011-09-21</t>
  </si>
  <si>
    <t>2013-07-09</t>
  </si>
  <si>
    <t>2014-10-13</t>
  </si>
  <si>
    <t>2012-03-07</t>
  </si>
  <si>
    <t>2011-06-17</t>
  </si>
  <si>
    <t>2011-10-21</t>
  </si>
  <si>
    <t>2010-12-09</t>
  </si>
  <si>
    <t>2010-12-05</t>
  </si>
  <si>
    <t>2010-08-04</t>
  </si>
  <si>
    <t>2010-03-04</t>
  </si>
  <si>
    <t>2008-04-16</t>
  </si>
  <si>
    <t>2010-02-03</t>
  </si>
  <si>
    <t>2010-05-25</t>
  </si>
  <si>
    <t>2010-07-23</t>
  </si>
  <si>
    <t>2010-07-13</t>
  </si>
  <si>
    <t>2010-06-28</t>
  </si>
  <si>
    <t>2009-07-20</t>
  </si>
  <si>
    <t>2009-05-28</t>
  </si>
  <si>
    <t>2009-02-02</t>
  </si>
  <si>
    <t>2009-02-09</t>
  </si>
  <si>
    <t>2008-09-18</t>
  </si>
  <si>
    <t>2008-06-23</t>
  </si>
  <si>
    <t>2014-08-08</t>
  </si>
  <si>
    <t>2013-07-04</t>
  </si>
  <si>
    <t>2013-05-27</t>
  </si>
  <si>
    <t>2013-05-03</t>
  </si>
  <si>
    <t>2013-04-03</t>
  </si>
  <si>
    <t>2011-12-05</t>
  </si>
  <si>
    <t>2013-02-25</t>
  </si>
  <si>
    <t>2013-02-28</t>
  </si>
  <si>
    <t>2012-06-08</t>
  </si>
  <si>
    <t>2012-05-04</t>
  </si>
  <si>
    <t>2012-03-22</t>
  </si>
  <si>
    <t>2012-03-05</t>
  </si>
  <si>
    <t>2012-04-22</t>
  </si>
  <si>
    <t>2011-10-27</t>
  </si>
  <si>
    <t>2011-04-11</t>
  </si>
  <si>
    <t>2011-02-11</t>
  </si>
  <si>
    <t>2024-03-08</t>
  </si>
  <si>
    <t>2023-12-18</t>
  </si>
  <si>
    <t>2023-02-17</t>
  </si>
  <si>
    <t>2022-10-06</t>
  </si>
  <si>
    <t>2022-06-22</t>
  </si>
  <si>
    <t>2022-05-10</t>
  </si>
  <si>
    <t>2021-12-08</t>
  </si>
  <si>
    <t>2021-10-05</t>
  </si>
  <si>
    <t>2021-03-25</t>
  </si>
  <si>
    <t>2021-07-27</t>
  </si>
  <si>
    <t>2020-06-23</t>
  </si>
  <si>
    <t>2020-02-28</t>
  </si>
  <si>
    <t>2018-08-09</t>
  </si>
  <si>
    <t>2014-11-12</t>
  </si>
  <si>
    <t>2014-04-09</t>
  </si>
  <si>
    <t>2014-09-22</t>
  </si>
  <si>
    <t>2011-09-30</t>
  </si>
  <si>
    <t>2008-12-26</t>
  </si>
  <si>
    <t>2010-10-19</t>
  </si>
  <si>
    <t>2010-04-26</t>
  </si>
  <si>
    <t>2010-01-18</t>
  </si>
  <si>
    <t>2010-01-25</t>
  </si>
  <si>
    <t>2014-07-11</t>
  </si>
  <si>
    <t>2013-08-09</t>
  </si>
  <si>
    <t>2013-05-06</t>
  </si>
  <si>
    <t>2014-08-12</t>
  </si>
  <si>
    <t>2013-02-20</t>
  </si>
  <si>
    <t>2011-10-24</t>
  </si>
  <si>
    <t>2013-02-06</t>
  </si>
  <si>
    <t>2013-02-08</t>
  </si>
  <si>
    <t>2012-01-31</t>
  </si>
  <si>
    <t>2012-02-03</t>
  </si>
  <si>
    <t>2012-03-09</t>
  </si>
  <si>
    <t>2011-10-07</t>
  </si>
  <si>
    <t>2012-02-06</t>
  </si>
  <si>
    <t>2011-03-18</t>
  </si>
  <si>
    <t>2023-10-28</t>
  </si>
  <si>
    <t>2023-05-02</t>
  </si>
  <si>
    <t>2022-09-14</t>
  </si>
  <si>
    <t>2022-06-03</t>
  </si>
  <si>
    <t>2021-11-09</t>
  </si>
  <si>
    <t>2021-03-05</t>
  </si>
  <si>
    <t>2020-08-26</t>
  </si>
  <si>
    <t>2020-09-04</t>
  </si>
  <si>
    <t>2020-01-13</t>
  </si>
  <si>
    <t>2018-07-23</t>
  </si>
  <si>
    <t>2014-11-13</t>
  </si>
  <si>
    <t>2014-01-30</t>
  </si>
  <si>
    <t>2014-01-16</t>
  </si>
  <si>
    <t>2011-06-29</t>
  </si>
  <si>
    <t>2009-02-08</t>
  </si>
  <si>
    <t>2010-05-07</t>
  </si>
  <si>
    <t>2008-06-22</t>
  </si>
  <si>
    <t>2008-10-07</t>
  </si>
  <si>
    <t>2010-01-16</t>
  </si>
  <si>
    <t>2010-02-09</t>
  </si>
  <si>
    <t>2009-11-08</t>
  </si>
  <si>
    <t>2009-06-24</t>
  </si>
  <si>
    <t>2009-03-25</t>
  </si>
  <si>
    <t>2008-03-11</t>
  </si>
  <si>
    <t>2013-08-20</t>
  </si>
  <si>
    <t>2014-09-10</t>
  </si>
  <si>
    <t>2013-03-21</t>
  </si>
  <si>
    <t>2012-07-08</t>
  </si>
  <si>
    <t>2012-03-16</t>
  </si>
  <si>
    <t>2012-02-10</t>
  </si>
  <si>
    <t>2024-01-21</t>
  </si>
  <si>
    <t>2023-11-09</t>
  </si>
  <si>
    <t>2022-12-31</t>
  </si>
  <si>
    <t>2022-02-19</t>
  </si>
  <si>
    <t>2021-06-22</t>
  </si>
  <si>
    <t>2020-09-17</t>
  </si>
  <si>
    <t>ACVA</t>
  </si>
  <si>
    <t>hospital</t>
  </si>
  <si>
    <t>HCSCM</t>
  </si>
  <si>
    <t>HGTPB</t>
  </si>
  <si>
    <t>HULAL</t>
  </si>
  <si>
    <t>HULFV</t>
  </si>
  <si>
    <t>HUPHM</t>
  </si>
  <si>
    <t>HURSC</t>
  </si>
  <si>
    <t>HCUV</t>
  </si>
  <si>
    <t>fecha_inicio_trat</t>
  </si>
  <si>
    <t>2020-08-19</t>
  </si>
  <si>
    <t>2021-08-05</t>
  </si>
  <si>
    <t>2023-06-13</t>
  </si>
  <si>
    <t>2024-12-18</t>
  </si>
  <si>
    <t>2021-12-18</t>
  </si>
  <si>
    <t>2025-05-16</t>
  </si>
  <si>
    <t>2024-02-11</t>
  </si>
  <si>
    <t>2023-10-07</t>
  </si>
  <si>
    <t>2023-07-23</t>
  </si>
  <si>
    <t>2023-03-20</t>
  </si>
  <si>
    <t>2023-03-10</t>
  </si>
  <si>
    <t>2022-02-26</t>
  </si>
  <si>
    <t>2022-01-25</t>
  </si>
  <si>
    <t>2024-05-01</t>
  </si>
  <si>
    <t>2023-05-17</t>
  </si>
  <si>
    <t>2023-06-16</t>
  </si>
  <si>
    <t>2024-08-02</t>
  </si>
  <si>
    <t>2024-11-26</t>
  </si>
  <si>
    <t>2025-03-13</t>
  </si>
  <si>
    <t>2025-02-23</t>
  </si>
  <si>
    <t>2025-04-21</t>
  </si>
  <si>
    <t>2025-09-24</t>
  </si>
  <si>
    <t>2021-01-23</t>
  </si>
  <si>
    <t>2024-04-08</t>
  </si>
  <si>
    <t>2021-09-16</t>
  </si>
  <si>
    <t>2021-02-13</t>
  </si>
  <si>
    <t>2020-11-17</t>
  </si>
  <si>
    <t>2018-01-11</t>
  </si>
  <si>
    <t>2023-06-28</t>
  </si>
  <si>
    <t>2017-12-05</t>
  </si>
  <si>
    <t>2020-05-31</t>
  </si>
  <si>
    <t>2020-04-13</t>
  </si>
  <si>
    <t>2024-07-31</t>
  </si>
  <si>
    <t>2024-10-10</t>
  </si>
  <si>
    <t>2024-12-06</t>
  </si>
  <si>
    <t>2024-02-08</t>
  </si>
  <si>
    <t>2025-02-02</t>
  </si>
  <si>
    <t>2025-03-23</t>
  </si>
  <si>
    <t>2025-06-20</t>
  </si>
  <si>
    <t>2025-05-29</t>
  </si>
  <si>
    <t>2023-04-14</t>
  </si>
  <si>
    <t>2022-03-17</t>
  </si>
  <si>
    <t>2022-06-19</t>
  </si>
  <si>
    <t>2021-11-13</t>
  </si>
  <si>
    <t>2021-09-21</t>
  </si>
  <si>
    <t>2022-05-18</t>
  </si>
  <si>
    <t>2019-08-07</t>
  </si>
  <si>
    <t>2019-09-04</t>
  </si>
  <si>
    <t>2020-04-25</t>
  </si>
  <si>
    <t>2020-09-25</t>
  </si>
  <si>
    <t>2021-04-15</t>
  </si>
  <si>
    <t>2022-06-12</t>
  </si>
  <si>
    <t>2022-06-06</t>
  </si>
  <si>
    <t>2017-07-25</t>
  </si>
  <si>
    <t>2016-06-19</t>
  </si>
  <si>
    <t>2016-04-26</t>
  </si>
  <si>
    <t>2018-12-11</t>
  </si>
  <si>
    <t>2017-11-15</t>
  </si>
  <si>
    <t>2015-10-25</t>
  </si>
  <si>
    <t>2020-08-27</t>
  </si>
  <si>
    <t>2019-12-24</t>
  </si>
  <si>
    <t>2019-08-18</t>
  </si>
  <si>
    <t>2019-01-18</t>
  </si>
  <si>
    <t>2020-01-16</t>
  </si>
  <si>
    <t>dificil medir, hay dos grandes en la aórtica, es caso porque la previa es posterior a la eco</t>
  </si>
  <si>
    <t>muy grande pero no veo el 30, las embolias previas son el mismo día que la eco</t>
  </si>
  <si>
    <t>Son las dos dificiles de medir, tener en cuenta que además de tener post tiene previa mismo día que la eco</t>
  </si>
  <si>
    <t>muy larga y móvil, embolia previa mismo día que el eco</t>
  </si>
  <si>
    <t>dificil de medir, muy anclada, caso curioso</t>
  </si>
  <si>
    <t>26-05-2020</t>
  </si>
  <si>
    <t>2024-02-07</t>
  </si>
  <si>
    <t>preguntar Adrian Fechas</t>
  </si>
  <si>
    <t xml:space="preserve"> no se medirla, comprobar adrián, iptus posterior, fallos de memoria </t>
  </si>
  <si>
    <t>preguntar adrian, pone embolia y informe tac 27 en palencia descarta embolismo pulmonar</t>
  </si>
  <si>
    <t>fecha cirugía cambiada tras mirar el historial</t>
  </si>
  <si>
    <t>IA</t>
  </si>
  <si>
    <t>comments IA measurement</t>
  </si>
  <si>
    <t>Sin embolias previas o post ni muerte ni cirugía</t>
  </si>
  <si>
    <t>IA_RECORD</t>
  </si>
  <si>
    <t>1226645_8</t>
  </si>
  <si>
    <t>2571256_25</t>
  </si>
  <si>
    <t>A9X7RUCS</t>
  </si>
  <si>
    <t>2574432_29</t>
  </si>
  <si>
    <t>2638996_2</t>
  </si>
  <si>
    <t>2718947_17</t>
  </si>
  <si>
    <t>1734885_1</t>
  </si>
  <si>
    <t>131977_2</t>
  </si>
  <si>
    <t>1758093_1</t>
  </si>
  <si>
    <t>2419082_2</t>
  </si>
  <si>
    <t>2307720_2</t>
  </si>
  <si>
    <t>1855739_3</t>
  </si>
  <si>
    <t>2454406_5</t>
  </si>
  <si>
    <t>1572014_2</t>
  </si>
  <si>
    <t>2400470_3</t>
  </si>
  <si>
    <t>819229_2</t>
  </si>
  <si>
    <t>2534956_2</t>
  </si>
  <si>
    <t>2529312_1</t>
  </si>
  <si>
    <t>562464_11</t>
  </si>
  <si>
    <t>2739127_11</t>
  </si>
  <si>
    <t>1370986_1</t>
  </si>
  <si>
    <t>1740014_8</t>
  </si>
  <si>
    <t>219913_15</t>
  </si>
  <si>
    <t>1441420_10</t>
  </si>
  <si>
    <t>2624238_1</t>
  </si>
  <si>
    <t>2059319_2</t>
  </si>
  <si>
    <t>560742_1</t>
  </si>
  <si>
    <t>2599036_3</t>
  </si>
  <si>
    <t>2575725_1</t>
  </si>
  <si>
    <t>2511968_3</t>
  </si>
  <si>
    <t>2075675_1</t>
  </si>
  <si>
    <t>2572887_6</t>
  </si>
  <si>
    <t>2564063_4</t>
  </si>
  <si>
    <t>83631_1</t>
  </si>
  <si>
    <t>1467340_1</t>
  </si>
  <si>
    <t>704042_1</t>
  </si>
  <si>
    <t>489385_3</t>
  </si>
  <si>
    <t>717292_2</t>
  </si>
  <si>
    <t>2715450_1</t>
  </si>
  <si>
    <t>481131_11</t>
  </si>
  <si>
    <t>762372_4</t>
  </si>
  <si>
    <t>1279866_3</t>
  </si>
  <si>
    <t>1288296_29</t>
  </si>
  <si>
    <t>2498702_24</t>
  </si>
  <si>
    <t>261969_6</t>
  </si>
  <si>
    <t>2238250_9</t>
  </si>
  <si>
    <t>1983667_10</t>
  </si>
  <si>
    <t>165368_17</t>
  </si>
  <si>
    <t>HCSC_52_3</t>
  </si>
  <si>
    <t>1000_2</t>
  </si>
  <si>
    <t>1001_5</t>
  </si>
  <si>
    <t>1003_11</t>
  </si>
  <si>
    <t>15521132_12</t>
  </si>
  <si>
    <t>19801477_2</t>
  </si>
  <si>
    <t>21246909_4</t>
  </si>
  <si>
    <t>20600121_6</t>
  </si>
  <si>
    <t>14869633_92</t>
  </si>
  <si>
    <t>11411429_4</t>
  </si>
  <si>
    <t>13100376_14</t>
  </si>
  <si>
    <t>591857_4</t>
  </si>
  <si>
    <t>18883658_10</t>
  </si>
  <si>
    <t>10248043_9</t>
  </si>
  <si>
    <t>141907_1</t>
  </si>
  <si>
    <t>14883570_11</t>
  </si>
  <si>
    <t>10659957_1</t>
  </si>
  <si>
    <t>568081_4</t>
  </si>
  <si>
    <t>19972629_2</t>
  </si>
  <si>
    <t>483418_15</t>
  </si>
  <si>
    <t>15953358_9</t>
  </si>
  <si>
    <t>607886_15</t>
  </si>
  <si>
    <t>567218_10</t>
  </si>
  <si>
    <t>15188846_29</t>
  </si>
  <si>
    <t>HGTPB-24_1</t>
  </si>
  <si>
    <t>330039_13</t>
  </si>
  <si>
    <t>HGTPB-26_12</t>
  </si>
  <si>
    <t>HGTPB-27_15</t>
  </si>
  <si>
    <t>HGTPB-28_5</t>
  </si>
  <si>
    <t>HGTPB-29_40</t>
  </si>
  <si>
    <t>HGTPB-30_2</t>
  </si>
  <si>
    <t>HGTPB-31_REVISADO_3</t>
  </si>
  <si>
    <t>HGTPB-32_REVISADO_32</t>
  </si>
  <si>
    <t>HGTPB-33_REVISADO_12</t>
  </si>
  <si>
    <t>10852546_8</t>
  </si>
  <si>
    <t>HGTPB-35_24</t>
  </si>
  <si>
    <t>HGTPB-36_8</t>
  </si>
  <si>
    <t>HGTPB-37_29</t>
  </si>
  <si>
    <t>HGTPB-38_56</t>
  </si>
  <si>
    <t>HGTPB-39_14</t>
  </si>
  <si>
    <t>HGTPB-40_2</t>
  </si>
  <si>
    <t>HGTPB-41_1</t>
  </si>
  <si>
    <t>HGTPB-42_35</t>
  </si>
  <si>
    <t>HGTPB-43_1</t>
  </si>
  <si>
    <t>HGTPB-44_6</t>
  </si>
  <si>
    <t>HGTPB-45_29</t>
  </si>
  <si>
    <t>570696_11</t>
  </si>
  <si>
    <t>HGTPB-47_15</t>
  </si>
  <si>
    <t>HGTPB-48_31</t>
  </si>
  <si>
    <t>HGTPB-49_38</t>
  </si>
  <si>
    <t>HGTPB-51_2</t>
  </si>
  <si>
    <t>HGTPB-52_3</t>
  </si>
  <si>
    <t>HGTPB-53_25</t>
  </si>
  <si>
    <t>HGTPB-54_1</t>
  </si>
  <si>
    <t>HGTPB-55_10</t>
  </si>
  <si>
    <t>2458671_27</t>
  </si>
  <si>
    <t>2159300_39</t>
  </si>
  <si>
    <t>2740919_14</t>
  </si>
  <si>
    <t>2702175_1</t>
  </si>
  <si>
    <t>2228902_16</t>
  </si>
  <si>
    <t>2488582_1</t>
  </si>
  <si>
    <t>2096816_36</t>
  </si>
  <si>
    <t>2427767_18</t>
  </si>
  <si>
    <t>2107639_17</t>
  </si>
  <si>
    <t>2243457_20</t>
  </si>
  <si>
    <t>2183094_46</t>
  </si>
  <si>
    <t>2288670_58</t>
  </si>
  <si>
    <t>2357806_12</t>
  </si>
  <si>
    <t>2216498_7</t>
  </si>
  <si>
    <t>2290594_31</t>
  </si>
  <si>
    <t>2233210_29</t>
  </si>
  <si>
    <t>2246482_40</t>
  </si>
  <si>
    <t>2029578_19</t>
  </si>
  <si>
    <t>2049922_31</t>
  </si>
  <si>
    <t>2289489_32</t>
  </si>
  <si>
    <t>2359559_2</t>
  </si>
  <si>
    <t>2486399_5</t>
  </si>
  <si>
    <t>2174585_17</t>
  </si>
  <si>
    <t>2625910_37</t>
  </si>
  <si>
    <t>2262005_42</t>
  </si>
  <si>
    <t>2008977_27</t>
  </si>
  <si>
    <t>2396753_20</t>
  </si>
  <si>
    <t>2314368_15</t>
  </si>
  <si>
    <t>HULAL30IDModify_12</t>
  </si>
  <si>
    <t>2279866_3</t>
  </si>
  <si>
    <t>2410587_8</t>
  </si>
  <si>
    <t>2607295_4</t>
  </si>
  <si>
    <t>2344333_37</t>
  </si>
  <si>
    <t>2102218_29</t>
  </si>
  <si>
    <t>2123606_9</t>
  </si>
  <si>
    <t>2528912_29</t>
  </si>
  <si>
    <t>2088688_2</t>
  </si>
  <si>
    <t>2731223_9</t>
  </si>
  <si>
    <t>2673186_11</t>
  </si>
  <si>
    <t>2273853_4</t>
  </si>
  <si>
    <t>2182871_15</t>
  </si>
  <si>
    <t>2119377_3</t>
  </si>
  <si>
    <t>2230647_29</t>
  </si>
  <si>
    <t>2321995_42</t>
  </si>
  <si>
    <t>2053180_25</t>
  </si>
  <si>
    <t>2168436_31</t>
  </si>
  <si>
    <t>2765503_25</t>
  </si>
  <si>
    <t>2607532_30</t>
  </si>
  <si>
    <t>2318112_14</t>
  </si>
  <si>
    <t>2854623_9</t>
  </si>
  <si>
    <t>2642759_5</t>
  </si>
  <si>
    <t>2223317_22</t>
  </si>
  <si>
    <t>2313159_6</t>
  </si>
  <si>
    <t>2079248_1</t>
  </si>
  <si>
    <t>2065522_16</t>
  </si>
  <si>
    <t>2431691_34</t>
  </si>
  <si>
    <t>2232469_14</t>
  </si>
  <si>
    <t>1994059_8</t>
  </si>
  <si>
    <t>2298922_4</t>
  </si>
  <si>
    <t>2288822_21</t>
  </si>
  <si>
    <t>2184812_2</t>
  </si>
  <si>
    <t>27187817_11</t>
  </si>
  <si>
    <t>3101013_13</t>
  </si>
  <si>
    <t>3299923_7</t>
  </si>
  <si>
    <t>3100013_2</t>
  </si>
  <si>
    <t>19480722647_10</t>
  </si>
  <si>
    <t>19710823660_15</t>
  </si>
  <si>
    <t>19531219115_27</t>
  </si>
  <si>
    <t>19550823854_12</t>
  </si>
  <si>
    <t>19670725985_9</t>
  </si>
  <si>
    <t>19460827885_7</t>
  </si>
  <si>
    <t>1354354214_8</t>
  </si>
  <si>
    <t>1096714736_8</t>
  </si>
  <si>
    <t>1531305452_4</t>
  </si>
  <si>
    <t>1317770056_4</t>
  </si>
  <si>
    <t>1612054518_5</t>
  </si>
  <si>
    <t>1110296554_6</t>
  </si>
  <si>
    <t>3389194_10</t>
  </si>
  <si>
    <t>1553799146_5</t>
  </si>
  <si>
    <t>1531867547_8</t>
  </si>
  <si>
    <t>1316287269_21</t>
  </si>
  <si>
    <t>1553400941_5</t>
  </si>
  <si>
    <t>1597028107_32</t>
  </si>
  <si>
    <t>1447021445_17</t>
  </si>
  <si>
    <t>1167554139_2</t>
  </si>
  <si>
    <t>5067841_36</t>
  </si>
  <si>
    <t>1374092603_2</t>
  </si>
  <si>
    <t>878538_17</t>
  </si>
  <si>
    <t>5436085_20</t>
  </si>
  <si>
    <t>1145968508_6</t>
  </si>
  <si>
    <t>1553251195_8</t>
  </si>
  <si>
    <t>1244701976_10</t>
  </si>
  <si>
    <t>1491110369_14</t>
  </si>
  <si>
    <t>1849532241_12</t>
  </si>
  <si>
    <t>1144938688_19</t>
  </si>
  <si>
    <t>1513141493_14</t>
  </si>
  <si>
    <t>1470913252_26</t>
  </si>
  <si>
    <t>1389102240_8</t>
  </si>
  <si>
    <t>1576287079_6</t>
  </si>
  <si>
    <t>1437929717_11</t>
  </si>
  <si>
    <t>1266670759_2</t>
  </si>
  <si>
    <t>1784132114_3</t>
  </si>
  <si>
    <t>1025819254_3</t>
  </si>
  <si>
    <t>2039537457_6</t>
  </si>
  <si>
    <t>1553813900_8</t>
  </si>
  <si>
    <t>HUPHM_35422_4</t>
  </si>
  <si>
    <t>HUPHM_37333_8</t>
  </si>
  <si>
    <t>HUPHM_38434_12</t>
  </si>
  <si>
    <t>HUPHM_39493_3</t>
  </si>
  <si>
    <t>HUPHM_40404_18</t>
  </si>
  <si>
    <t>HUPHM_41421_18</t>
  </si>
  <si>
    <t>HUPHM_42221_37</t>
  </si>
  <si>
    <t>HUPHM_43321_10</t>
  </si>
  <si>
    <t>HUPHM_44121_29</t>
  </si>
  <si>
    <t>HUPHM_45525_5</t>
  </si>
  <si>
    <t>HUPHM_46265_3</t>
  </si>
  <si>
    <t>HUPHM_47167_9</t>
  </si>
  <si>
    <t>HUPHM_48228_12</t>
  </si>
  <si>
    <t>HUPHM_49119_7</t>
  </si>
  <si>
    <t>HUPHM_50055_1</t>
  </si>
  <si>
    <t>PH 591-45_5</t>
  </si>
  <si>
    <t>SC 241-8_6</t>
  </si>
  <si>
    <t>SC 235-8_1</t>
  </si>
  <si>
    <t>PH 536-1_7</t>
  </si>
  <si>
    <t>PH 511-8_8</t>
  </si>
  <si>
    <t>PH 662-64_15</t>
  </si>
  <si>
    <t>PH 658-56_7</t>
  </si>
  <si>
    <t>PH 368-49_12</t>
  </si>
  <si>
    <t>PH 473-17_7</t>
  </si>
  <si>
    <t>PH 483-2_6</t>
  </si>
  <si>
    <t>PH 668-30_6</t>
  </si>
  <si>
    <t>AN0197572833_2</t>
  </si>
  <si>
    <t>PH 600-65_6</t>
  </si>
  <si>
    <t>PH 482-53_14</t>
  </si>
  <si>
    <t>PH 484-45_5</t>
  </si>
  <si>
    <t>PH 395-62_3</t>
  </si>
  <si>
    <t>PH 394-23_2</t>
  </si>
  <si>
    <t>PH 387-60_5</t>
  </si>
  <si>
    <t>PH 796-17_12</t>
  </si>
  <si>
    <t>EPIQ4315_1</t>
  </si>
  <si>
    <t>EPIQ3537_12</t>
  </si>
  <si>
    <t>EPIZ3512_9</t>
  </si>
  <si>
    <t>SC 372-36_29</t>
  </si>
  <si>
    <t>SC 394-28_3</t>
  </si>
  <si>
    <t>AN0188357732_1</t>
  </si>
  <si>
    <t>AN0201948341_8</t>
  </si>
  <si>
    <t>EPIQ62_1</t>
  </si>
  <si>
    <t>SC 352-3_59</t>
  </si>
  <si>
    <t>PH 697-15_5</t>
  </si>
  <si>
    <t>PH 684-6_5</t>
  </si>
  <si>
    <t>PH 683-20_3</t>
  </si>
  <si>
    <t>PH 676-20_10</t>
  </si>
  <si>
    <t>PH 671-16_20</t>
  </si>
  <si>
    <t>SC 283-38_1</t>
  </si>
  <si>
    <t>PH 667-19_14</t>
  </si>
  <si>
    <t>EPIQ 301-21_2</t>
  </si>
  <si>
    <t>EPIQ 246-22_3</t>
  </si>
  <si>
    <t>EPIQ 243-15_8</t>
  </si>
  <si>
    <t>EPIQ 139-23_2</t>
  </si>
  <si>
    <t>EPIQ 45-5_1</t>
  </si>
  <si>
    <t>EPIQ 27-1_4</t>
  </si>
  <si>
    <t>PH 380-4_10</t>
  </si>
  <si>
    <t>140923_5</t>
  </si>
  <si>
    <t>353529_28</t>
  </si>
  <si>
    <t>570084_1</t>
  </si>
  <si>
    <t>245399_4</t>
  </si>
  <si>
    <t>80783_2</t>
  </si>
  <si>
    <t>682127_4</t>
  </si>
  <si>
    <t>675204_1</t>
  </si>
  <si>
    <t>651237_1</t>
  </si>
  <si>
    <t>343836_10</t>
  </si>
  <si>
    <t>622661_6</t>
  </si>
  <si>
    <t>673676_20</t>
  </si>
  <si>
    <t>224436_16</t>
  </si>
  <si>
    <t>670615_8</t>
  </si>
  <si>
    <t>669183_6</t>
  </si>
  <si>
    <t>109897_1</t>
  </si>
  <si>
    <t>272340_4</t>
  </si>
  <si>
    <t>385597_1</t>
  </si>
  <si>
    <t>663849_14</t>
  </si>
  <si>
    <t>660022_5</t>
  </si>
  <si>
    <t>492864_2</t>
  </si>
  <si>
    <t>44398_2</t>
  </si>
  <si>
    <t>656960_1</t>
  </si>
  <si>
    <t>656335_4</t>
  </si>
  <si>
    <t>651399_4</t>
  </si>
  <si>
    <t>6272_15</t>
  </si>
  <si>
    <t>646778_6</t>
  </si>
  <si>
    <t>178572_3</t>
  </si>
  <si>
    <t>380772_5</t>
  </si>
  <si>
    <t>512291_1</t>
  </si>
  <si>
    <t>189018_19</t>
  </si>
  <si>
    <t>I1280</t>
  </si>
  <si>
    <t>I1247</t>
  </si>
  <si>
    <t>I1224</t>
  </si>
  <si>
    <t>I1209</t>
  </si>
  <si>
    <t>I1192</t>
  </si>
  <si>
    <t>I1170</t>
  </si>
  <si>
    <t>I1161</t>
  </si>
  <si>
    <t>I1149</t>
  </si>
  <si>
    <t>I1130</t>
  </si>
  <si>
    <t>I1109</t>
  </si>
  <si>
    <t>I1093</t>
  </si>
  <si>
    <t>I1078</t>
  </si>
  <si>
    <t>I1069</t>
  </si>
  <si>
    <t>I1041</t>
  </si>
  <si>
    <t>I1002</t>
  </si>
  <si>
    <t>I992</t>
  </si>
  <si>
    <t>I964</t>
  </si>
  <si>
    <t>I960</t>
  </si>
  <si>
    <t>I921</t>
  </si>
  <si>
    <t>I912</t>
  </si>
  <si>
    <t>I877</t>
  </si>
  <si>
    <t>I863</t>
  </si>
  <si>
    <t>I854</t>
  </si>
  <si>
    <t>I839</t>
  </si>
  <si>
    <t>I822</t>
  </si>
  <si>
    <t>I812</t>
  </si>
  <si>
    <t>I789</t>
  </si>
  <si>
    <t>I770</t>
  </si>
  <si>
    <t>I741</t>
  </si>
  <si>
    <t>I709</t>
  </si>
  <si>
    <t>I698</t>
  </si>
  <si>
    <t>I675</t>
  </si>
  <si>
    <t>I646</t>
  </si>
  <si>
    <t>I641</t>
  </si>
  <si>
    <t>I618</t>
  </si>
  <si>
    <t>I600</t>
  </si>
  <si>
    <t>I592</t>
  </si>
  <si>
    <t>I569</t>
  </si>
  <si>
    <t>I556</t>
  </si>
  <si>
    <t>I541</t>
  </si>
  <si>
    <t>I517</t>
  </si>
  <si>
    <t>I502</t>
  </si>
  <si>
    <t>I491</t>
  </si>
  <si>
    <t>I465</t>
  </si>
  <si>
    <t>I435</t>
  </si>
  <si>
    <t>I417</t>
  </si>
  <si>
    <t>I387</t>
  </si>
  <si>
    <t>I377</t>
  </si>
  <si>
    <t>I359</t>
  </si>
  <si>
    <t>I342</t>
  </si>
  <si>
    <t>I327</t>
  </si>
  <si>
    <t>I302</t>
  </si>
  <si>
    <t>I268</t>
  </si>
  <si>
    <t>I261</t>
  </si>
  <si>
    <t>I230</t>
  </si>
  <si>
    <t>I213</t>
  </si>
  <si>
    <t>I204</t>
  </si>
  <si>
    <t>I180</t>
  </si>
  <si>
    <t>I161</t>
  </si>
  <si>
    <t>I131</t>
  </si>
  <si>
    <t>I107</t>
  </si>
  <si>
    <t>I87</t>
  </si>
  <si>
    <t>I70</t>
  </si>
  <si>
    <t>I54</t>
  </si>
  <si>
    <t>I33</t>
  </si>
  <si>
    <t>I11</t>
  </si>
  <si>
    <t>HULFV-18</t>
  </si>
  <si>
    <t>HULFV-24</t>
  </si>
  <si>
    <t>HULFV-23</t>
  </si>
  <si>
    <t>HULFV-22</t>
  </si>
  <si>
    <t>HULFV-21</t>
  </si>
  <si>
    <t>HULFV-20</t>
  </si>
  <si>
    <t>HULFV-19</t>
  </si>
  <si>
    <t>2025-09-29</t>
  </si>
  <si>
    <t>2025-10-20</t>
  </si>
  <si>
    <t>2025-05-09</t>
  </si>
  <si>
    <t>2024-12-12</t>
  </si>
  <si>
    <t>2025-12-18</t>
  </si>
  <si>
    <t>2025-12-16</t>
  </si>
  <si>
    <t>2025-02-15</t>
  </si>
  <si>
    <t>2025-04-16</t>
  </si>
  <si>
    <t>2025-05-12</t>
  </si>
  <si>
    <t>2024-11-19</t>
  </si>
  <si>
    <t>2024-11-11</t>
  </si>
  <si>
    <t>2024-11-16</t>
  </si>
  <si>
    <t>2025-11-21</t>
  </si>
  <si>
    <t>2024-11-27</t>
  </si>
  <si>
    <t>HCUVA-2</t>
  </si>
  <si>
    <t>HCUVA-3</t>
  </si>
  <si>
    <t>HCUVA-4</t>
  </si>
  <si>
    <t>2025-08-21</t>
  </si>
  <si>
    <t>HCUVA-5</t>
  </si>
  <si>
    <t>2025-08-01</t>
  </si>
  <si>
    <t>2025-08-02</t>
  </si>
  <si>
    <t>2025-08-13</t>
  </si>
  <si>
    <t>2025-08-05</t>
  </si>
  <si>
    <t>2025-08-27</t>
  </si>
  <si>
    <t>HCUVA-6</t>
  </si>
  <si>
    <t>2025-07-31</t>
  </si>
  <si>
    <t>2025-09-03</t>
  </si>
  <si>
    <t>2025-09-22</t>
  </si>
  <si>
    <t>HCUVA-7</t>
  </si>
  <si>
    <t>2025-08-26</t>
  </si>
  <si>
    <t>2025-08-29</t>
  </si>
  <si>
    <t>2025-10-03</t>
  </si>
  <si>
    <t>HCUVA-8</t>
  </si>
  <si>
    <t>2025-08-25</t>
  </si>
  <si>
    <t>2025-08-24</t>
  </si>
  <si>
    <t>2025-08-28</t>
  </si>
  <si>
    <t>HCUVA-9</t>
  </si>
  <si>
    <t>2025-04-28</t>
  </si>
  <si>
    <t>2025-04-29</t>
  </si>
  <si>
    <t>HCUVA-10</t>
  </si>
  <si>
    <t>2025-09-05</t>
  </si>
  <si>
    <t>2025-09-09</t>
  </si>
  <si>
    <t>2025-09-10</t>
  </si>
  <si>
    <t>HCUVA-11</t>
  </si>
  <si>
    <t>2025-09-06</t>
  </si>
  <si>
    <t>2025-09-15</t>
  </si>
  <si>
    <t>2025-10-07</t>
  </si>
  <si>
    <t>HCUVA-12</t>
  </si>
  <si>
    <t>2025-08-31</t>
  </si>
  <si>
    <t>2025-09-19</t>
  </si>
  <si>
    <t>HCUVA</t>
  </si>
  <si>
    <t>Era la prueba</t>
  </si>
  <si>
    <t>Mide menos que 14, no veo lade la aórtica</t>
  </si>
  <si>
    <t>HCSC_53</t>
  </si>
  <si>
    <t>HCSC_54</t>
  </si>
  <si>
    <t>Cirugía entre o previa a eco y embolia</t>
  </si>
  <si>
    <t>dificil de ver</t>
  </si>
  <si>
    <t>Embolia post-eco sin previas</t>
  </si>
  <si>
    <t>Embolia día  eco sin previas</t>
  </si>
  <si>
    <t>2023-02-01</t>
  </si>
  <si>
    <t>2021-08-12</t>
  </si>
  <si>
    <t>2023-01-13</t>
  </si>
  <si>
    <t>2023-03-04</t>
  </si>
  <si>
    <t>2024-10-06</t>
  </si>
  <si>
    <t>2025-02-10</t>
  </si>
  <si>
    <t>2015-10-30</t>
  </si>
  <si>
    <t>fecha antes que el eco, la de la muerte estaba mal</t>
  </si>
  <si>
    <t>ecos en dos días diferentes, uno con prótesis y otro sin prótesis</t>
  </si>
  <si>
    <t>no la veo, mismo paciente que HULAL 48 en otra fecha, tiene ecos dos días diferentes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</si>
</sst>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6969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5" borderId="0" xfId="0" applyFill="1" applyAlignment="1">
      <alignment horizontal="center"/>
    </xf>
    <xf numFmtId="49" fontId="0" fillId="2" borderId="0" xfId="0" applyNumberFormat="1" applyFill="1" applyAlignment="1">
      <alignment horizontal="center"/>
    </xf>
    <xf numFmtId="49" fontId="0" fillId="4" borderId="0" xfId="0" applyNumberFormat="1" applyFill="1" applyAlignment="1">
      <alignment horizontal="center"/>
    </xf>
    <xf numFmtId="49" fontId="0" fillId="5" borderId="0" xfId="0" applyNumberForma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 applyAlignment="1">
      <alignment horizontal="center"/>
    </xf>
    <xf numFmtId="0" fontId="3" fillId="4" borderId="0" xfId="0" applyFont="1" applyFill="1" applyAlignment="1">
      <alignment horizontal="center" vertical="center" readingOrder="1"/>
    </xf>
    <xf numFmtId="0" fontId="2" fillId="4" borderId="0" xfId="0" applyFont="1" applyFill="1" applyAlignment="1">
      <alignment horizontal="left"/>
    </xf>
    <xf numFmtId="0" fontId="0" fillId="4" borderId="0" xfId="0" applyFill="1" applyAlignment="1">
      <alignment horizontal="left"/>
    </xf>
    <xf numFmtId="0" fontId="0" fillId="6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6" borderId="0" xfId="0" applyFont="1" applyFill="1" applyAlignment="1">
      <alignment horizontal="left"/>
    </xf>
    <xf numFmtId="0" fontId="0" fillId="6" borderId="0" xfId="0" applyFill="1" applyAlignment="1">
      <alignment horizontal="left"/>
    </xf>
    <xf numFmtId="49" fontId="0" fillId="6" borderId="0" xfId="0" applyNumberFormat="1" applyFill="1" applyAlignment="1">
      <alignment horizontal="center"/>
    </xf>
    <xf numFmtId="0" fontId="3" fillId="5" borderId="0" xfId="0" applyFont="1" applyFill="1" applyAlignment="1">
      <alignment horizontal="center" vertical="center" readingOrder="1"/>
    </xf>
    <xf numFmtId="0" fontId="2" fillId="5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0" fillId="3" borderId="0" xfId="0" applyFill="1" applyAlignment="1">
      <alignment horizontal="center"/>
    </xf>
    <xf numFmtId="0" fontId="3" fillId="3" borderId="0" xfId="0" applyFont="1" applyFill="1" applyAlignment="1">
      <alignment horizontal="center" vertical="center" readingOrder="1"/>
    </xf>
    <xf numFmtId="0" fontId="2" fillId="3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49" fontId="0" fillId="3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3" fillId="7" borderId="0" xfId="0" applyFont="1" applyFill="1" applyAlignment="1">
      <alignment horizontal="center" vertical="center" readingOrder="1"/>
    </xf>
    <xf numFmtId="0" fontId="2" fillId="7" borderId="0" xfId="0" applyFont="1" applyFill="1" applyAlignment="1">
      <alignment horizontal="left"/>
    </xf>
    <xf numFmtId="0" fontId="0" fillId="7" borderId="0" xfId="0" applyFill="1" applyAlignment="1">
      <alignment horizontal="left"/>
    </xf>
    <xf numFmtId="49" fontId="0" fillId="7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" fillId="8" borderId="0" xfId="0" applyFont="1" applyFill="1" applyAlignment="1">
      <alignment horizontal="center" vertical="center" readingOrder="1"/>
    </xf>
    <xf numFmtId="0" fontId="2" fillId="8" borderId="0" xfId="0" applyFont="1" applyFill="1" applyAlignment="1">
      <alignment horizontal="left"/>
    </xf>
    <xf numFmtId="0" fontId="0" fillId="8" borderId="0" xfId="0" applyFill="1" applyAlignment="1">
      <alignment horizontal="left"/>
    </xf>
    <xf numFmtId="49" fontId="0" fillId="8" borderId="0" xfId="0" applyNumberFormat="1" applyFill="1" applyAlignment="1">
      <alignment horizontal="center"/>
    </xf>
    <xf numFmtId="0" fontId="0" fillId="9" borderId="0" xfId="0" applyFill="1" applyAlignment="1">
      <alignment horizontal="center"/>
    </xf>
    <xf numFmtId="0" fontId="3" fillId="9" borderId="0" xfId="0" applyFont="1" applyFill="1" applyAlignment="1">
      <alignment horizontal="center" vertical="center" readingOrder="1"/>
    </xf>
    <xf numFmtId="0" fontId="2" fillId="9" borderId="0" xfId="0" applyFont="1" applyFill="1" applyAlignment="1">
      <alignment horizontal="left"/>
    </xf>
    <xf numFmtId="0" fontId="0" fillId="9" borderId="0" xfId="0" applyFill="1" applyAlignment="1">
      <alignment horizontal="left"/>
    </xf>
    <xf numFmtId="49" fontId="0" fillId="9" borderId="0" xfId="0" applyNumberFormat="1" applyFill="1" applyAlignment="1">
      <alignment horizontal="center"/>
    </xf>
    <xf numFmtId="0" fontId="0" fillId="10" borderId="0" xfId="0" applyFill="1" applyAlignment="1">
      <alignment horizontal="center"/>
    </xf>
    <xf numFmtId="0" fontId="0" fillId="10" borderId="0" xfId="0" applyFill="1"/>
    <xf numFmtId="49" fontId="0" fillId="10" borderId="0" xfId="0" applyNumberFormat="1" applyFill="1" applyAlignment="1">
      <alignment horizontal="center"/>
    </xf>
    <xf numFmtId="14" fontId="0" fillId="3" borderId="0" xfId="0" applyNumberFormat="1" applyFill="1" applyAlignment="1">
      <alignment horizontal="center"/>
    </xf>
    <xf numFmtId="0" fontId="0" fillId="11" borderId="0" xfId="0" applyFill="1" applyAlignment="1">
      <alignment horizontal="center"/>
    </xf>
    <xf numFmtId="0" fontId="0" fillId="11" borderId="0" xfId="0" applyFill="1" applyAlignment="1">
      <alignment horizontal="left"/>
    </xf>
    <xf numFmtId="49" fontId="0" fillId="11" borderId="0" xfId="0" applyNumberFormat="1" applyFill="1" applyAlignment="1">
      <alignment horizontal="center"/>
    </xf>
    <xf numFmtId="0" fontId="0" fillId="12" borderId="0" xfId="0" applyFill="1" applyAlignment="1">
      <alignment horizontal="center"/>
    </xf>
    <xf numFmtId="0" fontId="3" fillId="12" borderId="0" xfId="0" applyFont="1" applyFill="1" applyAlignment="1">
      <alignment horizontal="center" vertical="center" readingOrder="1"/>
    </xf>
    <xf numFmtId="0" fontId="0" fillId="12" borderId="0" xfId="0" applyFill="1" applyAlignment="1">
      <alignment horizontal="left"/>
    </xf>
    <xf numFmtId="0" fontId="4" fillId="12" borderId="0" xfId="0" applyFont="1" applyFill="1" applyAlignment="1">
      <alignment horizontal="left"/>
    </xf>
    <xf numFmtId="49" fontId="0" fillId="12" borderId="0" xfId="0" applyNumberFormat="1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13" borderId="0" xfId="0" applyFill="1" applyAlignment="1">
      <alignment horizontal="center"/>
    </xf>
    <xf numFmtId="0" fontId="2" fillId="13" borderId="0" xfId="0" applyFont="1" applyFill="1" applyAlignment="1">
      <alignment horizontal="left"/>
    </xf>
    <xf numFmtId="49" fontId="0" fillId="13" borderId="0" xfId="0" applyNumberFormat="1" applyFill="1" applyAlignment="1">
      <alignment horizontal="center"/>
    </xf>
    <xf numFmtId="14" fontId="0" fillId="13" borderId="0" xfId="0" applyNumberFormat="1" applyFill="1" applyAlignment="1">
      <alignment horizontal="center"/>
    </xf>
    <xf numFmtId="49" fontId="0" fillId="0" borderId="0" xfId="0" applyNumberFormat="1" applyAlignment="1">
      <alignment horizontal="left"/>
    </xf>
    <xf numFmtId="0" fontId="5" fillId="0" borderId="0" xfId="0" applyFont="1" applyAlignment="1">
      <alignment horizontal="left" vertical="center" readingOrder="1"/>
    </xf>
    <xf numFmtId="0" fontId="0" fillId="14" borderId="0" xfId="0" applyFill="1" applyAlignment="1">
      <alignment horizontal="center"/>
    </xf>
    <xf numFmtId="0" fontId="0" fillId="14" borderId="0" xfId="0" applyFill="1"/>
    <xf numFmtId="49" fontId="0" fillId="14" borderId="0" xfId="0" applyNumberFormat="1" applyFill="1" applyAlignment="1">
      <alignment horizontal="center"/>
    </xf>
    <xf numFmtId="0" fontId="0" fillId="14" borderId="0" xfId="0" applyFill="1" applyAlignment="1">
      <alignment horizontal="left"/>
    </xf>
    <xf numFmtId="14" fontId="0" fillId="14" borderId="0" xfId="0" applyNumberFormat="1" applyFill="1" applyAlignment="1">
      <alignment horizontal="center"/>
    </xf>
    <xf numFmtId="0" fontId="0" fillId="15" borderId="0" xfId="0" applyFill="1" applyAlignment="1">
      <alignment horizontal="center"/>
    </xf>
    <xf numFmtId="0" fontId="0" fillId="15" borderId="0" xfId="0" applyFill="1"/>
    <xf numFmtId="0" fontId="0" fillId="15" borderId="0" xfId="0" applyFill="1" applyAlignment="1">
      <alignment horizontal="left"/>
    </xf>
    <xf numFmtId="49" fontId="0" fillId="15" borderId="0" xfId="0" applyNumberFormat="1" applyFill="1" applyAlignment="1">
      <alignment horizontal="center"/>
    </xf>
    <xf numFmtId="14" fontId="0" fillId="15" borderId="0" xfId="0" applyNumberFormat="1" applyFill="1" applyAlignment="1">
      <alignment horizontal="center"/>
    </xf>
    <xf numFmtId="0" fontId="0" fillId="16" borderId="0" xfId="0" applyFill="1" applyAlignment="1">
      <alignment horizontal="center"/>
    </xf>
    <xf numFmtId="0" fontId="0" fillId="16" borderId="0" xfId="0" applyFill="1"/>
    <xf numFmtId="0" fontId="2" fillId="16" borderId="0" xfId="0" applyFont="1" applyFill="1" applyAlignment="1">
      <alignment horizontal="left"/>
    </xf>
    <xf numFmtId="0" fontId="0" fillId="16" borderId="0" xfId="0" applyFill="1" applyAlignment="1">
      <alignment horizontal="left"/>
    </xf>
    <xf numFmtId="49" fontId="0" fillId="16" borderId="0" xfId="0" applyNumberFormat="1" applyFill="1" applyAlignment="1">
      <alignment horizontal="center"/>
    </xf>
    <xf numFmtId="14" fontId="0" fillId="16" borderId="0" xfId="0" applyNumberFormat="1" applyFill="1" applyAlignment="1">
      <alignment horizontal="center"/>
    </xf>
    <xf numFmtId="14" fontId="0" fillId="9" borderId="0" xfId="0" applyNumberFormat="1" applyFill="1" applyAlignment="1">
      <alignment horizontal="center"/>
    </xf>
    <xf numFmtId="14" fontId="0" fillId="2" borderId="0" xfId="0" applyNumberFormat="1" applyFill="1" applyAlignment="1">
      <alignment horizontal="center"/>
    </xf>
    <xf numFmtId="0" fontId="0" fillId="0" borderId="2" xfId="0" applyBorder="1" applyAlignment="1">
      <alignment horizontal="center"/>
    </xf>
    <xf numFmtId="0" fontId="0" fillId="10" borderId="0" xfId="0" applyFill="1" applyAlignment="1">
      <alignment horizontal="left"/>
    </xf>
    <xf numFmtId="14" fontId="0" fillId="7" borderId="0" xfId="0" applyNumberFormat="1" applyFill="1" applyAlignment="1">
      <alignment horizontal="center"/>
    </xf>
    <xf numFmtId="14" fontId="0" fillId="5" borderId="0" xfId="0" applyNumberFormat="1" applyFill="1" applyAlignment="1">
      <alignment horizontal="center"/>
    </xf>
    <xf numFmtId="14" fontId="0" fillId="0" borderId="0" xfId="0" applyNumberFormat="1" applyAlignment="1">
      <alignment horizontal="center"/>
    </xf>
    <xf numFmtId="14" fontId="0" fillId="10" borderId="0" xfId="0" applyNumberFormat="1" applyFill="1" applyAlignment="1">
      <alignment horizontal="center"/>
    </xf>
    <xf numFmtId="0" fontId="6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69696"/>
      <color rgb="FFCCECFF"/>
      <color rgb="FFFF6699"/>
      <color rgb="FF99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S408"/>
  <sheetViews>
    <sheetView tabSelected="1" workbookViewId="0">
      <pane xSplit="2" ySplit="1" topLeftCell="Q147" activePane="bottomRight" state="frozen"/>
      <selection pane="topRight" activeCell="C1" sqref="C1"/>
      <selection pane="bottomLeft" activeCell="A2" sqref="A2"/>
      <selection pane="bottomRight" activeCell="AC164" sqref="AC164"/>
    </sheetView>
  </sheetViews>
  <sheetFormatPr defaultRowHeight="15" x14ac:dyDescent="0.25"/>
  <cols>
    <col min="1" max="1" width="12.7109375" style="1" customWidth="1"/>
    <col min="2" max="3" width="11" style="13" customWidth="1"/>
    <col min="4" max="4" width="15.42578125" style="1" customWidth="1"/>
    <col min="5" max="5" width="14.28515625" style="1" customWidth="1"/>
    <col min="6" max="6" width="15.140625" style="1" customWidth="1"/>
    <col min="7" max="7" width="13.85546875" style="1" customWidth="1"/>
    <col min="8" max="8" width="13.5703125" style="1" customWidth="1"/>
    <col min="9" max="9" width="14.7109375" style="1" customWidth="1"/>
    <col min="10" max="11" width="15.85546875" style="1" customWidth="1"/>
    <col min="12" max="12" width="18.140625" style="1" customWidth="1"/>
    <col min="13" max="13" width="13.5703125" style="1" customWidth="1"/>
    <col min="14" max="14" width="14.7109375" style="1" customWidth="1"/>
    <col min="15" max="16" width="15.85546875" style="1" customWidth="1"/>
    <col min="17" max="17" width="16.7109375" style="1" customWidth="1"/>
    <col min="18" max="18" width="13.5703125" style="1" customWidth="1"/>
    <col min="19" max="19" width="9.140625" style="1"/>
    <col min="20" max="20" width="13.7109375" style="1" customWidth="1"/>
    <col min="21" max="21" width="9.140625" style="1" customWidth="1"/>
    <col min="22" max="22" width="14.42578125" style="1" customWidth="1"/>
    <col min="23" max="24" width="9.140625" style="1"/>
    <col min="25" max="25" width="14.5703125" style="1" customWidth="1"/>
    <col min="26" max="27" width="9.140625" style="1"/>
    <col min="28" max="28" width="26.5703125" style="1" customWidth="1"/>
    <col min="29" max="29" width="85.42578125" style="57" customWidth="1"/>
    <col min="30" max="30" width="15" style="1" customWidth="1"/>
    <col min="31" max="16384" width="9.140625" style="1"/>
  </cols>
  <sheetData>
    <row r="1" spans="1:331" x14ac:dyDescent="0.25">
      <c r="A1" s="11" t="s">
        <v>0</v>
      </c>
      <c r="B1" s="12" t="s">
        <v>1</v>
      </c>
      <c r="C1" s="12" t="s">
        <v>2069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1" t="s">
        <v>9</v>
      </c>
      <c r="J1" s="11" t="s">
        <v>10</v>
      </c>
      <c r="K1" s="11" t="s">
        <v>2077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1510</v>
      </c>
      <c r="R1" s="11" t="s">
        <v>16</v>
      </c>
      <c r="S1" s="11" t="s">
        <v>2</v>
      </c>
      <c r="T1" s="11" t="s">
        <v>3</v>
      </c>
      <c r="U1" s="11" t="s">
        <v>1258</v>
      </c>
      <c r="V1" s="11" t="s">
        <v>1259</v>
      </c>
      <c r="W1" s="11" t="s">
        <v>1408</v>
      </c>
      <c r="X1" s="89" t="s">
        <v>2153</v>
      </c>
      <c r="Y1" s="89" t="s">
        <v>2156</v>
      </c>
      <c r="Z1" s="11" t="s">
        <v>17</v>
      </c>
      <c r="AA1" s="11" t="s">
        <v>1409</v>
      </c>
      <c r="AB1" s="11" t="s">
        <v>2154</v>
      </c>
      <c r="AC1" s="11" t="s">
        <v>18</v>
      </c>
      <c r="AD1" s="1" t="s">
        <v>1267</v>
      </c>
    </row>
    <row r="2" spans="1:331" s="2" customFormat="1" x14ac:dyDescent="0.25">
      <c r="A2" s="2" t="s">
        <v>19</v>
      </c>
      <c r="B2" s="6" t="s">
        <v>20</v>
      </c>
      <c r="C2" s="13" t="s">
        <v>2070</v>
      </c>
      <c r="D2" s="2">
        <v>0</v>
      </c>
      <c r="H2" s="2" t="s">
        <v>21</v>
      </c>
      <c r="I2" s="2" t="s">
        <v>22</v>
      </c>
      <c r="J2" s="2" t="s">
        <v>21</v>
      </c>
      <c r="K2" s="2" t="s">
        <v>21</v>
      </c>
      <c r="L2" s="2">
        <v>1</v>
      </c>
      <c r="M2" s="2" t="s">
        <v>21</v>
      </c>
      <c r="O2" s="2">
        <v>1</v>
      </c>
      <c r="P2" s="2" t="s">
        <v>23</v>
      </c>
      <c r="Q2" s="1" t="s">
        <v>1511</v>
      </c>
      <c r="R2" s="1"/>
      <c r="T2" s="2">
        <v>19</v>
      </c>
      <c r="V2" s="2">
        <v>19</v>
      </c>
      <c r="W2" s="1">
        <v>19</v>
      </c>
      <c r="X2" s="1">
        <v>24</v>
      </c>
      <c r="Y2" s="1" t="s">
        <v>2157</v>
      </c>
      <c r="Z2" s="2">
        <v>2</v>
      </c>
      <c r="AA2" s="1" t="b">
        <v>1</v>
      </c>
      <c r="AB2" s="1"/>
      <c r="AC2" s="57" t="s">
        <v>1260</v>
      </c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</row>
    <row r="3" spans="1:331" s="30" customFormat="1" x14ac:dyDescent="0.25">
      <c r="A3" s="30" t="s">
        <v>24</v>
      </c>
      <c r="B3" s="34" t="s">
        <v>25</v>
      </c>
      <c r="C3" s="13" t="s">
        <v>2070</v>
      </c>
      <c r="D3" s="30">
        <v>1</v>
      </c>
      <c r="E3" s="30" t="s">
        <v>26</v>
      </c>
      <c r="H3" s="30" t="s">
        <v>27</v>
      </c>
      <c r="I3" s="30" t="s">
        <v>26</v>
      </c>
      <c r="J3" s="30" t="s">
        <v>28</v>
      </c>
      <c r="K3" s="30" t="s">
        <v>26</v>
      </c>
      <c r="L3" s="30">
        <v>0</v>
      </c>
      <c r="O3" s="30">
        <v>0</v>
      </c>
      <c r="Q3" s="1" t="s">
        <v>1512</v>
      </c>
      <c r="R3" s="1"/>
      <c r="S3" s="30">
        <v>7</v>
      </c>
      <c r="U3" s="30">
        <v>10</v>
      </c>
      <c r="W3" s="1">
        <v>7</v>
      </c>
      <c r="X3" s="1">
        <v>9</v>
      </c>
      <c r="Y3" s="1" t="s">
        <v>2158</v>
      </c>
      <c r="Z3" s="30">
        <v>6</v>
      </c>
      <c r="AA3" s="1" t="b">
        <v>1</v>
      </c>
      <c r="AB3" s="1"/>
      <c r="AC3" s="57" t="s">
        <v>1261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</row>
    <row r="4" spans="1:331" s="35" customFormat="1" x14ac:dyDescent="0.25">
      <c r="A4" s="35" t="s">
        <v>29</v>
      </c>
      <c r="B4" s="39" t="s">
        <v>30</v>
      </c>
      <c r="C4" s="13" t="s">
        <v>2070</v>
      </c>
      <c r="D4" s="35">
        <v>1</v>
      </c>
      <c r="E4" s="35" t="s">
        <v>31</v>
      </c>
      <c r="H4" s="35" t="s">
        <v>28</v>
      </c>
      <c r="I4" s="35" t="s">
        <v>31</v>
      </c>
      <c r="J4" s="35" t="s">
        <v>32</v>
      </c>
      <c r="K4" s="35" t="s">
        <v>27</v>
      </c>
      <c r="L4" s="35">
        <v>0</v>
      </c>
      <c r="O4" s="35">
        <v>1</v>
      </c>
      <c r="P4" s="35" t="s">
        <v>33</v>
      </c>
      <c r="Q4" s="1" t="s">
        <v>1513</v>
      </c>
      <c r="R4" s="1"/>
      <c r="T4" s="35">
        <v>13</v>
      </c>
      <c r="V4" s="35">
        <v>13</v>
      </c>
      <c r="W4" s="1">
        <v>13</v>
      </c>
      <c r="X4" s="1">
        <v>22</v>
      </c>
      <c r="Y4" s="1" t="s">
        <v>2159</v>
      </c>
      <c r="Z4" s="35">
        <v>7</v>
      </c>
      <c r="AA4" s="1" t="b">
        <v>1</v>
      </c>
      <c r="AB4" s="1"/>
      <c r="AC4" s="57" t="s">
        <v>1262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</row>
    <row r="5" spans="1:331" s="35" customFormat="1" x14ac:dyDescent="0.25">
      <c r="A5" s="35" t="s">
        <v>34</v>
      </c>
      <c r="B5" s="39" t="s">
        <v>35</v>
      </c>
      <c r="C5" s="13" t="s">
        <v>2070</v>
      </c>
      <c r="D5" s="35">
        <v>3</v>
      </c>
      <c r="E5" s="35" t="s">
        <v>36</v>
      </c>
      <c r="F5" s="35" t="s">
        <v>36</v>
      </c>
      <c r="G5" s="35" t="s">
        <v>36</v>
      </c>
      <c r="H5" s="35" t="s">
        <v>36</v>
      </c>
      <c r="I5" s="35" t="s">
        <v>36</v>
      </c>
      <c r="J5" s="35" t="s">
        <v>37</v>
      </c>
      <c r="K5" s="35" t="s">
        <v>36</v>
      </c>
      <c r="L5" s="35">
        <v>0</v>
      </c>
      <c r="O5" s="35">
        <v>1</v>
      </c>
      <c r="P5" s="35" t="s">
        <v>37</v>
      </c>
      <c r="Q5" s="1" t="s">
        <v>1514</v>
      </c>
      <c r="R5" s="1"/>
      <c r="S5" s="35">
        <v>30</v>
      </c>
      <c r="U5" s="35">
        <v>28</v>
      </c>
      <c r="W5" s="1">
        <v>30</v>
      </c>
      <c r="X5" s="1">
        <v>18</v>
      </c>
      <c r="Y5" s="1" t="s">
        <v>2160</v>
      </c>
      <c r="Z5" s="35">
        <v>7</v>
      </c>
      <c r="AA5" s="1" t="b">
        <v>1</v>
      </c>
      <c r="AB5" s="1"/>
      <c r="AC5" s="57" t="s">
        <v>1264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</row>
    <row r="6" spans="1:331" s="35" customFormat="1" x14ac:dyDescent="0.25">
      <c r="A6" s="35" t="s">
        <v>38</v>
      </c>
      <c r="B6" s="39" t="s">
        <v>39</v>
      </c>
      <c r="C6" s="13" t="s">
        <v>2070</v>
      </c>
      <c r="D6" s="35">
        <v>1</v>
      </c>
      <c r="E6" s="35" t="s">
        <v>40</v>
      </c>
      <c r="H6" s="35" t="s">
        <v>41</v>
      </c>
      <c r="I6" s="35" t="s">
        <v>42</v>
      </c>
      <c r="J6" s="35" t="s">
        <v>43</v>
      </c>
      <c r="K6" s="35" t="s">
        <v>40</v>
      </c>
      <c r="L6" s="35">
        <v>0</v>
      </c>
      <c r="O6" s="35">
        <v>1</v>
      </c>
      <c r="P6" s="35" t="s">
        <v>44</v>
      </c>
      <c r="Q6" s="1" t="s">
        <v>323</v>
      </c>
      <c r="R6" s="1"/>
      <c r="T6" s="35">
        <v>20</v>
      </c>
      <c r="V6" s="35">
        <v>22</v>
      </c>
      <c r="W6" s="1">
        <v>20</v>
      </c>
      <c r="X6" s="1">
        <v>16</v>
      </c>
      <c r="Y6" s="1" t="s">
        <v>2161</v>
      </c>
      <c r="Z6" s="35">
        <v>7</v>
      </c>
      <c r="AA6" s="1" t="b">
        <v>1</v>
      </c>
      <c r="AB6" s="1"/>
      <c r="AC6" s="57" t="s">
        <v>1265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</row>
    <row r="7" spans="1:331" s="4" customFormat="1" x14ac:dyDescent="0.25">
      <c r="A7" s="4" t="s">
        <v>45</v>
      </c>
      <c r="B7" s="7" t="s">
        <v>46</v>
      </c>
      <c r="C7" s="13" t="s">
        <v>2070</v>
      </c>
      <c r="D7" s="4">
        <v>3</v>
      </c>
      <c r="E7" s="4" t="s">
        <v>47</v>
      </c>
      <c r="F7" s="4" t="s">
        <v>47</v>
      </c>
      <c r="G7" s="4" t="s">
        <v>47</v>
      </c>
      <c r="H7" s="4" t="s">
        <v>47</v>
      </c>
      <c r="I7" s="4" t="s">
        <v>47</v>
      </c>
      <c r="J7" s="86">
        <v>45748</v>
      </c>
      <c r="K7" s="86" t="s">
        <v>47</v>
      </c>
      <c r="L7" s="4">
        <v>1</v>
      </c>
      <c r="M7" s="4" t="s">
        <v>48</v>
      </c>
      <c r="O7" s="4">
        <v>1</v>
      </c>
      <c r="P7" s="4" t="s">
        <v>49</v>
      </c>
      <c r="Q7" s="1"/>
      <c r="R7" s="1" t="s">
        <v>50</v>
      </c>
      <c r="T7" s="4">
        <v>25</v>
      </c>
      <c r="V7" s="4">
        <v>23</v>
      </c>
      <c r="W7" s="4">
        <v>25</v>
      </c>
      <c r="X7" s="1">
        <v>18</v>
      </c>
      <c r="Y7" s="1" t="s">
        <v>2162</v>
      </c>
      <c r="Z7" s="4">
        <v>4</v>
      </c>
      <c r="AA7" s="4" t="b">
        <v>1</v>
      </c>
      <c r="AC7" s="24" t="s">
        <v>1266</v>
      </c>
    </row>
    <row r="8" spans="1:331" s="30" customFormat="1" x14ac:dyDescent="0.25">
      <c r="A8" s="30" t="s">
        <v>51</v>
      </c>
      <c r="B8" s="30" t="s">
        <v>52</v>
      </c>
      <c r="C8" s="1" t="s">
        <v>2070</v>
      </c>
      <c r="D8" s="30">
        <v>2</v>
      </c>
      <c r="E8" s="30" t="s">
        <v>53</v>
      </c>
      <c r="F8" s="30" t="s">
        <v>53</v>
      </c>
      <c r="H8" s="30" t="s">
        <v>54</v>
      </c>
      <c r="I8" s="30" t="s">
        <v>53</v>
      </c>
      <c r="J8" s="30" t="s">
        <v>54</v>
      </c>
      <c r="K8" s="30" t="s">
        <v>53</v>
      </c>
      <c r="L8" s="30">
        <v>0</v>
      </c>
      <c r="O8" s="30">
        <v>0</v>
      </c>
      <c r="Q8" s="1" t="s">
        <v>475</v>
      </c>
      <c r="R8" s="1"/>
      <c r="T8" s="30">
        <v>9</v>
      </c>
      <c r="V8" s="30">
        <v>8</v>
      </c>
      <c r="W8" s="1">
        <v>9</v>
      </c>
      <c r="X8" s="1">
        <v>9</v>
      </c>
      <c r="Y8" s="1" t="s">
        <v>2163</v>
      </c>
      <c r="Z8" s="30">
        <v>6</v>
      </c>
      <c r="AA8" s="1" t="b">
        <v>1</v>
      </c>
      <c r="AB8" s="1"/>
      <c r="AC8" s="57" t="s">
        <v>1474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</row>
    <row r="9" spans="1:331" s="35" customFormat="1" x14ac:dyDescent="0.25">
      <c r="A9" s="35" t="s">
        <v>55</v>
      </c>
      <c r="B9" s="35" t="s">
        <v>56</v>
      </c>
      <c r="C9" s="1" t="s">
        <v>2070</v>
      </c>
      <c r="D9" s="35">
        <v>1</v>
      </c>
      <c r="E9" s="35" t="s">
        <v>57</v>
      </c>
      <c r="H9" s="35" t="s">
        <v>58</v>
      </c>
      <c r="I9" s="35" t="s">
        <v>57</v>
      </c>
      <c r="J9" s="35" t="s">
        <v>58</v>
      </c>
      <c r="K9" s="35" t="s">
        <v>57</v>
      </c>
      <c r="L9" s="35">
        <v>0</v>
      </c>
      <c r="O9" s="35">
        <v>1</v>
      </c>
      <c r="Q9" s="1"/>
      <c r="R9" s="1" t="s">
        <v>59</v>
      </c>
      <c r="S9" s="35">
        <v>20</v>
      </c>
      <c r="U9" s="35">
        <v>20</v>
      </c>
      <c r="W9" s="1">
        <v>20</v>
      </c>
      <c r="X9" s="1">
        <v>13</v>
      </c>
      <c r="Y9" s="1" t="s">
        <v>2164</v>
      </c>
      <c r="Z9" s="35">
        <v>7</v>
      </c>
      <c r="AA9" s="1" t="b">
        <v>1</v>
      </c>
      <c r="AB9" s="1"/>
      <c r="AC9" s="57" t="s">
        <v>1268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</row>
    <row r="10" spans="1:331" s="3" customFormat="1" x14ac:dyDescent="0.25">
      <c r="A10" s="3" t="s">
        <v>60</v>
      </c>
      <c r="B10" s="5" t="s">
        <v>61</v>
      </c>
      <c r="C10" s="13" t="s">
        <v>2070</v>
      </c>
      <c r="D10" s="3">
        <v>0</v>
      </c>
      <c r="H10" s="3" t="s">
        <v>62</v>
      </c>
      <c r="I10" s="3" t="s">
        <v>63</v>
      </c>
      <c r="J10" s="3" t="s">
        <v>62</v>
      </c>
      <c r="K10" s="3" t="s">
        <v>872</v>
      </c>
      <c r="L10" s="3">
        <v>1</v>
      </c>
      <c r="M10" s="3" t="s">
        <v>58</v>
      </c>
      <c r="O10" s="3">
        <v>1</v>
      </c>
      <c r="Q10" s="1" t="s">
        <v>1515</v>
      </c>
      <c r="R10" s="1"/>
      <c r="S10" s="3">
        <v>15</v>
      </c>
      <c r="V10" s="3">
        <v>15</v>
      </c>
      <c r="W10" s="1">
        <v>15</v>
      </c>
      <c r="X10" s="1">
        <v>17</v>
      </c>
      <c r="Y10" s="1" t="s">
        <v>2165</v>
      </c>
      <c r="Z10" s="3">
        <v>1</v>
      </c>
      <c r="AA10" s="1" t="b">
        <v>1</v>
      </c>
      <c r="AB10" s="1"/>
      <c r="AC10" s="57" t="s">
        <v>1269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</row>
    <row r="11" spans="1:331" s="35" customFormat="1" x14ac:dyDescent="0.25">
      <c r="A11" s="35" t="s">
        <v>64</v>
      </c>
      <c r="B11" s="35" t="s">
        <v>65</v>
      </c>
      <c r="C11" s="1" t="s">
        <v>2070</v>
      </c>
      <c r="D11" s="35">
        <v>2</v>
      </c>
      <c r="E11" s="35" t="s">
        <v>66</v>
      </c>
      <c r="F11" s="35" t="s">
        <v>66</v>
      </c>
      <c r="H11" s="35" t="s">
        <v>67</v>
      </c>
      <c r="I11" s="35" t="s">
        <v>68</v>
      </c>
      <c r="J11" s="35" t="s">
        <v>69</v>
      </c>
      <c r="K11" s="35" t="s">
        <v>67</v>
      </c>
      <c r="L11" s="35">
        <v>0</v>
      </c>
      <c r="O11" s="35">
        <v>1</v>
      </c>
      <c r="P11" s="35" t="s">
        <v>69</v>
      </c>
      <c r="Q11" s="1" t="s">
        <v>1516</v>
      </c>
      <c r="R11" s="1"/>
      <c r="S11" s="35">
        <v>13</v>
      </c>
      <c r="U11" s="35">
        <v>14</v>
      </c>
      <c r="W11" s="1">
        <v>13</v>
      </c>
      <c r="X11" s="1">
        <v>12</v>
      </c>
      <c r="Y11" s="1" t="s">
        <v>2166</v>
      </c>
      <c r="Z11" s="35">
        <v>7</v>
      </c>
      <c r="AA11" s="1" t="b">
        <v>1</v>
      </c>
      <c r="AB11" s="1"/>
      <c r="AC11" s="57" t="s">
        <v>1270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</row>
    <row r="12" spans="1:331" s="70" customFormat="1" x14ac:dyDescent="0.25">
      <c r="A12" s="70" t="s">
        <v>70</v>
      </c>
      <c r="B12" s="70" t="s">
        <v>71</v>
      </c>
      <c r="C12" s="1" t="s">
        <v>2070</v>
      </c>
      <c r="D12" s="70">
        <v>1</v>
      </c>
      <c r="E12" s="70" t="s">
        <v>72</v>
      </c>
      <c r="H12" s="70" t="s">
        <v>73</v>
      </c>
      <c r="I12" s="70" t="s">
        <v>74</v>
      </c>
      <c r="J12" s="70" t="s">
        <v>75</v>
      </c>
      <c r="K12" s="70" t="s">
        <v>75</v>
      </c>
      <c r="L12" s="70">
        <v>0</v>
      </c>
      <c r="O12" s="70">
        <v>1</v>
      </c>
      <c r="P12" s="70" t="s">
        <v>76</v>
      </c>
      <c r="Q12" s="1"/>
      <c r="R12" s="1" t="s">
        <v>77</v>
      </c>
      <c r="S12" s="70">
        <v>23</v>
      </c>
      <c r="U12" s="70">
        <v>24</v>
      </c>
      <c r="W12" s="70">
        <v>23</v>
      </c>
      <c r="X12" s="1">
        <v>15</v>
      </c>
      <c r="Y12" s="1" t="s">
        <v>2167</v>
      </c>
      <c r="Z12" s="70">
        <v>13</v>
      </c>
      <c r="AA12" s="70" t="b">
        <v>1</v>
      </c>
      <c r="AC12" s="72" t="s">
        <v>1271</v>
      </c>
    </row>
    <row r="13" spans="1:331" s="3" customFormat="1" x14ac:dyDescent="0.25">
      <c r="A13" s="3" t="s">
        <v>78</v>
      </c>
      <c r="B13" s="5" t="s">
        <v>79</v>
      </c>
      <c r="C13" s="13" t="s">
        <v>2070</v>
      </c>
      <c r="D13" s="3">
        <v>0</v>
      </c>
      <c r="H13" s="3" t="s">
        <v>80</v>
      </c>
      <c r="I13" s="3" t="s">
        <v>81</v>
      </c>
      <c r="J13" s="3" t="s">
        <v>80</v>
      </c>
      <c r="K13" s="3" t="s">
        <v>2078</v>
      </c>
      <c r="L13" s="3">
        <v>1</v>
      </c>
      <c r="M13" s="3" t="s">
        <v>82</v>
      </c>
      <c r="O13" s="3">
        <v>1</v>
      </c>
      <c r="Q13" s="1" t="s">
        <v>1517</v>
      </c>
      <c r="R13" s="1"/>
      <c r="T13" s="3">
        <v>12</v>
      </c>
      <c r="V13" s="3">
        <v>12</v>
      </c>
      <c r="W13" s="1">
        <v>12</v>
      </c>
      <c r="X13" s="1">
        <v>12</v>
      </c>
      <c r="Y13" s="1" t="s">
        <v>2168</v>
      </c>
      <c r="Z13" s="3">
        <v>1</v>
      </c>
      <c r="AA13" s="1" t="b">
        <v>1</v>
      </c>
      <c r="AB13" s="1"/>
      <c r="AC13" s="57" t="s">
        <v>1381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</row>
    <row r="14" spans="1:331" s="30" customFormat="1" x14ac:dyDescent="0.25">
      <c r="A14" s="30" t="s">
        <v>83</v>
      </c>
      <c r="B14" s="30" t="s">
        <v>84</v>
      </c>
      <c r="C14" s="1" t="s">
        <v>2070</v>
      </c>
      <c r="D14" s="30">
        <v>3</v>
      </c>
      <c r="E14" s="30" t="s">
        <v>85</v>
      </c>
      <c r="F14" s="30" t="s">
        <v>85</v>
      </c>
      <c r="G14" s="30" t="s">
        <v>85</v>
      </c>
      <c r="H14" s="30" t="s">
        <v>86</v>
      </c>
      <c r="I14" s="30" t="s">
        <v>87</v>
      </c>
      <c r="J14" s="30" t="s">
        <v>88</v>
      </c>
      <c r="K14" s="30" t="s">
        <v>150</v>
      </c>
      <c r="L14" s="30">
        <v>0</v>
      </c>
      <c r="O14" s="30">
        <v>0</v>
      </c>
      <c r="Q14" s="1" t="s">
        <v>1518</v>
      </c>
      <c r="R14" s="1"/>
      <c r="T14" s="30">
        <v>5</v>
      </c>
      <c r="V14" s="30">
        <v>13</v>
      </c>
      <c r="W14" s="1">
        <v>5</v>
      </c>
      <c r="X14" s="1">
        <v>10</v>
      </c>
      <c r="Y14" s="1" t="s">
        <v>2169</v>
      </c>
      <c r="Z14" s="30">
        <v>6</v>
      </c>
      <c r="AA14" s="1" t="b">
        <v>1</v>
      </c>
      <c r="AB14" s="1"/>
      <c r="AC14" s="57" t="s">
        <v>1273</v>
      </c>
      <c r="AD14" s="1" t="b">
        <v>1</v>
      </c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</row>
    <row r="15" spans="1:331" s="35" customFormat="1" x14ac:dyDescent="0.25">
      <c r="A15" s="35" t="s">
        <v>89</v>
      </c>
      <c r="B15" s="35" t="s">
        <v>90</v>
      </c>
      <c r="C15" s="1" t="s">
        <v>2070</v>
      </c>
      <c r="D15" s="35">
        <v>1</v>
      </c>
      <c r="E15" s="35" t="s">
        <v>91</v>
      </c>
      <c r="H15" s="35" t="s">
        <v>92</v>
      </c>
      <c r="I15" s="35" t="s">
        <v>93</v>
      </c>
      <c r="J15" s="35" t="s">
        <v>94</v>
      </c>
      <c r="K15" s="35" t="s">
        <v>91</v>
      </c>
      <c r="L15" s="35">
        <v>0</v>
      </c>
      <c r="O15" s="35">
        <v>1</v>
      </c>
      <c r="P15" s="35" t="s">
        <v>95</v>
      </c>
      <c r="Q15" s="1" t="s">
        <v>1519</v>
      </c>
      <c r="R15" s="1"/>
      <c r="T15" s="35">
        <v>8</v>
      </c>
      <c r="W15" s="1">
        <v>8</v>
      </c>
      <c r="X15" s="1">
        <v>0</v>
      </c>
      <c r="Y15" s="1" t="s">
        <v>2170</v>
      </c>
      <c r="Z15" s="35">
        <v>7</v>
      </c>
      <c r="AA15" s="1" t="b">
        <v>1</v>
      </c>
      <c r="AB15" s="1"/>
      <c r="AC15" s="57" t="s">
        <v>1272</v>
      </c>
      <c r="AD15" s="1" t="b">
        <v>1</v>
      </c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</row>
    <row r="16" spans="1:331" s="35" customFormat="1" x14ac:dyDescent="0.25">
      <c r="A16" s="35" t="s">
        <v>96</v>
      </c>
      <c r="B16" s="35" t="s">
        <v>97</v>
      </c>
      <c r="C16" s="1" t="s">
        <v>2070</v>
      </c>
      <c r="D16" s="35">
        <v>2</v>
      </c>
      <c r="E16" s="35" t="s">
        <v>63</v>
      </c>
      <c r="F16" s="35" t="s">
        <v>63</v>
      </c>
      <c r="H16" s="35" t="s">
        <v>98</v>
      </c>
      <c r="I16" s="35" t="s">
        <v>99</v>
      </c>
      <c r="J16" s="35" t="s">
        <v>100</v>
      </c>
      <c r="K16" s="35" t="s">
        <v>63</v>
      </c>
      <c r="L16" s="35">
        <v>0</v>
      </c>
      <c r="O16" s="35">
        <v>1</v>
      </c>
      <c r="P16" s="35" t="s">
        <v>101</v>
      </c>
      <c r="Q16" s="1" t="s">
        <v>1520</v>
      </c>
      <c r="R16" s="1"/>
      <c r="S16" s="35">
        <v>15</v>
      </c>
      <c r="V16" s="35">
        <v>16</v>
      </c>
      <c r="W16" s="1">
        <v>15</v>
      </c>
      <c r="X16" s="1">
        <v>13</v>
      </c>
      <c r="Y16" s="1" t="s">
        <v>2171</v>
      </c>
      <c r="Z16" s="35">
        <v>7</v>
      </c>
      <c r="AA16" s="1" t="b">
        <v>1</v>
      </c>
      <c r="AB16" s="1"/>
      <c r="AC16" s="57" t="s">
        <v>1274</v>
      </c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</row>
    <row r="17" spans="1:331" s="35" customFormat="1" x14ac:dyDescent="0.25">
      <c r="A17" s="35" t="s">
        <v>102</v>
      </c>
      <c r="B17" s="35" t="s">
        <v>103</v>
      </c>
      <c r="C17" s="1" t="s">
        <v>2070</v>
      </c>
      <c r="D17" s="35">
        <v>2</v>
      </c>
      <c r="E17" s="35" t="s">
        <v>104</v>
      </c>
      <c r="F17" s="35" t="s">
        <v>104</v>
      </c>
      <c r="H17" s="35" t="s">
        <v>105</v>
      </c>
      <c r="I17" s="35" t="s">
        <v>104</v>
      </c>
      <c r="J17" s="35" t="s">
        <v>105</v>
      </c>
      <c r="K17" s="35" t="s">
        <v>105</v>
      </c>
      <c r="L17" s="35">
        <v>0</v>
      </c>
      <c r="O17" s="35">
        <v>1</v>
      </c>
      <c r="P17" s="35" t="s">
        <v>106</v>
      </c>
      <c r="Q17" s="1" t="s">
        <v>1521</v>
      </c>
      <c r="R17" s="1"/>
      <c r="S17" s="35">
        <v>11</v>
      </c>
      <c r="U17" s="35">
        <v>14</v>
      </c>
      <c r="W17" s="1">
        <v>11</v>
      </c>
      <c r="X17" s="1">
        <v>9</v>
      </c>
      <c r="Y17" s="1" t="s">
        <v>2172</v>
      </c>
      <c r="Z17" s="35">
        <v>7</v>
      </c>
      <c r="AA17" s="1" t="b">
        <v>1</v>
      </c>
      <c r="AB17" s="1"/>
      <c r="AC17" s="57" t="s">
        <v>1479</v>
      </c>
      <c r="AD17" s="1" t="b">
        <v>1</v>
      </c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</row>
    <row r="18" spans="1:331" s="3" customFormat="1" x14ac:dyDescent="0.25">
      <c r="A18" s="3" t="s">
        <v>107</v>
      </c>
      <c r="B18" s="5" t="s">
        <v>108</v>
      </c>
      <c r="C18" s="13" t="s">
        <v>2070</v>
      </c>
      <c r="D18" s="3">
        <v>0</v>
      </c>
      <c r="H18" s="3" t="s">
        <v>109</v>
      </c>
      <c r="I18" s="3" t="s">
        <v>110</v>
      </c>
      <c r="J18" s="3" t="s">
        <v>111</v>
      </c>
      <c r="K18" s="3" t="s">
        <v>110</v>
      </c>
      <c r="L18" s="3">
        <v>1</v>
      </c>
      <c r="M18" s="3" t="s">
        <v>112</v>
      </c>
      <c r="O18" s="3">
        <v>1</v>
      </c>
      <c r="Q18" s="1" t="s">
        <v>1522</v>
      </c>
      <c r="R18" s="1"/>
      <c r="T18" s="3">
        <v>14</v>
      </c>
      <c r="V18" s="3">
        <v>15</v>
      </c>
      <c r="W18" s="1">
        <v>14</v>
      </c>
      <c r="X18" s="1">
        <v>16</v>
      </c>
      <c r="Y18" s="1" t="s">
        <v>2173</v>
      </c>
      <c r="Z18" s="3">
        <v>1</v>
      </c>
      <c r="AA18" s="1" t="b">
        <v>1</v>
      </c>
      <c r="AB18" s="1"/>
      <c r="AC18" s="57" t="s">
        <v>1275</v>
      </c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</row>
    <row r="19" spans="1:331" s="2" customFormat="1" x14ac:dyDescent="0.25">
      <c r="A19" s="2" t="s">
        <v>113</v>
      </c>
      <c r="B19" s="6">
        <v>2529312</v>
      </c>
      <c r="C19" s="13" t="s">
        <v>2070</v>
      </c>
      <c r="D19" s="2">
        <v>0</v>
      </c>
      <c r="H19" s="2" t="s">
        <v>114</v>
      </c>
      <c r="I19" s="2" t="s">
        <v>115</v>
      </c>
      <c r="J19" s="2" t="s">
        <v>116</v>
      </c>
      <c r="K19" s="2" t="s">
        <v>115</v>
      </c>
      <c r="L19" s="2">
        <v>2</v>
      </c>
      <c r="M19" s="2" t="s">
        <v>116</v>
      </c>
      <c r="N19" s="2" t="s">
        <v>116</v>
      </c>
      <c r="O19" s="2">
        <v>1</v>
      </c>
      <c r="Q19" s="1" t="s">
        <v>1523</v>
      </c>
      <c r="R19" s="1"/>
      <c r="T19" s="2">
        <v>5</v>
      </c>
      <c r="V19" s="2">
        <v>11</v>
      </c>
      <c r="W19" s="1">
        <v>5</v>
      </c>
      <c r="X19" s="1">
        <v>5</v>
      </c>
      <c r="Y19" s="1" t="s">
        <v>2174</v>
      </c>
      <c r="Z19" s="2">
        <v>2</v>
      </c>
      <c r="AA19" s="1" t="b">
        <v>1</v>
      </c>
      <c r="AB19" s="1"/>
      <c r="AC19" s="57" t="s">
        <v>1277</v>
      </c>
      <c r="AD19" s="1" t="b">
        <v>1</v>
      </c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</row>
    <row r="20" spans="1:331" s="35" customFormat="1" x14ac:dyDescent="0.25">
      <c r="A20" s="35" t="s">
        <v>117</v>
      </c>
      <c r="B20" s="35" t="s">
        <v>118</v>
      </c>
      <c r="C20" s="1" t="s">
        <v>2070</v>
      </c>
      <c r="D20" s="35">
        <v>2</v>
      </c>
      <c r="E20" s="35" t="s">
        <v>119</v>
      </c>
      <c r="F20" s="35" t="s">
        <v>119</v>
      </c>
      <c r="H20" s="35" t="s">
        <v>119</v>
      </c>
      <c r="I20" s="35" t="s">
        <v>119</v>
      </c>
      <c r="J20" s="35" t="s">
        <v>120</v>
      </c>
      <c r="K20" s="35" t="s">
        <v>119</v>
      </c>
      <c r="L20" s="35">
        <v>0</v>
      </c>
      <c r="O20" s="35">
        <v>1</v>
      </c>
      <c r="P20" s="35" t="s">
        <v>120</v>
      </c>
      <c r="Q20" s="1" t="s">
        <v>1524</v>
      </c>
      <c r="R20" s="1"/>
      <c r="T20" s="35">
        <v>13</v>
      </c>
      <c r="V20" s="35">
        <v>14</v>
      </c>
      <c r="W20" s="1">
        <v>13</v>
      </c>
      <c r="X20" s="1">
        <v>16</v>
      </c>
      <c r="Y20" s="1" t="s">
        <v>2175</v>
      </c>
      <c r="Z20" s="35">
        <v>7</v>
      </c>
      <c r="AA20" s="1" t="b">
        <v>1</v>
      </c>
      <c r="AB20" s="1"/>
      <c r="AC20" s="57" t="s">
        <v>1276</v>
      </c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</row>
    <row r="21" spans="1:331" s="3" customFormat="1" x14ac:dyDescent="0.25">
      <c r="A21" s="3" t="s">
        <v>121</v>
      </c>
      <c r="B21" s="5" t="s">
        <v>122</v>
      </c>
      <c r="C21" s="13" t="s">
        <v>2070</v>
      </c>
      <c r="D21" s="3">
        <v>0</v>
      </c>
      <c r="H21" s="3" t="s">
        <v>123</v>
      </c>
      <c r="I21" s="3" t="s">
        <v>48</v>
      </c>
      <c r="J21" s="3" t="s">
        <v>124</v>
      </c>
      <c r="K21" s="3" t="s">
        <v>48</v>
      </c>
      <c r="L21" s="3">
        <v>1</v>
      </c>
      <c r="M21" s="3" t="s">
        <v>125</v>
      </c>
      <c r="O21" s="3">
        <v>1</v>
      </c>
      <c r="P21" s="3" t="s">
        <v>126</v>
      </c>
      <c r="Q21" s="1" t="s">
        <v>1525</v>
      </c>
      <c r="R21" s="1"/>
      <c r="S21" s="3">
        <v>8</v>
      </c>
      <c r="U21" s="3">
        <v>12</v>
      </c>
      <c r="W21" s="1">
        <v>8</v>
      </c>
      <c r="X21" s="1">
        <v>11</v>
      </c>
      <c r="Y21" s="1" t="s">
        <v>2176</v>
      </c>
      <c r="Z21" s="3">
        <v>1</v>
      </c>
      <c r="AA21" s="1" t="b">
        <v>1</v>
      </c>
      <c r="AB21" s="1"/>
      <c r="AC21" s="57" t="s">
        <v>1241</v>
      </c>
      <c r="AD21" s="1" t="b">
        <v>1</v>
      </c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</row>
    <row r="22" spans="1:331" s="40" customFormat="1" x14ac:dyDescent="0.25">
      <c r="A22" s="40" t="s">
        <v>127</v>
      </c>
      <c r="B22" s="44" t="s">
        <v>128</v>
      </c>
      <c r="C22" s="13" t="s">
        <v>2070</v>
      </c>
      <c r="D22" s="40">
        <v>0</v>
      </c>
      <c r="H22" s="40" t="s">
        <v>129</v>
      </c>
      <c r="I22" s="40" t="s">
        <v>130</v>
      </c>
      <c r="J22" s="40" t="s">
        <v>131</v>
      </c>
      <c r="K22" s="40" t="s">
        <v>130</v>
      </c>
      <c r="L22" s="40">
        <v>0</v>
      </c>
      <c r="O22" s="40">
        <v>1</v>
      </c>
      <c r="P22" s="40" t="s">
        <v>132</v>
      </c>
      <c r="Q22" s="1"/>
      <c r="R22" s="1" t="s">
        <v>133</v>
      </c>
      <c r="T22" s="40">
        <v>24</v>
      </c>
      <c r="V22" s="40">
        <v>17</v>
      </c>
      <c r="W22" s="1">
        <v>24</v>
      </c>
      <c r="X22" s="1">
        <v>17</v>
      </c>
      <c r="Y22" s="1" t="s">
        <v>2177</v>
      </c>
      <c r="Z22" s="40">
        <v>8</v>
      </c>
      <c r="AA22" s="1" t="b">
        <v>1</v>
      </c>
      <c r="AB22" s="1"/>
      <c r="AC22" s="57" t="s">
        <v>1278</v>
      </c>
      <c r="AD22" s="1" t="b">
        <v>1</v>
      </c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</row>
    <row r="23" spans="1:331" s="35" customFormat="1" x14ac:dyDescent="0.25">
      <c r="A23" s="35" t="s">
        <v>134</v>
      </c>
      <c r="B23" s="35" t="s">
        <v>135</v>
      </c>
      <c r="C23" s="1" t="s">
        <v>2070</v>
      </c>
      <c r="D23" s="35">
        <v>1</v>
      </c>
      <c r="E23" s="35" t="s">
        <v>136</v>
      </c>
      <c r="H23" s="35" t="s">
        <v>137</v>
      </c>
      <c r="I23" s="35" t="s">
        <v>136</v>
      </c>
      <c r="J23" s="35" t="s">
        <v>137</v>
      </c>
      <c r="K23" s="35" t="s">
        <v>136</v>
      </c>
      <c r="L23" s="35">
        <v>0</v>
      </c>
      <c r="O23" s="35">
        <v>1</v>
      </c>
      <c r="Q23" s="1"/>
      <c r="R23" s="1" t="s">
        <v>138</v>
      </c>
      <c r="T23" s="35">
        <v>9</v>
      </c>
      <c r="V23" s="35">
        <v>12</v>
      </c>
      <c r="W23" s="1">
        <v>9</v>
      </c>
      <c r="X23" s="1">
        <v>12</v>
      </c>
      <c r="Y23" s="1" t="s">
        <v>2178</v>
      </c>
      <c r="Z23" s="35">
        <v>7</v>
      </c>
      <c r="AA23" s="1" t="b">
        <v>1</v>
      </c>
      <c r="AB23" s="1"/>
      <c r="AC23" s="57" t="s">
        <v>1279</v>
      </c>
      <c r="AD23" s="1" t="b">
        <v>1</v>
      </c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</row>
    <row r="24" spans="1:331" s="4" customFormat="1" x14ac:dyDescent="0.25">
      <c r="A24" s="4" t="s">
        <v>139</v>
      </c>
      <c r="B24" s="7" t="s">
        <v>140</v>
      </c>
      <c r="C24" s="13" t="s">
        <v>2070</v>
      </c>
      <c r="D24" s="4">
        <v>0</v>
      </c>
      <c r="H24" s="4" t="s">
        <v>141</v>
      </c>
      <c r="I24" s="4" t="s">
        <v>123</v>
      </c>
      <c r="J24" s="4" t="s">
        <v>142</v>
      </c>
      <c r="K24" s="4" t="s">
        <v>123</v>
      </c>
      <c r="L24" s="4">
        <v>1</v>
      </c>
      <c r="M24" s="4" t="s">
        <v>143</v>
      </c>
      <c r="O24" s="4">
        <v>1</v>
      </c>
      <c r="P24" s="4" t="s">
        <v>126</v>
      </c>
      <c r="Q24" s="1" t="s">
        <v>717</v>
      </c>
      <c r="R24" s="1"/>
      <c r="S24" s="4">
        <v>33</v>
      </c>
      <c r="U24" s="4">
        <v>30</v>
      </c>
      <c r="W24" s="1">
        <v>33</v>
      </c>
      <c r="X24" s="1">
        <v>15</v>
      </c>
      <c r="Y24" s="1" t="s">
        <v>2179</v>
      </c>
      <c r="Z24" s="4">
        <v>4</v>
      </c>
      <c r="AA24" s="1" t="b">
        <v>1</v>
      </c>
      <c r="AB24" s="1"/>
      <c r="AC24" s="57" t="s">
        <v>1483</v>
      </c>
      <c r="AD24" s="1" t="b">
        <v>1</v>
      </c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</row>
    <row r="25" spans="1:331" s="35" customFormat="1" x14ac:dyDescent="0.25">
      <c r="A25" s="35" t="s">
        <v>144</v>
      </c>
      <c r="B25" s="35" t="s">
        <v>145</v>
      </c>
      <c r="C25" s="1" t="s">
        <v>2070</v>
      </c>
      <c r="D25" s="35">
        <v>1</v>
      </c>
      <c r="E25" s="35" t="s">
        <v>146</v>
      </c>
      <c r="H25" s="35" t="s">
        <v>147</v>
      </c>
      <c r="I25" s="35" t="s">
        <v>146</v>
      </c>
      <c r="J25" s="35" t="s">
        <v>147</v>
      </c>
      <c r="K25" s="35" t="s">
        <v>2079</v>
      </c>
      <c r="L25" s="35">
        <v>0</v>
      </c>
      <c r="O25" s="35">
        <v>1</v>
      </c>
      <c r="Q25" s="1"/>
      <c r="R25" s="1" t="s">
        <v>148</v>
      </c>
      <c r="T25" s="35">
        <v>15</v>
      </c>
      <c r="V25" s="35">
        <v>16</v>
      </c>
      <c r="W25" s="1">
        <v>15</v>
      </c>
      <c r="X25" s="1">
        <v>19</v>
      </c>
      <c r="Y25" s="1" t="s">
        <v>2180</v>
      </c>
      <c r="Z25" s="35">
        <v>7</v>
      </c>
      <c r="AA25" s="1" t="b">
        <v>0</v>
      </c>
      <c r="AB25" s="1"/>
      <c r="AC25" s="57" t="s">
        <v>1942</v>
      </c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</row>
    <row r="26" spans="1:331" s="45" customFormat="1" x14ac:dyDescent="0.25">
      <c r="A26" s="45" t="s">
        <v>149</v>
      </c>
      <c r="B26" s="47"/>
      <c r="C26" s="13" t="s">
        <v>2070</v>
      </c>
      <c r="D26" s="45">
        <v>3</v>
      </c>
      <c r="E26" s="45" t="s">
        <v>150</v>
      </c>
      <c r="F26" s="45" t="s">
        <v>150</v>
      </c>
      <c r="G26" s="45" t="s">
        <v>150</v>
      </c>
      <c r="H26" s="45" t="s">
        <v>151</v>
      </c>
      <c r="I26" s="45" t="s">
        <v>150</v>
      </c>
      <c r="J26" s="45" t="s">
        <v>88</v>
      </c>
      <c r="K26" s="45" t="s">
        <v>150</v>
      </c>
      <c r="L26" s="45">
        <v>0</v>
      </c>
      <c r="O26" s="45">
        <v>0</v>
      </c>
      <c r="Q26" s="1" t="s">
        <v>1526</v>
      </c>
      <c r="R26" s="1"/>
      <c r="T26" s="45">
        <v>8</v>
      </c>
      <c r="W26" s="1"/>
      <c r="X26" s="1"/>
      <c r="Y26" s="1"/>
      <c r="Z26" s="45">
        <v>-1</v>
      </c>
      <c r="AA26" s="1" t="b">
        <v>0</v>
      </c>
      <c r="AB26" s="1"/>
      <c r="AC26" s="57" t="s">
        <v>1235</v>
      </c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</row>
    <row r="27" spans="1:331" s="40" customFormat="1" x14ac:dyDescent="0.25">
      <c r="A27" s="40" t="s">
        <v>152</v>
      </c>
      <c r="B27" s="40" t="s">
        <v>153</v>
      </c>
      <c r="C27" s="1" t="s">
        <v>2070</v>
      </c>
      <c r="D27" s="40">
        <v>0</v>
      </c>
      <c r="H27" s="40" t="s">
        <v>154</v>
      </c>
      <c r="I27" s="40" t="s">
        <v>155</v>
      </c>
      <c r="J27" s="40" t="s">
        <v>156</v>
      </c>
      <c r="K27" s="40" t="s">
        <v>154</v>
      </c>
      <c r="L27" s="40">
        <v>0</v>
      </c>
      <c r="O27" s="40">
        <v>1</v>
      </c>
      <c r="P27" s="40" t="s">
        <v>157</v>
      </c>
      <c r="Q27" s="1" t="s">
        <v>1527</v>
      </c>
      <c r="R27" s="1"/>
      <c r="S27" s="40">
        <v>13</v>
      </c>
      <c r="U27" s="40">
        <v>12</v>
      </c>
      <c r="W27" s="1">
        <v>13</v>
      </c>
      <c r="X27" s="1">
        <v>12</v>
      </c>
      <c r="Y27" s="1" t="s">
        <v>2181</v>
      </c>
      <c r="Z27" s="40">
        <v>8</v>
      </c>
      <c r="AA27" s="1" t="b">
        <v>1</v>
      </c>
      <c r="AB27" s="1"/>
      <c r="AC27" s="57" t="s">
        <v>1281</v>
      </c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</row>
    <row r="28" spans="1:331" s="25" customFormat="1" x14ac:dyDescent="0.25">
      <c r="A28" s="25" t="s">
        <v>158</v>
      </c>
      <c r="B28" s="29" t="s">
        <v>159</v>
      </c>
      <c r="C28" s="13" t="s">
        <v>2070</v>
      </c>
      <c r="D28" s="25">
        <v>0</v>
      </c>
      <c r="H28" s="25" t="s">
        <v>160</v>
      </c>
      <c r="I28" s="25" t="s">
        <v>161</v>
      </c>
      <c r="J28" s="25" t="s">
        <v>160</v>
      </c>
      <c r="K28" s="25" t="s">
        <v>161</v>
      </c>
      <c r="L28" s="25">
        <v>0</v>
      </c>
      <c r="O28" s="25">
        <v>1</v>
      </c>
      <c r="Q28" s="1" t="s">
        <v>1528</v>
      </c>
      <c r="R28" s="1"/>
      <c r="T28" s="25">
        <v>3</v>
      </c>
      <c r="W28" s="1">
        <v>3</v>
      </c>
      <c r="X28" s="1">
        <v>14</v>
      </c>
      <c r="Y28" s="1" t="s">
        <v>2182</v>
      </c>
      <c r="Z28" s="25">
        <v>5</v>
      </c>
      <c r="AA28" s="1" t="b">
        <v>1</v>
      </c>
      <c r="AB28" s="1"/>
      <c r="AC28" s="57" t="s">
        <v>1282</v>
      </c>
      <c r="AD28" s="1" t="b">
        <v>1</v>
      </c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</row>
    <row r="29" spans="1:331" s="40" customFormat="1" x14ac:dyDescent="0.25">
      <c r="A29" s="40" t="s">
        <v>162</v>
      </c>
      <c r="B29" s="40" t="s">
        <v>163</v>
      </c>
      <c r="C29" s="1" t="s">
        <v>2070</v>
      </c>
      <c r="D29" s="40">
        <v>0</v>
      </c>
      <c r="H29" s="40" t="s">
        <v>164</v>
      </c>
      <c r="I29" s="40" t="s">
        <v>165</v>
      </c>
      <c r="J29" s="40" t="s">
        <v>166</v>
      </c>
      <c r="K29" s="40" t="s">
        <v>2080</v>
      </c>
      <c r="L29" s="40">
        <v>0</v>
      </c>
      <c r="O29" s="40">
        <v>1</v>
      </c>
      <c r="P29" s="40" t="s">
        <v>166</v>
      </c>
      <c r="Q29" s="1" t="s">
        <v>609</v>
      </c>
      <c r="R29" s="1"/>
      <c r="T29" s="40">
        <v>20</v>
      </c>
      <c r="W29" s="1">
        <v>20</v>
      </c>
      <c r="X29" s="1">
        <v>16</v>
      </c>
      <c r="Y29" s="1" t="s">
        <v>2183</v>
      </c>
      <c r="Z29" s="40">
        <v>8</v>
      </c>
      <c r="AA29" s="1" t="b">
        <v>1</v>
      </c>
      <c r="AB29" s="1"/>
      <c r="AC29" s="57" t="s">
        <v>1283</v>
      </c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</row>
    <row r="30" spans="1:331" s="40" customFormat="1" x14ac:dyDescent="0.25">
      <c r="A30" s="40" t="s">
        <v>167</v>
      </c>
      <c r="B30" s="40" t="s">
        <v>168</v>
      </c>
      <c r="C30" s="1" t="s">
        <v>2070</v>
      </c>
      <c r="D30" s="40">
        <v>0</v>
      </c>
      <c r="H30" s="40" t="s">
        <v>169</v>
      </c>
      <c r="I30" s="40" t="s">
        <v>170</v>
      </c>
      <c r="J30" s="40" t="s">
        <v>171</v>
      </c>
      <c r="K30" s="40" t="s">
        <v>169</v>
      </c>
      <c r="L30" s="40">
        <v>0</v>
      </c>
      <c r="O30" s="40">
        <v>1</v>
      </c>
      <c r="P30" s="40" t="s">
        <v>172</v>
      </c>
      <c r="Q30" s="1"/>
      <c r="R30" s="1" t="s">
        <v>173</v>
      </c>
      <c r="S30" s="40">
        <v>15</v>
      </c>
      <c r="U30" s="40">
        <v>15</v>
      </c>
      <c r="W30" s="1">
        <v>15</v>
      </c>
      <c r="X30" s="1">
        <v>15</v>
      </c>
      <c r="Y30" s="1" t="s">
        <v>2184</v>
      </c>
      <c r="Z30" s="40">
        <v>8</v>
      </c>
      <c r="AA30" s="1" t="b">
        <v>1</v>
      </c>
      <c r="AB30" s="1"/>
      <c r="AC30" s="57" t="s">
        <v>1284</v>
      </c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</row>
    <row r="31" spans="1:331" s="40" customFormat="1" x14ac:dyDescent="0.25">
      <c r="A31" s="40" t="s">
        <v>174</v>
      </c>
      <c r="B31" s="40" t="s">
        <v>175</v>
      </c>
      <c r="C31" s="1" t="s">
        <v>2070</v>
      </c>
      <c r="D31" s="40">
        <v>0</v>
      </c>
      <c r="H31" s="40" t="s">
        <v>176</v>
      </c>
      <c r="I31" s="40" t="s">
        <v>177</v>
      </c>
      <c r="J31" s="40" t="s">
        <v>176</v>
      </c>
      <c r="K31" s="40" t="s">
        <v>176</v>
      </c>
      <c r="L31" s="40">
        <v>0</v>
      </c>
      <c r="O31" s="40">
        <v>1</v>
      </c>
      <c r="P31" s="40" t="s">
        <v>178</v>
      </c>
      <c r="Q31" s="1" t="s">
        <v>512</v>
      </c>
      <c r="R31" s="1"/>
      <c r="S31" s="40">
        <v>6</v>
      </c>
      <c r="T31" s="40">
        <v>22</v>
      </c>
      <c r="V31" s="40">
        <v>21</v>
      </c>
      <c r="W31" s="1">
        <v>22</v>
      </c>
      <c r="X31" s="1">
        <v>17</v>
      </c>
      <c r="Y31" s="1" t="s">
        <v>2185</v>
      </c>
      <c r="Z31" s="40">
        <v>8</v>
      </c>
      <c r="AA31" s="1" t="b">
        <v>1</v>
      </c>
      <c r="AB31" s="1"/>
      <c r="AC31" s="57" t="s">
        <v>1285</v>
      </c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</row>
    <row r="32" spans="1:331" s="45" customFormat="1" x14ac:dyDescent="0.25">
      <c r="A32" s="45" t="s">
        <v>179</v>
      </c>
      <c r="B32" s="45" t="s">
        <v>180</v>
      </c>
      <c r="C32" s="1" t="s">
        <v>2070</v>
      </c>
      <c r="D32" s="45">
        <v>0</v>
      </c>
      <c r="H32" s="45" t="s">
        <v>181</v>
      </c>
      <c r="I32" s="45" t="s">
        <v>182</v>
      </c>
      <c r="J32" s="45" t="s">
        <v>183</v>
      </c>
      <c r="K32" s="45" t="s">
        <v>182</v>
      </c>
      <c r="L32" s="45">
        <v>0</v>
      </c>
      <c r="O32" s="45">
        <v>1</v>
      </c>
      <c r="P32" s="45" t="s">
        <v>183</v>
      </c>
      <c r="Q32" s="1" t="s">
        <v>177</v>
      </c>
      <c r="R32" s="1"/>
      <c r="S32" s="45">
        <v>18</v>
      </c>
      <c r="W32" s="1"/>
      <c r="X32" s="1"/>
      <c r="Y32" s="1"/>
      <c r="Z32" s="45">
        <v>-1</v>
      </c>
      <c r="AA32" s="1" t="b">
        <v>0</v>
      </c>
      <c r="AB32" s="1"/>
      <c r="AC32" s="57" t="s">
        <v>1286</v>
      </c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</row>
    <row r="33" spans="1:331" s="40" customFormat="1" x14ac:dyDescent="0.25">
      <c r="A33" s="40" t="s">
        <v>184</v>
      </c>
      <c r="B33" s="40" t="s">
        <v>185</v>
      </c>
      <c r="C33" s="1" t="s">
        <v>2070</v>
      </c>
      <c r="D33" s="40">
        <v>0</v>
      </c>
      <c r="H33" s="40" t="s">
        <v>186</v>
      </c>
      <c r="I33" s="40" t="s">
        <v>187</v>
      </c>
      <c r="J33" s="40" t="s">
        <v>188</v>
      </c>
      <c r="K33" s="40" t="s">
        <v>187</v>
      </c>
      <c r="L33" s="40">
        <v>0</v>
      </c>
      <c r="O33" s="40">
        <v>1</v>
      </c>
      <c r="P33" s="40" t="s">
        <v>189</v>
      </c>
      <c r="Q33" s="1" t="s">
        <v>1529</v>
      </c>
      <c r="R33" s="1"/>
      <c r="S33" s="40">
        <v>12</v>
      </c>
      <c r="U33" s="40">
        <v>14</v>
      </c>
      <c r="W33" s="1">
        <v>12</v>
      </c>
      <c r="X33" s="1">
        <v>12</v>
      </c>
      <c r="Y33" s="1" t="s">
        <v>2186</v>
      </c>
      <c r="Z33" s="40">
        <v>8</v>
      </c>
      <c r="AA33" s="1" t="b">
        <v>1</v>
      </c>
      <c r="AB33" s="1"/>
      <c r="AC33" s="57" t="s">
        <v>1287</v>
      </c>
      <c r="AD33" s="1" t="b">
        <v>1</v>
      </c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</row>
    <row r="34" spans="1:331" s="49" customFormat="1" x14ac:dyDescent="0.25">
      <c r="A34" s="49" t="s">
        <v>190</v>
      </c>
      <c r="B34" s="49" t="s">
        <v>191</v>
      </c>
      <c r="C34" s="1" t="s">
        <v>2070</v>
      </c>
      <c r="D34" s="49">
        <v>0</v>
      </c>
      <c r="H34" s="49" t="s">
        <v>192</v>
      </c>
      <c r="I34" s="49" t="s">
        <v>192</v>
      </c>
      <c r="J34" s="49" t="s">
        <v>192</v>
      </c>
      <c r="K34" s="49" t="s">
        <v>192</v>
      </c>
      <c r="L34" s="49">
        <v>0</v>
      </c>
      <c r="O34" s="49">
        <v>1</v>
      </c>
      <c r="Q34" s="1"/>
      <c r="R34" s="1" t="s">
        <v>193</v>
      </c>
      <c r="S34" s="49">
        <v>10</v>
      </c>
      <c r="U34" s="49">
        <v>10</v>
      </c>
      <c r="W34" s="1">
        <v>10</v>
      </c>
      <c r="X34" s="1">
        <v>10</v>
      </c>
      <c r="Y34" s="1" t="s">
        <v>2187</v>
      </c>
      <c r="Z34" s="49">
        <v>9</v>
      </c>
      <c r="AA34" s="1" t="b">
        <v>1</v>
      </c>
      <c r="AB34" s="1"/>
      <c r="AC34" s="57" t="s">
        <v>1288</v>
      </c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</row>
    <row r="35" spans="1:331" s="40" customFormat="1" x14ac:dyDescent="0.25">
      <c r="A35" s="40" t="s">
        <v>194</v>
      </c>
      <c r="B35" s="40" t="s">
        <v>195</v>
      </c>
      <c r="C35" s="1" t="s">
        <v>2070</v>
      </c>
      <c r="D35" s="40">
        <v>0</v>
      </c>
      <c r="H35" s="40" t="s">
        <v>196</v>
      </c>
      <c r="I35" s="40" t="s">
        <v>196</v>
      </c>
      <c r="J35" s="40" t="s">
        <v>197</v>
      </c>
      <c r="K35" s="40" t="s">
        <v>196</v>
      </c>
      <c r="L35" s="40">
        <v>0</v>
      </c>
      <c r="O35" s="40">
        <v>1</v>
      </c>
      <c r="P35" s="40" t="s">
        <v>197</v>
      </c>
      <c r="Q35" s="1" t="s">
        <v>181</v>
      </c>
      <c r="R35" s="1"/>
      <c r="S35" s="40">
        <v>8</v>
      </c>
      <c r="U35" s="40">
        <v>18</v>
      </c>
      <c r="W35" s="1">
        <v>8</v>
      </c>
      <c r="X35" s="1">
        <v>11</v>
      </c>
      <c r="Y35" s="1" t="s">
        <v>2188</v>
      </c>
      <c r="Z35" s="40">
        <v>8</v>
      </c>
      <c r="AA35" s="1" t="b">
        <v>1</v>
      </c>
      <c r="AB35" s="1"/>
      <c r="AC35" s="57" t="s">
        <v>1318</v>
      </c>
      <c r="AD35" s="1" t="b">
        <v>1</v>
      </c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</row>
    <row r="36" spans="1:331" s="40" customFormat="1" x14ac:dyDescent="0.25">
      <c r="A36" s="40" t="s">
        <v>198</v>
      </c>
      <c r="B36" s="40" t="s">
        <v>199</v>
      </c>
      <c r="C36" s="1" t="s">
        <v>2070</v>
      </c>
      <c r="D36" s="40">
        <v>0</v>
      </c>
      <c r="H36" s="40" t="s">
        <v>200</v>
      </c>
      <c r="I36" s="40" t="s">
        <v>200</v>
      </c>
      <c r="J36" s="40" t="s">
        <v>200</v>
      </c>
      <c r="K36" s="40" t="s">
        <v>200</v>
      </c>
      <c r="L36" s="40">
        <v>0</v>
      </c>
      <c r="O36" s="40">
        <v>1</v>
      </c>
      <c r="P36" s="40" t="s">
        <v>201</v>
      </c>
      <c r="Q36" s="1" t="s">
        <v>1530</v>
      </c>
      <c r="R36" s="1"/>
      <c r="S36" s="40">
        <v>18</v>
      </c>
      <c r="U36" s="40">
        <v>15</v>
      </c>
      <c r="W36" s="1">
        <v>18</v>
      </c>
      <c r="X36" s="1">
        <v>21</v>
      </c>
      <c r="Y36" s="1" t="s">
        <v>2189</v>
      </c>
      <c r="Z36" s="40">
        <v>8</v>
      </c>
      <c r="AA36" s="1" t="b">
        <v>1</v>
      </c>
      <c r="AB36" s="1"/>
      <c r="AC36" s="57" t="s">
        <v>1292</v>
      </c>
      <c r="AD36" s="1" t="b">
        <v>1</v>
      </c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</row>
    <row r="37" spans="1:331" s="40" customFormat="1" x14ac:dyDescent="0.25">
      <c r="A37" s="40" t="s">
        <v>202</v>
      </c>
      <c r="B37" s="40" t="s">
        <v>203</v>
      </c>
      <c r="C37" s="1" t="s">
        <v>2070</v>
      </c>
      <c r="D37" s="40">
        <v>0</v>
      </c>
      <c r="H37" s="40" t="s">
        <v>204</v>
      </c>
      <c r="I37" s="40" t="s">
        <v>204</v>
      </c>
      <c r="J37" s="40" t="s">
        <v>204</v>
      </c>
      <c r="K37" s="40" t="s">
        <v>204</v>
      </c>
      <c r="L37" s="40">
        <v>0</v>
      </c>
      <c r="O37" s="40">
        <v>1</v>
      </c>
      <c r="P37" s="40" t="s">
        <v>205</v>
      </c>
      <c r="Q37" s="1" t="s">
        <v>1531</v>
      </c>
      <c r="R37" s="1"/>
      <c r="S37" s="40">
        <v>16</v>
      </c>
      <c r="U37" s="40">
        <v>8</v>
      </c>
      <c r="W37" s="1">
        <v>16</v>
      </c>
      <c r="X37" s="1">
        <v>8</v>
      </c>
      <c r="Y37" s="1" t="s">
        <v>2190</v>
      </c>
      <c r="Z37" s="40">
        <v>8</v>
      </c>
      <c r="AA37" s="1" t="b">
        <v>1</v>
      </c>
      <c r="AB37" s="1"/>
      <c r="AC37" s="57" t="s">
        <v>1320</v>
      </c>
      <c r="AD37" s="1" t="b">
        <v>1</v>
      </c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</row>
    <row r="38" spans="1:331" s="40" customFormat="1" x14ac:dyDescent="0.25">
      <c r="A38" s="40" t="s">
        <v>206</v>
      </c>
      <c r="B38" s="40" t="s">
        <v>207</v>
      </c>
      <c r="C38" s="1" t="s">
        <v>2070</v>
      </c>
      <c r="D38" s="40">
        <v>0</v>
      </c>
      <c r="H38" s="40" t="s">
        <v>208</v>
      </c>
      <c r="I38" s="40" t="s">
        <v>208</v>
      </c>
      <c r="J38" s="40" t="s">
        <v>209</v>
      </c>
      <c r="K38" s="40" t="s">
        <v>208</v>
      </c>
      <c r="L38" s="40">
        <v>0</v>
      </c>
      <c r="O38" s="40">
        <v>1</v>
      </c>
      <c r="P38" s="40" t="s">
        <v>210</v>
      </c>
      <c r="Q38" s="1" t="s">
        <v>1532</v>
      </c>
      <c r="R38" s="1"/>
      <c r="S38" s="40">
        <v>16</v>
      </c>
      <c r="U38" s="40">
        <v>10</v>
      </c>
      <c r="W38" s="1">
        <v>16</v>
      </c>
      <c r="X38" s="1">
        <v>15</v>
      </c>
      <c r="Y38" s="1" t="s">
        <v>2191</v>
      </c>
      <c r="Z38" s="40">
        <v>8</v>
      </c>
      <c r="AA38" s="1" t="b">
        <v>1</v>
      </c>
      <c r="AB38" s="1"/>
      <c r="AC38" s="57" t="s">
        <v>1321</v>
      </c>
      <c r="AD38" s="1" t="b">
        <v>1</v>
      </c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N38" s="1"/>
      <c r="LO38" s="1"/>
      <c r="LP38" s="1"/>
      <c r="LQ38" s="1"/>
      <c r="LR38" s="1"/>
      <c r="LS38" s="1"/>
    </row>
    <row r="39" spans="1:331" s="25" customFormat="1" x14ac:dyDescent="0.25">
      <c r="A39" s="25" t="s">
        <v>211</v>
      </c>
      <c r="B39" s="29" t="s">
        <v>212</v>
      </c>
      <c r="C39" s="13" t="s">
        <v>2070</v>
      </c>
      <c r="D39" s="25">
        <v>0</v>
      </c>
      <c r="H39" s="25" t="s">
        <v>213</v>
      </c>
      <c r="I39" s="25" t="s">
        <v>214</v>
      </c>
      <c r="J39" s="25" t="s">
        <v>213</v>
      </c>
      <c r="K39" s="25" t="s">
        <v>778</v>
      </c>
      <c r="L39" s="25">
        <v>0</v>
      </c>
      <c r="O39" s="25">
        <v>1</v>
      </c>
      <c r="Q39" s="1" t="s">
        <v>1533</v>
      </c>
      <c r="R39" s="1"/>
      <c r="T39" s="25">
        <v>10</v>
      </c>
      <c r="V39" s="25">
        <v>11</v>
      </c>
      <c r="W39" s="1">
        <v>10</v>
      </c>
      <c r="X39" s="1">
        <v>15</v>
      </c>
      <c r="Y39" s="1" t="s">
        <v>2192</v>
      </c>
      <c r="Z39" s="25">
        <v>5</v>
      </c>
      <c r="AA39" s="1" t="b">
        <v>1</v>
      </c>
      <c r="AB39" s="1"/>
      <c r="AC39" s="57" t="s">
        <v>1322</v>
      </c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</row>
    <row r="40" spans="1:331" s="25" customFormat="1" x14ac:dyDescent="0.25">
      <c r="A40" s="25" t="s">
        <v>215</v>
      </c>
      <c r="B40" s="29" t="s">
        <v>216</v>
      </c>
      <c r="C40" s="13" t="s">
        <v>2070</v>
      </c>
      <c r="D40" s="25">
        <v>0</v>
      </c>
      <c r="H40" s="25" t="s">
        <v>217</v>
      </c>
      <c r="I40" s="25" t="s">
        <v>217</v>
      </c>
      <c r="J40" s="25" t="s">
        <v>217</v>
      </c>
      <c r="K40" s="25" t="s">
        <v>217</v>
      </c>
      <c r="L40" s="25">
        <v>0</v>
      </c>
      <c r="O40" s="25">
        <v>0</v>
      </c>
      <c r="Q40" s="1" t="s">
        <v>1534</v>
      </c>
      <c r="R40" s="1"/>
      <c r="S40" s="25">
        <v>28</v>
      </c>
      <c r="W40" s="1">
        <v>28</v>
      </c>
      <c r="X40" s="1">
        <v>13</v>
      </c>
      <c r="Y40" s="1" t="s">
        <v>2193</v>
      </c>
      <c r="Z40" s="25">
        <v>5</v>
      </c>
      <c r="AA40" s="1" t="b">
        <v>1</v>
      </c>
      <c r="AB40" s="1"/>
      <c r="AC40" s="57" t="s">
        <v>1319</v>
      </c>
      <c r="AD40" s="1" t="b">
        <v>1</v>
      </c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/>
    </row>
    <row r="41" spans="1:331" s="25" customFormat="1" x14ac:dyDescent="0.25">
      <c r="A41" s="25" t="s">
        <v>218</v>
      </c>
      <c r="B41" s="29" t="s">
        <v>219</v>
      </c>
      <c r="C41" s="13" t="s">
        <v>2070</v>
      </c>
      <c r="D41" s="25">
        <v>0</v>
      </c>
      <c r="H41" s="25" t="s">
        <v>220</v>
      </c>
      <c r="I41" s="25" t="s">
        <v>221</v>
      </c>
      <c r="J41" s="25" t="s">
        <v>220</v>
      </c>
      <c r="K41" s="25" t="s">
        <v>221</v>
      </c>
      <c r="L41" s="25">
        <v>0</v>
      </c>
      <c r="O41" s="25">
        <v>1</v>
      </c>
      <c r="Q41" s="1" t="s">
        <v>1535</v>
      </c>
      <c r="R41" s="1"/>
      <c r="S41" s="25">
        <v>8</v>
      </c>
      <c r="U41" s="25">
        <v>10</v>
      </c>
      <c r="W41" s="1">
        <v>8</v>
      </c>
      <c r="X41" s="1">
        <v>11</v>
      </c>
      <c r="Y41" s="1" t="s">
        <v>2194</v>
      </c>
      <c r="Z41" s="25">
        <v>5</v>
      </c>
      <c r="AA41" s="1" t="b">
        <v>1</v>
      </c>
      <c r="AB41" s="1"/>
      <c r="AC41" s="57" t="s">
        <v>1323</v>
      </c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</row>
    <row r="42" spans="1:331" s="40" customFormat="1" x14ac:dyDescent="0.25">
      <c r="A42" s="40" t="s">
        <v>222</v>
      </c>
      <c r="B42" s="40">
        <v>2715450</v>
      </c>
      <c r="C42" s="1" t="s">
        <v>2070</v>
      </c>
      <c r="D42" s="40">
        <v>0</v>
      </c>
      <c r="H42" s="40" t="s">
        <v>223</v>
      </c>
      <c r="I42" s="40" t="s">
        <v>224</v>
      </c>
      <c r="J42" s="40" t="s">
        <v>225</v>
      </c>
      <c r="K42" s="40" t="s">
        <v>2081</v>
      </c>
      <c r="L42" s="40">
        <v>0</v>
      </c>
      <c r="O42" s="40">
        <v>1</v>
      </c>
      <c r="P42" s="40" t="s">
        <v>226</v>
      </c>
      <c r="Q42" s="1" t="s">
        <v>1536</v>
      </c>
      <c r="R42" s="1"/>
      <c r="S42" s="40">
        <v>10</v>
      </c>
      <c r="U42" s="40">
        <v>10</v>
      </c>
      <c r="W42" s="1">
        <v>10</v>
      </c>
      <c r="X42" s="1">
        <v>11</v>
      </c>
      <c r="Y42" s="1" t="s">
        <v>2195</v>
      </c>
      <c r="Z42" s="40">
        <v>8</v>
      </c>
      <c r="AA42" s="1" t="b">
        <v>1</v>
      </c>
      <c r="AB42" s="1"/>
      <c r="AC42" s="57" t="s">
        <v>1324</v>
      </c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/>
    </row>
    <row r="43" spans="1:331" s="3" customFormat="1" x14ac:dyDescent="0.25">
      <c r="A43" s="3" t="s">
        <v>227</v>
      </c>
      <c r="B43" s="5" t="s">
        <v>228</v>
      </c>
      <c r="C43" s="13" t="s">
        <v>2070</v>
      </c>
      <c r="D43" s="3">
        <v>0</v>
      </c>
      <c r="H43" s="3" t="s">
        <v>229</v>
      </c>
      <c r="I43" s="3" t="s">
        <v>224</v>
      </c>
      <c r="J43" s="3" t="s">
        <v>230</v>
      </c>
      <c r="K43" s="3" t="s">
        <v>224</v>
      </c>
      <c r="L43" s="3">
        <v>1</v>
      </c>
      <c r="M43" s="3" t="s">
        <v>224</v>
      </c>
      <c r="O43" s="3">
        <v>0</v>
      </c>
      <c r="Q43" s="1" t="s">
        <v>1537</v>
      </c>
      <c r="R43" s="1"/>
      <c r="T43" s="3">
        <v>11</v>
      </c>
      <c r="V43" s="3">
        <v>11</v>
      </c>
      <c r="W43" s="1">
        <v>11</v>
      </c>
      <c r="X43" s="1">
        <v>10</v>
      </c>
      <c r="Y43" s="1" t="s">
        <v>2196</v>
      </c>
      <c r="Z43" s="3">
        <v>1</v>
      </c>
      <c r="AA43" s="1" t="b">
        <v>1</v>
      </c>
      <c r="AB43" s="1"/>
      <c r="AC43" s="57" t="s">
        <v>1322</v>
      </c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</row>
    <row r="44" spans="1:331" s="49" customFormat="1" x14ac:dyDescent="0.25">
      <c r="A44" s="49" t="s">
        <v>231</v>
      </c>
      <c r="B44" s="49" t="s">
        <v>232</v>
      </c>
      <c r="C44" s="1" t="s">
        <v>2070</v>
      </c>
      <c r="D44" s="49">
        <v>0</v>
      </c>
      <c r="H44" s="49" t="s">
        <v>233</v>
      </c>
      <c r="I44" s="49" t="s">
        <v>234</v>
      </c>
      <c r="J44" s="49" t="s">
        <v>233</v>
      </c>
      <c r="K44" s="49" t="s">
        <v>234</v>
      </c>
      <c r="L44" s="49">
        <v>0</v>
      </c>
      <c r="O44" s="49">
        <v>1</v>
      </c>
      <c r="Q44" s="1"/>
      <c r="R44" s="1" t="s">
        <v>235</v>
      </c>
      <c r="S44" s="49">
        <v>7</v>
      </c>
      <c r="U44" s="49">
        <v>7</v>
      </c>
      <c r="W44" s="1">
        <v>7</v>
      </c>
      <c r="X44" s="1">
        <v>8</v>
      </c>
      <c r="Y44" s="1" t="s">
        <v>2197</v>
      </c>
      <c r="Z44" s="49">
        <v>9</v>
      </c>
      <c r="AA44" s="1" t="b">
        <v>1</v>
      </c>
      <c r="AB44" s="1"/>
      <c r="AC44" s="57" t="s">
        <v>1325</v>
      </c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N44" s="1"/>
      <c r="LO44" s="1"/>
      <c r="LP44" s="1"/>
      <c r="LQ44" s="1"/>
      <c r="LR44" s="1"/>
      <c r="LS44" s="1"/>
    </row>
    <row r="45" spans="1:331" s="40" customFormat="1" x14ac:dyDescent="0.25">
      <c r="A45" s="40" t="s">
        <v>236</v>
      </c>
      <c r="B45" s="40" t="s">
        <v>237</v>
      </c>
      <c r="C45" s="1" t="s">
        <v>2070</v>
      </c>
      <c r="D45" s="40">
        <v>0</v>
      </c>
      <c r="H45" s="40" t="s">
        <v>238</v>
      </c>
      <c r="I45" s="40" t="s">
        <v>239</v>
      </c>
      <c r="J45" s="40" t="s">
        <v>238</v>
      </c>
      <c r="K45" s="40" t="s">
        <v>2082</v>
      </c>
      <c r="L45" s="40">
        <v>0</v>
      </c>
      <c r="O45" s="40">
        <v>1</v>
      </c>
      <c r="P45" s="40" t="s">
        <v>234</v>
      </c>
      <c r="Q45" s="1" t="s">
        <v>1538</v>
      </c>
      <c r="R45" s="1"/>
      <c r="S45" s="40">
        <v>5</v>
      </c>
      <c r="U45" s="40">
        <v>7</v>
      </c>
      <c r="W45" s="1">
        <v>5</v>
      </c>
      <c r="X45" s="1">
        <v>12</v>
      </c>
      <c r="Y45" s="1" t="s">
        <v>2198</v>
      </c>
      <c r="Z45" s="40">
        <v>8</v>
      </c>
      <c r="AA45" s="1" t="b">
        <v>1</v>
      </c>
      <c r="AB45" s="1"/>
      <c r="AC45" s="57" t="s">
        <v>1327</v>
      </c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</row>
    <row r="46" spans="1:331" s="75" customFormat="1" x14ac:dyDescent="0.25">
      <c r="A46" s="75" t="s">
        <v>240</v>
      </c>
      <c r="B46" s="75" t="s">
        <v>241</v>
      </c>
      <c r="C46" s="1" t="s">
        <v>2070</v>
      </c>
      <c r="D46" s="75">
        <v>0</v>
      </c>
      <c r="H46" s="75" t="s">
        <v>242</v>
      </c>
      <c r="I46" s="75" t="s">
        <v>213</v>
      </c>
      <c r="J46" s="75" t="s">
        <v>243</v>
      </c>
      <c r="K46" s="75" t="s">
        <v>213</v>
      </c>
      <c r="L46" s="75">
        <v>0</v>
      </c>
      <c r="O46" s="75">
        <v>1</v>
      </c>
      <c r="P46" s="75" t="s">
        <v>244</v>
      </c>
      <c r="Q46" s="1"/>
      <c r="R46" s="1" t="s">
        <v>245</v>
      </c>
      <c r="T46" s="75">
        <v>13</v>
      </c>
      <c r="V46" s="75">
        <v>13</v>
      </c>
      <c r="W46" s="75">
        <v>13</v>
      </c>
      <c r="X46" s="1">
        <v>13</v>
      </c>
      <c r="Y46" s="1" t="s">
        <v>2199</v>
      </c>
      <c r="Z46" s="75">
        <v>14</v>
      </c>
      <c r="AA46" s="75" t="b">
        <v>1</v>
      </c>
      <c r="AC46" s="78" t="s">
        <v>1328</v>
      </c>
    </row>
    <row r="47" spans="1:331" s="2" customFormat="1" x14ac:dyDescent="0.25">
      <c r="A47" s="2" t="s">
        <v>246</v>
      </c>
      <c r="B47" s="6" t="s">
        <v>247</v>
      </c>
      <c r="C47" s="13" t="s">
        <v>2070</v>
      </c>
      <c r="D47" s="2">
        <v>0</v>
      </c>
      <c r="H47" s="2" t="s">
        <v>248</v>
      </c>
      <c r="I47" s="2" t="s">
        <v>249</v>
      </c>
      <c r="J47" s="2" t="s">
        <v>250</v>
      </c>
      <c r="K47" s="2" t="s">
        <v>249</v>
      </c>
      <c r="L47" s="2">
        <v>2</v>
      </c>
      <c r="M47" s="2" t="s">
        <v>250</v>
      </c>
      <c r="N47" s="2" t="s">
        <v>250</v>
      </c>
      <c r="O47" s="2">
        <v>1</v>
      </c>
      <c r="P47" s="2" t="s">
        <v>250</v>
      </c>
      <c r="Q47" s="1" t="s">
        <v>239</v>
      </c>
      <c r="R47" s="1"/>
      <c r="S47" s="2">
        <v>14</v>
      </c>
      <c r="U47" s="2">
        <v>14</v>
      </c>
      <c r="W47" s="1">
        <v>14</v>
      </c>
      <c r="X47" s="1">
        <v>13</v>
      </c>
      <c r="Y47" s="1" t="s">
        <v>2200</v>
      </c>
      <c r="Z47" s="2">
        <v>2</v>
      </c>
      <c r="AA47" s="1" t="b">
        <v>1</v>
      </c>
      <c r="AB47" s="1"/>
      <c r="AC47" s="57" t="s">
        <v>1329</v>
      </c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</row>
    <row r="48" spans="1:331" s="40" customFormat="1" x14ac:dyDescent="0.25">
      <c r="A48" s="40" t="s">
        <v>251</v>
      </c>
      <c r="B48" s="40" t="s">
        <v>252</v>
      </c>
      <c r="C48" s="1" t="s">
        <v>2070</v>
      </c>
      <c r="D48" s="40">
        <v>0</v>
      </c>
      <c r="H48" s="40" t="s">
        <v>242</v>
      </c>
      <c r="I48" s="40" t="s">
        <v>120</v>
      </c>
      <c r="J48" s="40" t="s">
        <v>242</v>
      </c>
      <c r="K48" s="40" t="s">
        <v>120</v>
      </c>
      <c r="L48" s="40">
        <v>0</v>
      </c>
      <c r="O48" s="40">
        <v>1</v>
      </c>
      <c r="P48" s="40" t="s">
        <v>242</v>
      </c>
      <c r="Q48" s="1" t="s">
        <v>1539</v>
      </c>
      <c r="R48" s="1"/>
      <c r="S48" s="40">
        <v>20</v>
      </c>
      <c r="U48" s="40">
        <v>15</v>
      </c>
      <c r="W48" s="1">
        <v>20</v>
      </c>
      <c r="X48" s="1">
        <v>11</v>
      </c>
      <c r="Y48" s="1" t="s">
        <v>2201</v>
      </c>
      <c r="Z48" s="40">
        <v>8</v>
      </c>
      <c r="AA48" s="1" t="b">
        <v>1</v>
      </c>
      <c r="AB48" s="1"/>
      <c r="AC48" s="57" t="s">
        <v>1330</v>
      </c>
      <c r="AD48" s="1" t="b">
        <v>1</v>
      </c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N48" s="1"/>
      <c r="LO48" s="1"/>
      <c r="LP48" s="1"/>
      <c r="LQ48" s="1"/>
      <c r="LR48" s="1"/>
      <c r="LS48" s="1"/>
    </row>
    <row r="49" spans="1:331" s="30" customFormat="1" x14ac:dyDescent="0.25">
      <c r="A49" s="30" t="s">
        <v>253</v>
      </c>
      <c r="B49" s="30">
        <v>2238250</v>
      </c>
      <c r="C49" s="1" t="s">
        <v>2070</v>
      </c>
      <c r="D49" s="30">
        <v>1</v>
      </c>
      <c r="E49" s="30" t="s">
        <v>254</v>
      </c>
      <c r="H49" s="30" t="s">
        <v>255</v>
      </c>
      <c r="I49" s="30" t="s">
        <v>254</v>
      </c>
      <c r="J49" s="30" t="s">
        <v>255</v>
      </c>
      <c r="K49" s="30" t="s">
        <v>255</v>
      </c>
      <c r="L49" s="30">
        <v>0</v>
      </c>
      <c r="O49" s="30">
        <v>0</v>
      </c>
      <c r="Q49" s="1" t="s">
        <v>1540</v>
      </c>
      <c r="R49" s="1"/>
      <c r="T49" s="30">
        <v>10</v>
      </c>
      <c r="V49" s="30">
        <v>11</v>
      </c>
      <c r="W49" s="1">
        <v>10</v>
      </c>
      <c r="X49" s="1">
        <v>10</v>
      </c>
      <c r="Y49" s="1" t="s">
        <v>2202</v>
      </c>
      <c r="Z49" s="30">
        <v>6</v>
      </c>
      <c r="AA49" s="1" t="b">
        <v>1</v>
      </c>
      <c r="AB49" s="1"/>
      <c r="AC49" s="57" t="s">
        <v>1475</v>
      </c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</row>
    <row r="50" spans="1:331" s="25" customFormat="1" x14ac:dyDescent="0.25">
      <c r="A50" s="25" t="s">
        <v>256</v>
      </c>
      <c r="B50" s="29" t="s">
        <v>257</v>
      </c>
      <c r="C50" s="13" t="s">
        <v>2070</v>
      </c>
      <c r="D50" s="25">
        <v>0</v>
      </c>
      <c r="H50" s="25" t="s">
        <v>258</v>
      </c>
      <c r="I50" s="25" t="s">
        <v>119</v>
      </c>
      <c r="J50" s="25" t="s">
        <v>258</v>
      </c>
      <c r="K50" s="25" t="s">
        <v>119</v>
      </c>
      <c r="L50" s="25">
        <v>0</v>
      </c>
      <c r="O50" s="25">
        <v>0</v>
      </c>
      <c r="Q50" s="1" t="s">
        <v>243</v>
      </c>
      <c r="R50" s="1"/>
      <c r="T50" s="25">
        <v>3</v>
      </c>
      <c r="V50" s="25">
        <v>3</v>
      </c>
      <c r="W50" s="1">
        <v>3</v>
      </c>
      <c r="X50" s="1">
        <v>5</v>
      </c>
      <c r="Y50" s="1" t="s">
        <v>2203</v>
      </c>
      <c r="Z50" s="25">
        <v>5</v>
      </c>
      <c r="AA50" s="1" t="b">
        <v>1</v>
      </c>
      <c r="AB50" s="1"/>
      <c r="AC50" s="57" t="s">
        <v>1313</v>
      </c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N50" s="1"/>
      <c r="LO50" s="1"/>
      <c r="LP50" s="1"/>
      <c r="LQ50" s="1"/>
      <c r="LR50" s="1"/>
      <c r="LS50" s="1"/>
    </row>
    <row r="51" spans="1:331" s="35" customFormat="1" x14ac:dyDescent="0.25">
      <c r="A51" s="35" t="s">
        <v>259</v>
      </c>
      <c r="B51" s="35" t="s">
        <v>260</v>
      </c>
      <c r="C51" s="1" t="s">
        <v>2070</v>
      </c>
      <c r="D51" s="35">
        <v>5</v>
      </c>
      <c r="E51" s="35" t="s">
        <v>261</v>
      </c>
      <c r="F51" s="35" t="s">
        <v>261</v>
      </c>
      <c r="G51" s="35" t="s">
        <v>261</v>
      </c>
      <c r="H51" s="35" t="s">
        <v>262</v>
      </c>
      <c r="I51" s="35" t="s">
        <v>261</v>
      </c>
      <c r="J51" s="35" t="s">
        <v>262</v>
      </c>
      <c r="K51" s="35" t="s">
        <v>261</v>
      </c>
      <c r="L51" s="35">
        <v>0</v>
      </c>
      <c r="O51" s="35">
        <v>1</v>
      </c>
      <c r="Q51" s="1"/>
      <c r="R51" s="1" t="s">
        <v>263</v>
      </c>
      <c r="T51" s="35">
        <v>43</v>
      </c>
      <c r="V51" s="35">
        <v>39</v>
      </c>
      <c r="W51" s="1">
        <v>43</v>
      </c>
      <c r="X51" s="1">
        <v>38</v>
      </c>
      <c r="Y51" s="1" t="s">
        <v>2204</v>
      </c>
      <c r="Z51" s="35">
        <v>7</v>
      </c>
      <c r="AA51" s="1" t="b">
        <v>1</v>
      </c>
      <c r="AB51" s="1"/>
      <c r="AC51" s="57" t="s">
        <v>1481</v>
      </c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</row>
    <row r="52" spans="1:331" s="3" customFormat="1" x14ac:dyDescent="0.25">
      <c r="A52" s="3" t="s">
        <v>1331</v>
      </c>
      <c r="B52" s="3" t="s">
        <v>1337</v>
      </c>
      <c r="C52" s="1" t="s">
        <v>2070</v>
      </c>
      <c r="D52" s="3">
        <v>0</v>
      </c>
      <c r="H52" s="3" t="s">
        <v>725</v>
      </c>
      <c r="I52" s="3" t="s">
        <v>725</v>
      </c>
      <c r="J52" s="3" t="s">
        <v>704</v>
      </c>
      <c r="K52" s="3" t="s">
        <v>725</v>
      </c>
      <c r="L52" s="3">
        <v>2</v>
      </c>
      <c r="M52" s="3" t="s">
        <v>1338</v>
      </c>
      <c r="N52" s="3" t="s">
        <v>1339</v>
      </c>
      <c r="O52" s="3">
        <v>1</v>
      </c>
      <c r="P52" s="3" t="s">
        <v>704</v>
      </c>
      <c r="Q52" s="1" t="s">
        <v>1541</v>
      </c>
      <c r="R52" s="1"/>
      <c r="V52" s="3">
        <v>20</v>
      </c>
      <c r="W52" s="1">
        <v>20</v>
      </c>
      <c r="X52" s="1"/>
      <c r="Y52" s="1"/>
      <c r="Z52" s="3">
        <v>1</v>
      </c>
      <c r="AA52" s="1" t="b">
        <v>1</v>
      </c>
      <c r="AB52" s="1"/>
      <c r="AC52" s="57" t="s">
        <v>1346</v>
      </c>
      <c r="AD52" s="1" t="b">
        <v>1</v>
      </c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N52" s="1"/>
      <c r="LO52" s="1"/>
      <c r="LP52" s="1"/>
      <c r="LQ52" s="1"/>
      <c r="LR52" s="1"/>
      <c r="LS52" s="1"/>
    </row>
    <row r="53" spans="1:331" s="4" customFormat="1" x14ac:dyDescent="0.25">
      <c r="A53" s="4" t="s">
        <v>1332</v>
      </c>
      <c r="B53" s="4" t="s">
        <v>1340</v>
      </c>
      <c r="C53" s="4" t="s">
        <v>2070</v>
      </c>
      <c r="D53" s="4">
        <v>1</v>
      </c>
      <c r="E53" s="4" t="s">
        <v>699</v>
      </c>
      <c r="H53" s="4" t="s">
        <v>724</v>
      </c>
      <c r="I53" s="4" t="s">
        <v>1341</v>
      </c>
      <c r="J53" s="4" t="s">
        <v>1342</v>
      </c>
      <c r="K53" s="4" t="s">
        <v>724</v>
      </c>
      <c r="L53" s="4">
        <v>1</v>
      </c>
      <c r="M53" s="4" t="s">
        <v>1343</v>
      </c>
      <c r="O53" s="4">
        <v>1</v>
      </c>
      <c r="P53" s="4" t="s">
        <v>1344</v>
      </c>
      <c r="Q53" s="1" t="s">
        <v>1542</v>
      </c>
      <c r="R53" s="1"/>
      <c r="S53" s="4">
        <v>24</v>
      </c>
      <c r="W53" s="4">
        <v>24</v>
      </c>
      <c r="X53" s="4">
        <v>6</v>
      </c>
      <c r="Y53" s="4" t="s">
        <v>2205</v>
      </c>
      <c r="Z53" s="4">
        <v>4</v>
      </c>
      <c r="AA53" s="4" t="b">
        <v>1</v>
      </c>
      <c r="AC53" s="24" t="s">
        <v>1485</v>
      </c>
      <c r="AD53" s="4" t="b">
        <v>1</v>
      </c>
    </row>
    <row r="54" spans="1:331" s="75" customFormat="1" x14ac:dyDescent="0.25">
      <c r="A54" s="75" t="s">
        <v>1503</v>
      </c>
      <c r="B54" s="75" t="s">
        <v>2578</v>
      </c>
      <c r="C54" s="75" t="s">
        <v>2070</v>
      </c>
      <c r="D54" s="75">
        <v>0</v>
      </c>
      <c r="H54" s="75" t="s">
        <v>1504</v>
      </c>
      <c r="I54" s="75" t="s">
        <v>1505</v>
      </c>
      <c r="J54" s="75" t="s">
        <v>1506</v>
      </c>
      <c r="K54" s="75" t="s">
        <v>2083</v>
      </c>
      <c r="L54" s="75">
        <v>0</v>
      </c>
      <c r="O54" s="75">
        <v>1</v>
      </c>
      <c r="P54" s="75" t="s">
        <v>1507</v>
      </c>
      <c r="Q54" s="1" t="s">
        <v>700</v>
      </c>
      <c r="R54" s="1"/>
      <c r="S54" s="75">
        <v>10</v>
      </c>
      <c r="U54" s="75">
        <v>10</v>
      </c>
      <c r="W54" s="75">
        <v>10</v>
      </c>
      <c r="AA54" s="75" t="b">
        <v>1</v>
      </c>
      <c r="AC54" s="78" t="s">
        <v>2581</v>
      </c>
    </row>
    <row r="55" spans="1:331" x14ac:dyDescent="0.25">
      <c r="A55" s="1" t="s">
        <v>1508</v>
      </c>
      <c r="B55" s="1" t="s">
        <v>2579</v>
      </c>
      <c r="C55" s="1" t="s">
        <v>2070</v>
      </c>
      <c r="D55" s="1">
        <v>0</v>
      </c>
      <c r="H55" s="1" t="s">
        <v>1507</v>
      </c>
      <c r="I55" s="1" t="s">
        <v>1506</v>
      </c>
      <c r="J55" s="1" t="s">
        <v>1507</v>
      </c>
      <c r="K55" s="1" t="s">
        <v>1506</v>
      </c>
      <c r="L55" s="1">
        <v>1</v>
      </c>
      <c r="M55" s="1" t="s">
        <v>1507</v>
      </c>
      <c r="O55" s="1">
        <v>1</v>
      </c>
      <c r="R55" s="1" t="s">
        <v>1509</v>
      </c>
      <c r="T55" s="1">
        <v>26</v>
      </c>
      <c r="V55" s="1">
        <v>30</v>
      </c>
      <c r="W55" s="1">
        <v>26</v>
      </c>
      <c r="AA55" s="1" t="b">
        <v>1</v>
      </c>
      <c r="AC55" s="57" t="s">
        <v>1453</v>
      </c>
    </row>
    <row r="56" spans="1:331" s="35" customFormat="1" x14ac:dyDescent="0.25">
      <c r="A56" s="35" t="s">
        <v>265</v>
      </c>
      <c r="B56" s="39" t="s">
        <v>266</v>
      </c>
      <c r="C56" s="13" t="s">
        <v>2071</v>
      </c>
      <c r="D56" s="35">
        <v>1</v>
      </c>
      <c r="E56" s="35" t="s">
        <v>267</v>
      </c>
      <c r="H56" s="35" t="s">
        <v>268</v>
      </c>
      <c r="I56" s="35" t="s">
        <v>268</v>
      </c>
      <c r="J56" s="35" t="s">
        <v>269</v>
      </c>
      <c r="K56" s="35" t="s">
        <v>2084</v>
      </c>
      <c r="L56" s="35">
        <v>0</v>
      </c>
      <c r="O56" s="35">
        <v>1</v>
      </c>
      <c r="P56" s="35" t="s">
        <v>270</v>
      </c>
      <c r="Q56" s="1" t="s">
        <v>324</v>
      </c>
      <c r="R56" s="1"/>
      <c r="T56" s="35">
        <v>13</v>
      </c>
      <c r="V56" s="35">
        <v>12</v>
      </c>
      <c r="W56" s="1">
        <v>13</v>
      </c>
      <c r="X56" s="1">
        <v>16</v>
      </c>
      <c r="Y56" s="1" t="s">
        <v>2206</v>
      </c>
      <c r="Z56" s="35">
        <v>7</v>
      </c>
      <c r="AA56" s="1" t="b">
        <v>1</v>
      </c>
      <c r="AB56" s="1"/>
      <c r="AC56" s="57" t="s">
        <v>1419</v>
      </c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/>
    </row>
    <row r="57" spans="1:331" s="35" customFormat="1" x14ac:dyDescent="0.25">
      <c r="A57" s="35" t="s">
        <v>271</v>
      </c>
      <c r="B57" s="39" t="s">
        <v>272</v>
      </c>
      <c r="C57" s="13" t="s">
        <v>2071</v>
      </c>
      <c r="D57" s="35">
        <v>1</v>
      </c>
      <c r="E57" s="35" t="s">
        <v>41</v>
      </c>
      <c r="H57" s="35" t="s">
        <v>41</v>
      </c>
      <c r="I57" s="35" t="s">
        <v>41</v>
      </c>
      <c r="J57" s="35" t="s">
        <v>273</v>
      </c>
      <c r="K57" s="35" t="s">
        <v>41</v>
      </c>
      <c r="L57" s="35">
        <v>0</v>
      </c>
      <c r="O57" s="35">
        <v>1</v>
      </c>
      <c r="P57" s="35" t="s">
        <v>274</v>
      </c>
      <c r="Q57" s="1" t="s">
        <v>132</v>
      </c>
      <c r="R57" s="1"/>
      <c r="T57" s="35">
        <v>9</v>
      </c>
      <c r="V57" s="35">
        <v>11</v>
      </c>
      <c r="W57" s="1">
        <v>9</v>
      </c>
      <c r="X57" s="1">
        <v>13</v>
      </c>
      <c r="Y57" s="1" t="s">
        <v>2207</v>
      </c>
      <c r="Z57" s="35">
        <v>7</v>
      </c>
      <c r="AA57" s="1" t="b">
        <v>1</v>
      </c>
      <c r="AB57" s="1"/>
      <c r="AC57" s="57" t="s">
        <v>1420</v>
      </c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</row>
    <row r="58" spans="1:331" s="40" customFormat="1" x14ac:dyDescent="0.25">
      <c r="A58" s="40" t="s">
        <v>275</v>
      </c>
      <c r="B58" s="44" t="s">
        <v>276</v>
      </c>
      <c r="C58" s="13" t="s">
        <v>2071</v>
      </c>
      <c r="D58" s="40">
        <v>0</v>
      </c>
      <c r="H58" s="40" t="s">
        <v>277</v>
      </c>
      <c r="I58" s="40" t="s">
        <v>278</v>
      </c>
      <c r="J58" s="40" t="s">
        <v>278</v>
      </c>
      <c r="K58" s="40" t="s">
        <v>2085</v>
      </c>
      <c r="L58" s="40">
        <v>0</v>
      </c>
      <c r="O58" s="40">
        <v>1</v>
      </c>
      <c r="P58" s="40" t="s">
        <v>278</v>
      </c>
      <c r="Q58" s="1" t="s">
        <v>1543</v>
      </c>
      <c r="R58" s="1"/>
      <c r="S58" s="40">
        <v>6</v>
      </c>
      <c r="T58" s="40">
        <v>12</v>
      </c>
      <c r="W58" s="1">
        <v>12</v>
      </c>
      <c r="X58" s="1">
        <v>12</v>
      </c>
      <c r="Y58" s="1" t="s">
        <v>2208</v>
      </c>
      <c r="Z58" s="40">
        <v>8</v>
      </c>
      <c r="AA58" s="1" t="b">
        <v>1</v>
      </c>
      <c r="AB58" s="1"/>
      <c r="AC58" s="57" t="s">
        <v>1427</v>
      </c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N58" s="1"/>
      <c r="LO58" s="1"/>
      <c r="LP58" s="1"/>
      <c r="LQ58" s="1"/>
      <c r="LR58" s="1"/>
      <c r="LS58" s="1"/>
    </row>
    <row r="59" spans="1:331" s="35" customFormat="1" x14ac:dyDescent="0.25">
      <c r="A59" s="35" t="s">
        <v>279</v>
      </c>
      <c r="B59" s="39" t="s">
        <v>280</v>
      </c>
      <c r="C59" s="13" t="s">
        <v>2071</v>
      </c>
      <c r="D59" s="35">
        <v>1</v>
      </c>
      <c r="E59" s="35" t="s">
        <v>281</v>
      </c>
      <c r="H59" s="35" t="s">
        <v>22</v>
      </c>
      <c r="I59" s="35" t="s">
        <v>282</v>
      </c>
      <c r="J59" s="35" t="s">
        <v>156</v>
      </c>
      <c r="K59" s="35" t="s">
        <v>22</v>
      </c>
      <c r="L59" s="35">
        <v>0</v>
      </c>
      <c r="O59" s="35">
        <v>1</v>
      </c>
      <c r="P59" s="35" t="s">
        <v>157</v>
      </c>
      <c r="Q59" s="1" t="s">
        <v>1544</v>
      </c>
      <c r="R59" s="1"/>
      <c r="S59" s="35">
        <v>10</v>
      </c>
      <c r="V59" s="35">
        <v>12</v>
      </c>
      <c r="W59" s="1">
        <v>10</v>
      </c>
      <c r="X59" s="1">
        <v>9</v>
      </c>
      <c r="Y59" s="1" t="s">
        <v>2209</v>
      </c>
      <c r="Z59" s="35">
        <v>7</v>
      </c>
      <c r="AA59" s="1" t="b">
        <v>1</v>
      </c>
      <c r="AB59" s="1"/>
      <c r="AC59" s="57" t="s">
        <v>1421</v>
      </c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N59" s="1"/>
      <c r="LO59" s="1"/>
      <c r="LP59" s="1"/>
      <c r="LQ59" s="1"/>
      <c r="LR59" s="1"/>
      <c r="LS59" s="1"/>
    </row>
    <row r="60" spans="1:331" s="40" customFormat="1" x14ac:dyDescent="0.25">
      <c r="A60" s="40" t="s">
        <v>283</v>
      </c>
      <c r="B60" s="44" t="s">
        <v>284</v>
      </c>
      <c r="C60" s="13" t="s">
        <v>2071</v>
      </c>
      <c r="D60" s="40">
        <v>0</v>
      </c>
      <c r="H60" s="40" t="s">
        <v>285</v>
      </c>
      <c r="I60" s="40" t="s">
        <v>286</v>
      </c>
      <c r="J60" s="40" t="s">
        <v>285</v>
      </c>
      <c r="K60" s="40" t="s">
        <v>286</v>
      </c>
      <c r="L60" s="40">
        <v>0</v>
      </c>
      <c r="O60" s="40">
        <v>1</v>
      </c>
      <c r="P60" s="40" t="s">
        <v>287</v>
      </c>
      <c r="Q60" s="1" t="s">
        <v>506</v>
      </c>
      <c r="R60" s="1"/>
      <c r="S60" s="40">
        <v>12</v>
      </c>
      <c r="U60" s="40">
        <v>11</v>
      </c>
      <c r="W60" s="1">
        <v>12</v>
      </c>
      <c r="X60" s="1">
        <v>8</v>
      </c>
      <c r="Y60" s="1" t="s">
        <v>2210</v>
      </c>
      <c r="Z60" s="40">
        <v>8</v>
      </c>
      <c r="AA60" s="1" t="b">
        <v>1</v>
      </c>
      <c r="AB60" s="1"/>
      <c r="AC60" s="57" t="s">
        <v>1399</v>
      </c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N60" s="1"/>
      <c r="LO60" s="1"/>
      <c r="LP60" s="1"/>
      <c r="LQ60" s="1"/>
      <c r="LR60" s="1"/>
      <c r="LS60" s="1"/>
    </row>
    <row r="61" spans="1:331" s="40" customFormat="1" x14ac:dyDescent="0.25">
      <c r="A61" s="40" t="s">
        <v>288</v>
      </c>
      <c r="B61" s="44" t="s">
        <v>289</v>
      </c>
      <c r="C61" s="13" t="s">
        <v>2071</v>
      </c>
      <c r="D61" s="40">
        <v>1</v>
      </c>
      <c r="H61" s="40" t="s">
        <v>290</v>
      </c>
      <c r="I61" s="40" t="s">
        <v>291</v>
      </c>
      <c r="J61" s="40" t="s">
        <v>292</v>
      </c>
      <c r="K61" s="40" t="s">
        <v>2086</v>
      </c>
      <c r="L61" s="40">
        <v>0</v>
      </c>
      <c r="O61" s="40">
        <v>1</v>
      </c>
      <c r="P61" s="40" t="s">
        <v>21</v>
      </c>
      <c r="Q61" s="1" t="s">
        <v>1545</v>
      </c>
      <c r="R61" s="1"/>
      <c r="S61" s="40">
        <v>12</v>
      </c>
      <c r="U61" s="40">
        <v>12</v>
      </c>
      <c r="W61" s="1">
        <v>12</v>
      </c>
      <c r="X61" s="1">
        <v>12</v>
      </c>
      <c r="Y61" s="1" t="s">
        <v>2211</v>
      </c>
      <c r="Z61" s="40">
        <v>8</v>
      </c>
      <c r="AA61" s="1" t="b">
        <v>1</v>
      </c>
      <c r="AB61" s="1"/>
      <c r="AC61" s="57" t="s">
        <v>1428</v>
      </c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N61" s="1"/>
      <c r="LO61" s="1"/>
      <c r="LP61" s="1"/>
      <c r="LQ61" s="1"/>
      <c r="LR61" s="1"/>
      <c r="LS61" s="1"/>
    </row>
    <row r="62" spans="1:331" s="35" customFormat="1" x14ac:dyDescent="0.25">
      <c r="A62" s="35" t="s">
        <v>293</v>
      </c>
      <c r="B62" s="39" t="s">
        <v>294</v>
      </c>
      <c r="C62" s="13" t="s">
        <v>2071</v>
      </c>
      <c r="D62" s="35">
        <v>1</v>
      </c>
      <c r="E62" s="35" t="s">
        <v>295</v>
      </c>
      <c r="H62" s="35" t="s">
        <v>177</v>
      </c>
      <c r="I62" s="35" t="s">
        <v>177</v>
      </c>
      <c r="J62" s="35" t="s">
        <v>177</v>
      </c>
      <c r="K62" s="35" t="s">
        <v>295</v>
      </c>
      <c r="L62" s="35">
        <v>0</v>
      </c>
      <c r="O62" s="35">
        <v>1</v>
      </c>
      <c r="P62" s="35" t="s">
        <v>176</v>
      </c>
      <c r="Q62" s="1" t="s">
        <v>1546</v>
      </c>
      <c r="R62" s="1"/>
      <c r="S62" s="35">
        <v>30</v>
      </c>
      <c r="U62" s="35">
        <v>20</v>
      </c>
      <c r="W62" s="1">
        <v>30</v>
      </c>
      <c r="X62" s="1">
        <v>19</v>
      </c>
      <c r="Y62" s="1" t="s">
        <v>2212</v>
      </c>
      <c r="Z62" s="35">
        <v>7</v>
      </c>
      <c r="AA62" s="1" t="b">
        <v>1</v>
      </c>
      <c r="AB62" s="1"/>
      <c r="AC62" s="57" t="s">
        <v>1422</v>
      </c>
      <c r="AD62" s="1" t="b">
        <v>1</v>
      </c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N62" s="1"/>
      <c r="LO62" s="1"/>
      <c r="LP62" s="1"/>
      <c r="LQ62" s="1"/>
      <c r="LR62" s="1"/>
      <c r="LS62" s="1"/>
    </row>
    <row r="63" spans="1:331" s="40" customFormat="1" x14ac:dyDescent="0.25">
      <c r="A63" s="40" t="s">
        <v>296</v>
      </c>
      <c r="B63" s="44" t="s">
        <v>297</v>
      </c>
      <c r="C63" s="13" t="s">
        <v>2071</v>
      </c>
      <c r="D63" s="40">
        <v>0</v>
      </c>
      <c r="H63" s="40" t="s">
        <v>298</v>
      </c>
      <c r="I63" s="40" t="s">
        <v>299</v>
      </c>
      <c r="J63" s="40" t="s">
        <v>300</v>
      </c>
      <c r="K63" s="40" t="s">
        <v>2087</v>
      </c>
      <c r="L63" s="40">
        <v>0</v>
      </c>
      <c r="O63" s="40">
        <v>1</v>
      </c>
      <c r="P63" s="40" t="s">
        <v>301</v>
      </c>
      <c r="Q63" s="1" t="s">
        <v>1547</v>
      </c>
      <c r="R63" s="1"/>
      <c r="T63" s="40">
        <v>8</v>
      </c>
      <c r="W63" s="1">
        <v>8</v>
      </c>
      <c r="X63" s="1">
        <v>13</v>
      </c>
      <c r="Y63" s="1" t="s">
        <v>2213</v>
      </c>
      <c r="Z63" s="40">
        <v>8</v>
      </c>
      <c r="AA63" s="1" t="b">
        <v>1</v>
      </c>
      <c r="AB63" s="1"/>
      <c r="AC63" s="57" t="s">
        <v>1495</v>
      </c>
      <c r="AD63" s="1" t="b">
        <v>1</v>
      </c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N63" s="1"/>
      <c r="LO63" s="1"/>
      <c r="LP63" s="1"/>
      <c r="LQ63" s="1"/>
      <c r="LR63" s="1"/>
      <c r="LS63" s="1"/>
    </row>
    <row r="64" spans="1:331" s="40" customFormat="1" x14ac:dyDescent="0.25">
      <c r="A64" s="40" t="s">
        <v>302</v>
      </c>
      <c r="B64" s="44" t="s">
        <v>303</v>
      </c>
      <c r="C64" s="13" t="s">
        <v>2071</v>
      </c>
      <c r="D64" s="40">
        <v>0</v>
      </c>
      <c r="H64" s="40" t="s">
        <v>183</v>
      </c>
      <c r="I64" s="40" t="s">
        <v>182</v>
      </c>
      <c r="J64" s="40" t="s">
        <v>304</v>
      </c>
      <c r="K64" s="40" t="s">
        <v>183</v>
      </c>
      <c r="L64" s="40">
        <v>0</v>
      </c>
      <c r="O64" s="40">
        <v>1</v>
      </c>
      <c r="P64" s="40" t="s">
        <v>305</v>
      </c>
      <c r="Q64" s="1" t="s">
        <v>281</v>
      </c>
      <c r="R64" s="1"/>
      <c r="S64" s="40">
        <v>5</v>
      </c>
      <c r="T64" s="40">
        <v>15</v>
      </c>
      <c r="V64" s="40">
        <v>16</v>
      </c>
      <c r="W64" s="1">
        <v>15</v>
      </c>
      <c r="X64" s="1">
        <v>19</v>
      </c>
      <c r="Y64" s="1" t="s">
        <v>2214</v>
      </c>
      <c r="Z64" s="40">
        <v>8</v>
      </c>
      <c r="AA64" s="1" t="b">
        <v>1</v>
      </c>
      <c r="AB64" s="1"/>
      <c r="AC64" s="57" t="s">
        <v>1429</v>
      </c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N64" s="1"/>
      <c r="LO64" s="1"/>
      <c r="LP64" s="1"/>
      <c r="LQ64" s="1"/>
      <c r="LR64" s="1"/>
      <c r="LS64" s="1"/>
    </row>
    <row r="65" spans="1:331" s="35" customFormat="1" x14ac:dyDescent="0.25">
      <c r="A65" s="35" t="s">
        <v>306</v>
      </c>
      <c r="B65" s="39" t="s">
        <v>307</v>
      </c>
      <c r="C65" s="13" t="s">
        <v>2071</v>
      </c>
      <c r="D65" s="35">
        <v>1</v>
      </c>
      <c r="E65" s="35" t="s">
        <v>308</v>
      </c>
      <c r="H65" s="35" t="s">
        <v>309</v>
      </c>
      <c r="I65" s="35" t="s">
        <v>308</v>
      </c>
      <c r="J65" s="35" t="s">
        <v>37</v>
      </c>
      <c r="K65" s="35" t="s">
        <v>2088</v>
      </c>
      <c r="L65" s="35">
        <v>0</v>
      </c>
      <c r="O65" s="35">
        <v>1</v>
      </c>
      <c r="P65" s="35" t="s">
        <v>310</v>
      </c>
      <c r="Q65" s="1" t="s">
        <v>305</v>
      </c>
      <c r="R65" s="1"/>
      <c r="T65" s="35">
        <v>21</v>
      </c>
      <c r="V65" s="35">
        <v>20</v>
      </c>
      <c r="W65" s="1">
        <v>21</v>
      </c>
      <c r="X65" s="1">
        <v>21</v>
      </c>
      <c r="Y65" s="1" t="s">
        <v>2215</v>
      </c>
      <c r="Z65" s="35">
        <v>7</v>
      </c>
      <c r="AA65" s="1" t="b">
        <v>1</v>
      </c>
      <c r="AB65" s="1"/>
      <c r="AC65" s="57" t="s">
        <v>1423</v>
      </c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N65" s="1"/>
      <c r="LO65" s="1"/>
      <c r="LP65" s="1"/>
      <c r="LQ65" s="1"/>
      <c r="LR65" s="1"/>
      <c r="LS65" s="1"/>
    </row>
    <row r="66" spans="1:331" s="75" customFormat="1" x14ac:dyDescent="0.25">
      <c r="A66" s="75" t="s">
        <v>311</v>
      </c>
      <c r="B66" s="79" t="s">
        <v>312</v>
      </c>
      <c r="C66" s="13" t="s">
        <v>2071</v>
      </c>
      <c r="D66" s="75">
        <v>0</v>
      </c>
      <c r="H66" s="75" t="s">
        <v>196</v>
      </c>
      <c r="I66" s="75" t="s">
        <v>313</v>
      </c>
      <c r="J66" s="75" t="s">
        <v>197</v>
      </c>
      <c r="K66" s="75" t="s">
        <v>313</v>
      </c>
      <c r="L66" s="75">
        <v>0</v>
      </c>
      <c r="O66" s="75">
        <v>1</v>
      </c>
      <c r="P66" s="75" t="s">
        <v>314</v>
      </c>
      <c r="Q66" s="1"/>
      <c r="R66" s="1" t="s">
        <v>2584</v>
      </c>
      <c r="T66" s="75">
        <v>9.4</v>
      </c>
      <c r="V66" s="75">
        <v>12</v>
      </c>
      <c r="W66" s="75">
        <v>9.4</v>
      </c>
      <c r="X66" s="1">
        <v>17</v>
      </c>
      <c r="Y66" s="1" t="s">
        <v>2216</v>
      </c>
      <c r="Z66" s="75">
        <v>14</v>
      </c>
      <c r="AA66" s="75" t="b">
        <v>1</v>
      </c>
      <c r="AC66" s="78" t="s">
        <v>1430</v>
      </c>
    </row>
    <row r="67" spans="1:331" s="40" customFormat="1" x14ac:dyDescent="0.25">
      <c r="A67" s="40" t="s">
        <v>315</v>
      </c>
      <c r="B67" s="44" t="s">
        <v>316</v>
      </c>
      <c r="C67" s="13" t="s">
        <v>2071</v>
      </c>
      <c r="D67" s="40">
        <v>0</v>
      </c>
      <c r="H67" s="40" t="s">
        <v>130</v>
      </c>
      <c r="I67" s="40" t="s">
        <v>317</v>
      </c>
      <c r="J67" s="40" t="s">
        <v>318</v>
      </c>
      <c r="K67" s="40" t="s">
        <v>387</v>
      </c>
      <c r="L67" s="40">
        <v>0</v>
      </c>
      <c r="O67" s="40">
        <v>1</v>
      </c>
      <c r="P67" s="40" t="s">
        <v>319</v>
      </c>
      <c r="Q67" s="1" t="s">
        <v>1548</v>
      </c>
      <c r="R67" s="1"/>
      <c r="S67" s="40">
        <v>10</v>
      </c>
      <c r="U67" s="40">
        <v>11</v>
      </c>
      <c r="W67" s="1">
        <v>10</v>
      </c>
      <c r="X67" s="1">
        <v>13</v>
      </c>
      <c r="Y67" s="1" t="s">
        <v>2217</v>
      </c>
      <c r="Z67" s="40">
        <v>8</v>
      </c>
      <c r="AA67" s="1" t="b">
        <v>1</v>
      </c>
      <c r="AB67" s="1"/>
      <c r="AC67" s="57" t="s">
        <v>1431</v>
      </c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N67" s="1"/>
      <c r="LO67" s="1"/>
      <c r="LP67" s="1"/>
      <c r="LQ67" s="1"/>
      <c r="LR67" s="1"/>
      <c r="LS67" s="1"/>
    </row>
    <row r="68" spans="1:331" s="25" customFormat="1" x14ac:dyDescent="0.25">
      <c r="A68" s="25" t="s">
        <v>320</v>
      </c>
      <c r="B68" s="29" t="s">
        <v>321</v>
      </c>
      <c r="C68" s="13" t="s">
        <v>2071</v>
      </c>
      <c r="D68" s="25">
        <v>0</v>
      </c>
      <c r="H68" s="25" t="s">
        <v>322</v>
      </c>
      <c r="I68" s="25" t="s">
        <v>323</v>
      </c>
      <c r="J68" s="25" t="s">
        <v>324</v>
      </c>
      <c r="K68" s="25" t="s">
        <v>499</v>
      </c>
      <c r="L68" s="25">
        <v>0</v>
      </c>
      <c r="O68" s="25">
        <v>1</v>
      </c>
      <c r="Q68" s="1" t="s">
        <v>1549</v>
      </c>
      <c r="R68" s="1"/>
      <c r="T68" s="25">
        <v>6</v>
      </c>
      <c r="V68" s="25">
        <v>8</v>
      </c>
      <c r="W68" s="1">
        <v>6</v>
      </c>
      <c r="X68" s="1">
        <v>11</v>
      </c>
      <c r="Y68" s="1" t="s">
        <v>2218</v>
      </c>
      <c r="Z68" s="25">
        <v>5</v>
      </c>
      <c r="AA68" s="1" t="b">
        <v>1</v>
      </c>
      <c r="AB68" s="1"/>
      <c r="AC68" s="57" t="s">
        <v>1289</v>
      </c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N68" s="1"/>
      <c r="LO68" s="1"/>
      <c r="LP68" s="1"/>
      <c r="LQ68" s="1"/>
      <c r="LR68" s="1"/>
      <c r="LS68" s="1"/>
    </row>
    <row r="69" spans="1:331" s="25" customFormat="1" x14ac:dyDescent="0.25">
      <c r="A69" s="25" t="s">
        <v>325</v>
      </c>
      <c r="B69" s="29" t="s">
        <v>326</v>
      </c>
      <c r="C69" s="13" t="s">
        <v>2071</v>
      </c>
      <c r="D69" s="25">
        <v>0</v>
      </c>
      <c r="H69" s="25" t="s">
        <v>327</v>
      </c>
      <c r="I69" s="25" t="s">
        <v>328</v>
      </c>
      <c r="J69" s="25" t="s">
        <v>327</v>
      </c>
      <c r="K69" s="25" t="s">
        <v>2089</v>
      </c>
      <c r="L69" s="25">
        <v>0</v>
      </c>
      <c r="O69" s="25">
        <v>0</v>
      </c>
      <c r="Q69" s="1" t="s">
        <v>525</v>
      </c>
      <c r="R69" s="1"/>
      <c r="S69" s="25">
        <v>8.4</v>
      </c>
      <c r="V69" s="25">
        <v>9</v>
      </c>
      <c r="W69" s="1">
        <v>8</v>
      </c>
      <c r="X69" s="1">
        <v>15</v>
      </c>
      <c r="Y69" s="1" t="s">
        <v>2219</v>
      </c>
      <c r="Z69" s="25">
        <v>5</v>
      </c>
      <c r="AA69" s="1" t="b">
        <v>1</v>
      </c>
      <c r="AB69" s="1"/>
      <c r="AC69" s="57" t="s">
        <v>1333</v>
      </c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N69" s="1"/>
      <c r="LO69" s="1"/>
      <c r="LP69" s="1"/>
      <c r="LQ69" s="1"/>
      <c r="LR69" s="1"/>
      <c r="LS69" s="1"/>
    </row>
    <row r="70" spans="1:331" s="3" customFormat="1" x14ac:dyDescent="0.25">
      <c r="A70" s="3" t="s">
        <v>329</v>
      </c>
      <c r="B70" s="5" t="s">
        <v>330</v>
      </c>
      <c r="C70" s="13" t="s">
        <v>2071</v>
      </c>
      <c r="D70" s="3">
        <v>0</v>
      </c>
      <c r="H70" s="3" t="s">
        <v>331</v>
      </c>
      <c r="I70" s="3" t="s">
        <v>332</v>
      </c>
      <c r="J70" s="3" t="s">
        <v>333</v>
      </c>
      <c r="K70" s="3" t="s">
        <v>331</v>
      </c>
      <c r="L70" s="3">
        <v>1</v>
      </c>
      <c r="M70" s="3" t="s">
        <v>334</v>
      </c>
      <c r="O70" s="3">
        <v>1</v>
      </c>
      <c r="P70" s="3" t="s">
        <v>335</v>
      </c>
      <c r="Q70" s="1" t="s">
        <v>617</v>
      </c>
      <c r="R70" s="1"/>
      <c r="S70" s="3">
        <v>8</v>
      </c>
      <c r="V70" s="3">
        <v>12</v>
      </c>
      <c r="W70" s="1">
        <v>8</v>
      </c>
      <c r="X70" s="1">
        <v>11</v>
      </c>
      <c r="Y70" s="1" t="s">
        <v>2220</v>
      </c>
      <c r="Z70" s="3">
        <v>1</v>
      </c>
      <c r="AA70" s="1" t="b">
        <v>1</v>
      </c>
      <c r="AB70" s="1"/>
      <c r="AC70" s="57" t="s">
        <v>1334</v>
      </c>
      <c r="AD70" s="1" t="b">
        <v>1</v>
      </c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N70" s="1"/>
      <c r="LO70" s="1"/>
      <c r="LP70" s="1"/>
      <c r="LQ70" s="1"/>
      <c r="LR70" s="1"/>
      <c r="LS70" s="1"/>
    </row>
    <row r="71" spans="1:331" s="3" customFormat="1" x14ac:dyDescent="0.25">
      <c r="A71" s="3" t="s">
        <v>336</v>
      </c>
      <c r="B71" s="5" t="s">
        <v>337</v>
      </c>
      <c r="C71" s="13" t="s">
        <v>2071</v>
      </c>
      <c r="D71" s="3">
        <v>0</v>
      </c>
      <c r="H71" s="3" t="s">
        <v>338</v>
      </c>
      <c r="I71" s="3" t="s">
        <v>233</v>
      </c>
      <c r="J71" s="3" t="s">
        <v>338</v>
      </c>
      <c r="K71" s="3" t="s">
        <v>233</v>
      </c>
      <c r="L71" s="3">
        <v>1</v>
      </c>
      <c r="M71" s="3" t="s">
        <v>339</v>
      </c>
      <c r="O71" s="3">
        <v>0</v>
      </c>
      <c r="Q71" s="1" t="s">
        <v>1550</v>
      </c>
      <c r="R71" s="1"/>
      <c r="T71" s="3">
        <v>15</v>
      </c>
      <c r="V71" s="3">
        <v>14</v>
      </c>
      <c r="W71" s="1">
        <v>15</v>
      </c>
      <c r="X71" s="1">
        <v>16</v>
      </c>
      <c r="Y71" s="1" t="s">
        <v>2221</v>
      </c>
      <c r="Z71" s="3">
        <v>1</v>
      </c>
      <c r="AA71" s="1" t="b">
        <v>1</v>
      </c>
      <c r="AB71" s="1"/>
      <c r="AC71" s="57" t="s">
        <v>1335</v>
      </c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N71" s="1"/>
      <c r="LO71" s="1"/>
      <c r="LP71" s="1"/>
      <c r="LQ71" s="1"/>
      <c r="LR71" s="1"/>
      <c r="LS71" s="1"/>
    </row>
    <row r="72" spans="1:331" s="40" customFormat="1" x14ac:dyDescent="0.25">
      <c r="A72" s="40" t="s">
        <v>340</v>
      </c>
      <c r="B72" s="40" t="s">
        <v>341</v>
      </c>
      <c r="C72" s="1" t="s">
        <v>2071</v>
      </c>
      <c r="D72" s="40">
        <v>0</v>
      </c>
      <c r="H72" s="40" t="s">
        <v>342</v>
      </c>
      <c r="I72" s="40" t="s">
        <v>343</v>
      </c>
      <c r="J72" s="40" t="s">
        <v>342</v>
      </c>
      <c r="K72" s="40" t="s">
        <v>2090</v>
      </c>
      <c r="L72" s="40">
        <v>0</v>
      </c>
      <c r="O72" s="40">
        <v>1</v>
      </c>
      <c r="P72" s="40" t="s">
        <v>344</v>
      </c>
      <c r="Q72" s="1" t="s">
        <v>1551</v>
      </c>
      <c r="R72" s="1"/>
      <c r="S72" s="40">
        <v>3</v>
      </c>
      <c r="W72" s="1">
        <v>3</v>
      </c>
      <c r="X72" s="1">
        <v>24</v>
      </c>
      <c r="Y72" s="1" t="s">
        <v>2222</v>
      </c>
      <c r="Z72" s="40">
        <v>8</v>
      </c>
      <c r="AA72" s="1" t="b">
        <v>1</v>
      </c>
      <c r="AB72" s="1"/>
      <c r="AC72" s="57" t="s">
        <v>1290</v>
      </c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N72" s="1"/>
      <c r="LO72" s="1"/>
      <c r="LP72" s="1"/>
      <c r="LQ72" s="1"/>
      <c r="LR72" s="1"/>
      <c r="LS72" s="1"/>
    </row>
    <row r="73" spans="1:331" s="40" customFormat="1" x14ac:dyDescent="0.25">
      <c r="A73" s="40" t="s">
        <v>345</v>
      </c>
      <c r="B73" s="40" t="s">
        <v>346</v>
      </c>
      <c r="C73" s="1" t="s">
        <v>2071</v>
      </c>
      <c r="D73" s="40">
        <v>0</v>
      </c>
      <c r="H73" s="40" t="s">
        <v>347</v>
      </c>
      <c r="I73" s="40" t="s">
        <v>348</v>
      </c>
      <c r="J73" s="40" t="s">
        <v>349</v>
      </c>
      <c r="K73" s="40" t="s">
        <v>529</v>
      </c>
      <c r="L73" s="40">
        <v>0</v>
      </c>
      <c r="O73" s="40">
        <v>1</v>
      </c>
      <c r="P73" s="40" t="s">
        <v>350</v>
      </c>
      <c r="Q73" s="1" t="s">
        <v>213</v>
      </c>
      <c r="R73" s="1"/>
      <c r="S73" s="40">
        <v>16</v>
      </c>
      <c r="W73" s="1">
        <v>16</v>
      </c>
      <c r="X73" s="1">
        <v>17</v>
      </c>
      <c r="Y73" s="1" t="s">
        <v>2223</v>
      </c>
      <c r="Z73" s="40">
        <v>8</v>
      </c>
      <c r="AA73" s="1" t="b">
        <v>1</v>
      </c>
      <c r="AB73" s="1"/>
      <c r="AC73" s="57" t="s">
        <v>1432</v>
      </c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N73" s="1"/>
      <c r="LO73" s="1"/>
      <c r="LP73" s="1"/>
      <c r="LQ73" s="1"/>
      <c r="LR73" s="1"/>
      <c r="LS73" s="1"/>
    </row>
    <row r="74" spans="1:331" s="59" customFormat="1" x14ac:dyDescent="0.25">
      <c r="A74" s="59" t="s">
        <v>351</v>
      </c>
      <c r="B74" s="61">
        <v>483418</v>
      </c>
      <c r="C74" s="13" t="s">
        <v>2071</v>
      </c>
      <c r="D74" s="59">
        <v>1</v>
      </c>
      <c r="H74" s="59" t="s">
        <v>352</v>
      </c>
      <c r="I74" s="59" t="s">
        <v>353</v>
      </c>
      <c r="J74" s="59" t="s">
        <v>352</v>
      </c>
      <c r="K74" s="59" t="s">
        <v>2005</v>
      </c>
      <c r="L74" s="59">
        <v>1</v>
      </c>
      <c r="M74" s="59" t="s">
        <v>354</v>
      </c>
      <c r="O74" s="59">
        <v>1</v>
      </c>
      <c r="Q74" s="1"/>
      <c r="R74" s="1" t="s">
        <v>2585</v>
      </c>
      <c r="U74" s="59">
        <v>13</v>
      </c>
      <c r="W74" s="1">
        <v>13</v>
      </c>
      <c r="X74" s="1">
        <v>10</v>
      </c>
      <c r="Y74" s="1" t="s">
        <v>2224</v>
      </c>
      <c r="Z74" s="59">
        <v>11</v>
      </c>
      <c r="AA74" s="1" t="b">
        <v>1</v>
      </c>
      <c r="AB74" s="1"/>
      <c r="AC74" s="57" t="s">
        <v>1345</v>
      </c>
      <c r="AD74" s="1" t="b">
        <v>1</v>
      </c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  <c r="LA74" s="1"/>
      <c r="LB74" s="1"/>
      <c r="LC74" s="1"/>
      <c r="LD74" s="1"/>
      <c r="LE74" s="1"/>
      <c r="LF74" s="1"/>
      <c r="LG74" s="1"/>
      <c r="LH74" s="1"/>
      <c r="LI74" s="1"/>
      <c r="LJ74" s="1"/>
      <c r="LK74" s="1"/>
      <c r="LL74" s="1"/>
      <c r="LM74" s="1"/>
      <c r="LN74" s="1"/>
      <c r="LO74" s="1"/>
      <c r="LP74" s="1"/>
      <c r="LQ74" s="1"/>
      <c r="LR74" s="1"/>
      <c r="LS74" s="1"/>
    </row>
    <row r="75" spans="1:331" s="3" customFormat="1" x14ac:dyDescent="0.25">
      <c r="A75" s="3" t="s">
        <v>355</v>
      </c>
      <c r="B75" s="3" t="s">
        <v>356</v>
      </c>
      <c r="C75" s="1" t="s">
        <v>2071</v>
      </c>
      <c r="D75" s="3">
        <v>1</v>
      </c>
      <c r="E75" s="3" t="s">
        <v>357</v>
      </c>
      <c r="H75" s="3" t="s">
        <v>358</v>
      </c>
      <c r="I75" s="3" t="s">
        <v>358</v>
      </c>
      <c r="J75" s="3" t="s">
        <v>359</v>
      </c>
      <c r="K75" s="3" t="s">
        <v>358</v>
      </c>
      <c r="L75" s="3">
        <v>0</v>
      </c>
      <c r="O75" s="3">
        <v>1</v>
      </c>
      <c r="P75" s="3" t="s">
        <v>255</v>
      </c>
      <c r="Q75" s="1" t="s">
        <v>1552</v>
      </c>
      <c r="R75" s="1"/>
      <c r="S75" s="3">
        <v>25</v>
      </c>
      <c r="U75" s="3">
        <v>34</v>
      </c>
      <c r="V75" s="3">
        <v>24</v>
      </c>
      <c r="W75" s="3">
        <v>25</v>
      </c>
      <c r="X75" s="1">
        <v>25</v>
      </c>
      <c r="Y75" s="1" t="s">
        <v>2225</v>
      </c>
      <c r="Z75" s="3">
        <v>1</v>
      </c>
      <c r="AA75" s="3" t="b">
        <v>1</v>
      </c>
      <c r="AC75" s="3" t="s">
        <v>2142</v>
      </c>
    </row>
    <row r="76" spans="1:331" s="25" customFormat="1" x14ac:dyDescent="0.25">
      <c r="A76" s="25" t="s">
        <v>360</v>
      </c>
      <c r="B76" s="25" t="s">
        <v>361</v>
      </c>
      <c r="C76" s="1" t="s">
        <v>2071</v>
      </c>
      <c r="D76" s="25">
        <v>0</v>
      </c>
      <c r="H76" s="25" t="s">
        <v>362</v>
      </c>
      <c r="I76" s="25" t="s">
        <v>363</v>
      </c>
      <c r="J76" s="25" t="s">
        <v>362</v>
      </c>
      <c r="K76" s="25" t="s">
        <v>362</v>
      </c>
      <c r="L76" s="25">
        <v>0</v>
      </c>
      <c r="O76" s="25">
        <v>1</v>
      </c>
      <c r="Q76" s="1" t="s">
        <v>786</v>
      </c>
      <c r="R76" s="1"/>
      <c r="S76" s="25">
        <v>7</v>
      </c>
      <c r="W76" s="1">
        <v>7</v>
      </c>
      <c r="X76" s="1">
        <v>5</v>
      </c>
      <c r="Y76" s="1" t="s">
        <v>2226</v>
      </c>
      <c r="Z76" s="25">
        <v>5</v>
      </c>
      <c r="AA76" s="1" t="b">
        <v>1</v>
      </c>
      <c r="AB76" s="1"/>
      <c r="AC76" s="57" t="s">
        <v>1291</v>
      </c>
      <c r="AD76" s="1" t="b">
        <v>1</v>
      </c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  <c r="KT76" s="1"/>
      <c r="KU76" s="1"/>
      <c r="KV76" s="1"/>
      <c r="KW76" s="1"/>
      <c r="KX76" s="1"/>
      <c r="KY76" s="1"/>
      <c r="KZ76" s="1"/>
      <c r="LA76" s="1"/>
      <c r="LB76" s="1"/>
      <c r="LC76" s="1"/>
      <c r="LD76" s="1"/>
      <c r="LE76" s="1"/>
      <c r="LF76" s="1"/>
      <c r="LG76" s="1"/>
      <c r="LH76" s="1"/>
      <c r="LI76" s="1"/>
      <c r="LJ76" s="1"/>
      <c r="LK76" s="1"/>
      <c r="LL76" s="1"/>
      <c r="LM76" s="1"/>
      <c r="LN76" s="1"/>
      <c r="LO76" s="1"/>
      <c r="LP76" s="1"/>
      <c r="LQ76" s="1"/>
      <c r="LR76" s="1"/>
      <c r="LS76" s="1"/>
    </row>
    <row r="77" spans="1:331" s="40" customFormat="1" x14ac:dyDescent="0.25">
      <c r="A77" s="40" t="s">
        <v>364</v>
      </c>
      <c r="B77" s="40" t="s">
        <v>365</v>
      </c>
      <c r="C77" s="1" t="s">
        <v>2071</v>
      </c>
      <c r="D77" s="40">
        <v>0</v>
      </c>
      <c r="H77" s="40" t="s">
        <v>366</v>
      </c>
      <c r="I77" s="40" t="s">
        <v>367</v>
      </c>
      <c r="J77" s="40" t="s">
        <v>367</v>
      </c>
      <c r="K77" s="40" t="s">
        <v>2091</v>
      </c>
      <c r="L77" s="40">
        <v>0</v>
      </c>
      <c r="O77" s="40">
        <v>1</v>
      </c>
      <c r="P77" s="40" t="s">
        <v>368</v>
      </c>
      <c r="Q77" s="1" t="s">
        <v>1553</v>
      </c>
      <c r="R77" s="1"/>
      <c r="S77" s="40">
        <v>15</v>
      </c>
      <c r="T77" s="40">
        <v>18</v>
      </c>
      <c r="W77" s="1">
        <v>15</v>
      </c>
      <c r="X77" s="1">
        <v>20</v>
      </c>
      <c r="Y77" s="1" t="s">
        <v>2227</v>
      </c>
      <c r="Z77" s="40">
        <v>8</v>
      </c>
      <c r="AA77" s="1" t="b">
        <v>1</v>
      </c>
      <c r="AB77" s="1"/>
      <c r="AC77" s="57" t="s">
        <v>1433</v>
      </c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"/>
      <c r="KB77" s="1"/>
      <c r="KC77" s="1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/>
      <c r="KO77" s="1"/>
      <c r="KP77" s="1"/>
      <c r="KQ77" s="1"/>
      <c r="KR77" s="1"/>
      <c r="KS77" s="1"/>
      <c r="KT77" s="1"/>
      <c r="KU77" s="1"/>
      <c r="KV77" s="1"/>
      <c r="KW77" s="1"/>
      <c r="KX77" s="1"/>
      <c r="KY77" s="1"/>
      <c r="KZ77" s="1"/>
      <c r="LA77" s="1"/>
      <c r="LB77" s="1"/>
      <c r="LC77" s="1"/>
      <c r="LD77" s="1"/>
      <c r="LE77" s="1"/>
      <c r="LF77" s="1"/>
      <c r="LG77" s="1"/>
      <c r="LH77" s="1"/>
      <c r="LI77" s="1"/>
      <c r="LJ77" s="1"/>
      <c r="LK77" s="1"/>
      <c r="LL77" s="1"/>
      <c r="LM77" s="1"/>
      <c r="LN77" s="1"/>
      <c r="LO77" s="1"/>
      <c r="LP77" s="1"/>
      <c r="LQ77" s="1"/>
      <c r="LR77" s="1"/>
      <c r="LS77" s="1"/>
    </row>
    <row r="78" spans="1:331" s="25" customFormat="1" x14ac:dyDescent="0.25">
      <c r="A78" s="25" t="s">
        <v>369</v>
      </c>
      <c r="B78" s="29" t="s">
        <v>370</v>
      </c>
      <c r="C78" s="13" t="s">
        <v>2071</v>
      </c>
      <c r="D78" s="25">
        <v>0</v>
      </c>
      <c r="H78" s="25" t="s">
        <v>371</v>
      </c>
      <c r="I78" s="25" t="s">
        <v>372</v>
      </c>
      <c r="J78" s="25" t="s">
        <v>371</v>
      </c>
      <c r="K78" s="25" t="s">
        <v>372</v>
      </c>
      <c r="L78" s="25">
        <v>0</v>
      </c>
      <c r="O78" s="25">
        <v>0</v>
      </c>
      <c r="Q78" s="1" t="s">
        <v>1554</v>
      </c>
      <c r="R78" s="1"/>
      <c r="S78" s="25">
        <v>15</v>
      </c>
      <c r="W78" s="1">
        <v>15</v>
      </c>
      <c r="X78" s="1">
        <v>13</v>
      </c>
      <c r="Y78" s="1" t="s">
        <v>2228</v>
      </c>
      <c r="Z78" s="25">
        <v>5</v>
      </c>
      <c r="AA78" s="1" t="b">
        <v>1</v>
      </c>
      <c r="AB78" s="1"/>
      <c r="AC78" s="57" t="s">
        <v>1326</v>
      </c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A78" s="1"/>
      <c r="KB78" s="1"/>
      <c r="KC78" s="1"/>
      <c r="KD78" s="1"/>
      <c r="KE78" s="1"/>
      <c r="KF78" s="1"/>
      <c r="KG78" s="1"/>
      <c r="KH78" s="1"/>
      <c r="KI78" s="1"/>
      <c r="KJ78" s="1"/>
      <c r="KK78" s="1"/>
      <c r="KL78" s="1"/>
      <c r="KM78" s="1"/>
      <c r="KN78" s="1"/>
      <c r="KO78" s="1"/>
      <c r="KP78" s="1"/>
      <c r="KQ78" s="1"/>
      <c r="KR78" s="1"/>
      <c r="KS78" s="1"/>
      <c r="KT78" s="1"/>
      <c r="KU78" s="1"/>
      <c r="KV78" s="1"/>
      <c r="KW78" s="1"/>
      <c r="KX78" s="1"/>
      <c r="KY78" s="1"/>
      <c r="KZ78" s="1"/>
      <c r="LA78" s="1"/>
      <c r="LB78" s="1"/>
      <c r="LC78" s="1"/>
      <c r="LD78" s="1"/>
      <c r="LE78" s="1"/>
      <c r="LF78" s="1"/>
      <c r="LG78" s="1"/>
      <c r="LH78" s="1"/>
      <c r="LI78" s="1"/>
      <c r="LJ78" s="1"/>
      <c r="LK78" s="1"/>
      <c r="LL78" s="1"/>
      <c r="LM78" s="1"/>
      <c r="LN78" s="1"/>
      <c r="LO78" s="1"/>
      <c r="LP78" s="1"/>
      <c r="LQ78" s="1"/>
      <c r="LR78" s="1"/>
      <c r="LS78" s="1"/>
    </row>
    <row r="79" spans="1:331" s="35" customFormat="1" x14ac:dyDescent="0.25">
      <c r="A79" s="35" t="s">
        <v>373</v>
      </c>
      <c r="B79" s="35" t="s">
        <v>373</v>
      </c>
      <c r="C79" s="1" t="s">
        <v>2071</v>
      </c>
      <c r="D79" s="35">
        <v>1</v>
      </c>
      <c r="E79" s="35" t="s">
        <v>374</v>
      </c>
      <c r="H79" s="35" t="s">
        <v>375</v>
      </c>
      <c r="I79" s="35" t="s">
        <v>376</v>
      </c>
      <c r="J79" s="35" t="s">
        <v>377</v>
      </c>
      <c r="K79" s="35" t="s">
        <v>376</v>
      </c>
      <c r="L79" s="35">
        <v>0</v>
      </c>
      <c r="O79" s="35">
        <v>1</v>
      </c>
      <c r="P79" s="35" t="s">
        <v>378</v>
      </c>
      <c r="Q79" s="1" t="s">
        <v>383</v>
      </c>
      <c r="R79" s="1"/>
      <c r="T79" s="35">
        <v>11</v>
      </c>
      <c r="V79" s="35">
        <v>14</v>
      </c>
      <c r="W79" s="1">
        <v>11</v>
      </c>
      <c r="X79" s="1">
        <v>14</v>
      </c>
      <c r="Y79" s="1" t="s">
        <v>2229</v>
      </c>
      <c r="Z79" s="35">
        <v>7</v>
      </c>
      <c r="AA79" s="1" t="b">
        <v>1</v>
      </c>
      <c r="AB79" s="1"/>
      <c r="AC79" s="57" t="s">
        <v>1424</v>
      </c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"/>
      <c r="JS79" s="1"/>
      <c r="JT79" s="1"/>
      <c r="JU79" s="1"/>
      <c r="JV79" s="1"/>
      <c r="JW79" s="1"/>
      <c r="JX79" s="1"/>
      <c r="JY79" s="1"/>
      <c r="JZ79" s="1"/>
      <c r="KA79" s="1"/>
      <c r="KB79" s="1"/>
      <c r="KC79" s="1"/>
      <c r="KD79" s="1"/>
      <c r="KE79" s="1"/>
      <c r="KF79" s="1"/>
      <c r="KG79" s="1"/>
      <c r="KH79" s="1"/>
      <c r="KI79" s="1"/>
      <c r="KJ79" s="1"/>
      <c r="KK79" s="1"/>
      <c r="KL79" s="1"/>
      <c r="KM79" s="1"/>
      <c r="KN79" s="1"/>
      <c r="KO79" s="1"/>
      <c r="KP79" s="1"/>
      <c r="KQ79" s="1"/>
      <c r="KR79" s="1"/>
      <c r="KS79" s="1"/>
      <c r="KT79" s="1"/>
      <c r="KU79" s="1"/>
      <c r="KV79" s="1"/>
      <c r="KW79" s="1"/>
      <c r="KX79" s="1"/>
      <c r="KY79" s="1"/>
      <c r="KZ79" s="1"/>
      <c r="LA79" s="1"/>
      <c r="LB79" s="1"/>
      <c r="LC79" s="1"/>
      <c r="LD79" s="1"/>
      <c r="LE79" s="1"/>
      <c r="LF79" s="1"/>
      <c r="LG79" s="1"/>
      <c r="LH79" s="1"/>
      <c r="LI79" s="1"/>
      <c r="LJ79" s="1"/>
      <c r="LK79" s="1"/>
      <c r="LL79" s="1"/>
      <c r="LM79" s="1"/>
      <c r="LN79" s="1"/>
      <c r="LO79" s="1"/>
      <c r="LP79" s="1"/>
      <c r="LQ79" s="1"/>
      <c r="LR79" s="1"/>
      <c r="LS79" s="1"/>
    </row>
    <row r="80" spans="1:331" s="25" customFormat="1" x14ac:dyDescent="0.25">
      <c r="A80" s="25" t="s">
        <v>379</v>
      </c>
      <c r="B80" s="29" t="s">
        <v>380</v>
      </c>
      <c r="C80" s="13" t="s">
        <v>2071</v>
      </c>
      <c r="D80" s="25">
        <v>0</v>
      </c>
      <c r="H80" s="25" t="s">
        <v>381</v>
      </c>
      <c r="I80" s="25" t="s">
        <v>188</v>
      </c>
      <c r="J80" s="25" t="s">
        <v>381</v>
      </c>
      <c r="K80" s="25" t="s">
        <v>188</v>
      </c>
      <c r="L80" s="25">
        <v>0</v>
      </c>
      <c r="O80" s="25">
        <v>1</v>
      </c>
      <c r="Q80" s="1" t="s">
        <v>1555</v>
      </c>
      <c r="R80" s="1"/>
      <c r="T80" s="25">
        <v>11</v>
      </c>
      <c r="V80" s="25">
        <v>11</v>
      </c>
      <c r="W80" s="1">
        <v>11</v>
      </c>
      <c r="X80" s="1">
        <v>13</v>
      </c>
      <c r="Y80" s="1" t="s">
        <v>2230</v>
      </c>
      <c r="Z80" s="25">
        <v>5</v>
      </c>
      <c r="AA80" s="1" t="b">
        <v>1</v>
      </c>
      <c r="AB80" s="1"/>
      <c r="AC80" s="57" t="s">
        <v>1336</v>
      </c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A80" s="1"/>
      <c r="KB80" s="1"/>
      <c r="KC80" s="1"/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/>
      <c r="KS80" s="1"/>
      <c r="KT80" s="1"/>
      <c r="KU80" s="1"/>
      <c r="KV80" s="1"/>
      <c r="KW80" s="1"/>
      <c r="KX80" s="1"/>
      <c r="KY80" s="1"/>
      <c r="KZ80" s="1"/>
      <c r="LA80" s="1"/>
      <c r="LB80" s="1"/>
      <c r="LC80" s="1"/>
      <c r="LD80" s="1"/>
      <c r="LE80" s="1"/>
      <c r="LF80" s="1"/>
      <c r="LG80" s="1"/>
      <c r="LH80" s="1"/>
      <c r="LI80" s="1"/>
      <c r="LJ80" s="1"/>
      <c r="LK80" s="1"/>
      <c r="LL80" s="1"/>
      <c r="LM80" s="1"/>
      <c r="LN80" s="1"/>
      <c r="LO80" s="1"/>
      <c r="LP80" s="1"/>
      <c r="LQ80" s="1"/>
      <c r="LR80" s="1"/>
      <c r="LS80" s="1"/>
    </row>
    <row r="81" spans="1:331" s="40" customFormat="1" x14ac:dyDescent="0.25">
      <c r="A81" s="40" t="s">
        <v>382</v>
      </c>
      <c r="B81" s="44" t="s">
        <v>382</v>
      </c>
      <c r="C81" s="13" t="s">
        <v>2071</v>
      </c>
      <c r="D81" s="40">
        <v>0</v>
      </c>
      <c r="H81" s="40" t="s">
        <v>26</v>
      </c>
      <c r="I81" s="40" t="s">
        <v>383</v>
      </c>
      <c r="J81" s="40" t="s">
        <v>26</v>
      </c>
      <c r="K81" s="40" t="s">
        <v>26</v>
      </c>
      <c r="L81" s="40">
        <v>0</v>
      </c>
      <c r="O81" s="40">
        <v>1</v>
      </c>
      <c r="P81" s="40" t="s">
        <v>384</v>
      </c>
      <c r="Q81" s="1" t="s">
        <v>319</v>
      </c>
      <c r="R81" s="1"/>
      <c r="S81" s="40">
        <v>7</v>
      </c>
      <c r="U81" s="40">
        <v>10</v>
      </c>
      <c r="W81" s="1">
        <v>7</v>
      </c>
      <c r="X81" s="1">
        <v>10</v>
      </c>
      <c r="Y81" s="1" t="s">
        <v>2231</v>
      </c>
      <c r="Z81" s="40">
        <v>8</v>
      </c>
      <c r="AA81" s="1" t="b">
        <v>1</v>
      </c>
      <c r="AB81" s="1"/>
      <c r="AC81" s="57" t="s">
        <v>1431</v>
      </c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/>
      <c r="JZ81" s="1"/>
      <c r="KA81" s="1"/>
      <c r="KB81" s="1"/>
      <c r="KC81" s="1"/>
      <c r="KD81" s="1"/>
      <c r="KE81" s="1"/>
      <c r="KF81" s="1"/>
      <c r="KG81" s="1"/>
      <c r="KH81" s="1"/>
      <c r="KI81" s="1"/>
      <c r="KJ81" s="1"/>
      <c r="KK81" s="1"/>
      <c r="KL81" s="1"/>
      <c r="KM81" s="1"/>
      <c r="KN81" s="1"/>
      <c r="KO81" s="1"/>
      <c r="KP81" s="1"/>
      <c r="KQ81" s="1"/>
      <c r="KR81" s="1"/>
      <c r="KS81" s="1"/>
      <c r="KT81" s="1"/>
      <c r="KU81" s="1"/>
      <c r="KV81" s="1"/>
      <c r="KW81" s="1"/>
      <c r="KX81" s="1"/>
      <c r="KY81" s="1"/>
      <c r="KZ81" s="1"/>
      <c r="LA81" s="1"/>
      <c r="LB81" s="1"/>
      <c r="LC81" s="1"/>
      <c r="LD81" s="1"/>
      <c r="LE81" s="1"/>
      <c r="LF81" s="1"/>
      <c r="LG81" s="1"/>
      <c r="LH81" s="1"/>
      <c r="LI81" s="1"/>
      <c r="LJ81" s="1"/>
      <c r="LK81" s="1"/>
      <c r="LL81" s="1"/>
      <c r="LM81" s="1"/>
      <c r="LN81" s="1"/>
      <c r="LO81" s="1"/>
      <c r="LP81" s="1"/>
      <c r="LQ81" s="1"/>
      <c r="LR81" s="1"/>
      <c r="LS81" s="1"/>
    </row>
    <row r="82" spans="1:331" s="75" customFormat="1" x14ac:dyDescent="0.25">
      <c r="A82" s="75" t="s">
        <v>385</v>
      </c>
      <c r="B82" s="79" t="s">
        <v>385</v>
      </c>
      <c r="C82" s="13" t="s">
        <v>2071</v>
      </c>
      <c r="D82" s="75">
        <v>0</v>
      </c>
      <c r="H82" s="75" t="s">
        <v>386</v>
      </c>
      <c r="I82" s="75" t="s">
        <v>32</v>
      </c>
      <c r="J82" s="75" t="s">
        <v>386</v>
      </c>
      <c r="K82" s="75" t="s">
        <v>33</v>
      </c>
      <c r="L82" s="75">
        <v>0</v>
      </c>
      <c r="O82" s="75">
        <v>1</v>
      </c>
      <c r="P82" s="75" t="s">
        <v>387</v>
      </c>
      <c r="Q82" s="1"/>
      <c r="R82" s="1" t="s">
        <v>2586</v>
      </c>
      <c r="S82" s="75">
        <v>7</v>
      </c>
      <c r="U82" s="75">
        <v>8</v>
      </c>
      <c r="W82" s="75">
        <v>7</v>
      </c>
      <c r="X82" s="1">
        <v>8</v>
      </c>
      <c r="Y82" s="1" t="s">
        <v>2232</v>
      </c>
      <c r="Z82" s="75">
        <v>14</v>
      </c>
      <c r="AA82" s="75" t="b">
        <v>1</v>
      </c>
      <c r="AC82" s="78" t="s">
        <v>1434</v>
      </c>
    </row>
    <row r="83" spans="1:331" s="25" customFormat="1" x14ac:dyDescent="0.25">
      <c r="A83" s="25" t="s">
        <v>388</v>
      </c>
      <c r="B83" s="29" t="s">
        <v>388</v>
      </c>
      <c r="C83" s="13" t="s">
        <v>2071</v>
      </c>
      <c r="D83" s="25">
        <v>0</v>
      </c>
      <c r="H83" s="25" t="s">
        <v>36</v>
      </c>
      <c r="I83" s="25" t="s">
        <v>389</v>
      </c>
      <c r="J83" s="25" t="s">
        <v>36</v>
      </c>
      <c r="K83" s="25" t="s">
        <v>1579</v>
      </c>
      <c r="L83" s="25">
        <v>0</v>
      </c>
      <c r="O83" s="25">
        <v>0</v>
      </c>
      <c r="Q83" s="1" t="s">
        <v>977</v>
      </c>
      <c r="R83" s="1"/>
      <c r="S83" s="25">
        <v>7</v>
      </c>
      <c r="U83" s="25">
        <v>6</v>
      </c>
      <c r="W83" s="1">
        <v>7</v>
      </c>
      <c r="X83" s="1">
        <v>0</v>
      </c>
      <c r="Y83" s="1" t="s">
        <v>2233</v>
      </c>
      <c r="Z83" s="25">
        <v>5</v>
      </c>
      <c r="AA83" s="1" t="b">
        <v>1</v>
      </c>
      <c r="AB83" s="1"/>
      <c r="AC83" s="57" t="s">
        <v>1347</v>
      </c>
      <c r="AD83" s="1" t="b">
        <v>1</v>
      </c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"/>
      <c r="JN83" s="1"/>
      <c r="JO83" s="1"/>
      <c r="JP83" s="1"/>
      <c r="JQ83" s="1"/>
      <c r="JR83" s="1"/>
      <c r="JS83" s="1"/>
      <c r="JT83" s="1"/>
      <c r="JU83" s="1"/>
      <c r="JV83" s="1"/>
      <c r="JW83" s="1"/>
      <c r="JX83" s="1"/>
      <c r="JY83" s="1"/>
      <c r="JZ83" s="1"/>
      <c r="KA83" s="1"/>
      <c r="KB83" s="1"/>
      <c r="KC83" s="1"/>
      <c r="KD83" s="1"/>
      <c r="KE83" s="1"/>
      <c r="KF83" s="1"/>
      <c r="KG83" s="1"/>
      <c r="KH83" s="1"/>
      <c r="KI83" s="1"/>
      <c r="KJ83" s="1"/>
      <c r="KK83" s="1"/>
      <c r="KL83" s="1"/>
      <c r="KM83" s="1"/>
      <c r="KN83" s="1"/>
      <c r="KO83" s="1"/>
      <c r="KP83" s="1"/>
      <c r="KQ83" s="1"/>
      <c r="KR83" s="1"/>
      <c r="KS83" s="1"/>
      <c r="KT83" s="1"/>
      <c r="KU83" s="1"/>
      <c r="KV83" s="1"/>
      <c r="KW83" s="1"/>
      <c r="KX83" s="1"/>
      <c r="KY83" s="1"/>
      <c r="KZ83" s="1"/>
      <c r="LA83" s="1"/>
      <c r="LB83" s="1"/>
      <c r="LC83" s="1"/>
      <c r="LD83" s="1"/>
      <c r="LE83" s="1"/>
      <c r="LF83" s="1"/>
      <c r="LG83" s="1"/>
      <c r="LH83" s="1"/>
      <c r="LI83" s="1"/>
      <c r="LJ83" s="1"/>
      <c r="LK83" s="1"/>
      <c r="LL83" s="1"/>
      <c r="LM83" s="1"/>
      <c r="LN83" s="1"/>
      <c r="LO83" s="1"/>
      <c r="LP83" s="1"/>
      <c r="LQ83" s="1"/>
      <c r="LR83" s="1"/>
      <c r="LS83" s="1"/>
    </row>
    <row r="84" spans="1:331" s="30" customFormat="1" x14ac:dyDescent="0.25">
      <c r="A84" s="30" t="s">
        <v>390</v>
      </c>
      <c r="B84" s="30" t="s">
        <v>390</v>
      </c>
      <c r="C84" s="1" t="s">
        <v>2071</v>
      </c>
      <c r="D84" s="30">
        <v>1</v>
      </c>
      <c r="H84" s="30" t="s">
        <v>391</v>
      </c>
      <c r="I84" s="30" t="s">
        <v>392</v>
      </c>
      <c r="J84" s="30" t="s">
        <v>391</v>
      </c>
      <c r="K84" s="30" t="s">
        <v>2092</v>
      </c>
      <c r="L84" s="30">
        <v>0</v>
      </c>
      <c r="O84" s="30">
        <v>0</v>
      </c>
      <c r="Q84" s="1" t="s">
        <v>1547</v>
      </c>
      <c r="R84" s="1"/>
      <c r="T84" s="30">
        <v>16</v>
      </c>
      <c r="W84" s="1">
        <v>16</v>
      </c>
      <c r="X84" s="1">
        <v>17</v>
      </c>
      <c r="Y84" s="1" t="s">
        <v>2234</v>
      </c>
      <c r="Z84" s="30">
        <v>6</v>
      </c>
      <c r="AA84" s="1" t="b">
        <v>1</v>
      </c>
      <c r="AB84" s="1"/>
      <c r="AC84" s="57" t="s">
        <v>1476</v>
      </c>
      <c r="AD84" s="1" t="b">
        <v>1</v>
      </c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"/>
      <c r="JN84" s="1"/>
      <c r="JO84" s="1"/>
      <c r="JP84" s="1"/>
      <c r="JQ84" s="1"/>
      <c r="JR84" s="1"/>
      <c r="JS84" s="1"/>
      <c r="JT84" s="1"/>
      <c r="JU84" s="1"/>
      <c r="JV84" s="1"/>
      <c r="JW84" s="1"/>
      <c r="JX84" s="1"/>
      <c r="JY84" s="1"/>
      <c r="JZ84" s="1"/>
      <c r="KA84" s="1"/>
      <c r="KB84" s="1"/>
      <c r="KC84" s="1"/>
      <c r="KD84" s="1"/>
      <c r="KE84" s="1"/>
      <c r="KF84" s="1"/>
      <c r="KG84" s="1"/>
      <c r="KH84" s="1"/>
      <c r="KI84" s="1"/>
      <c r="KJ84" s="1"/>
      <c r="KK84" s="1"/>
      <c r="KL84" s="1"/>
      <c r="KM84" s="1"/>
      <c r="KN84" s="1"/>
      <c r="KO84" s="1"/>
      <c r="KP84" s="1"/>
      <c r="KQ84" s="1"/>
      <c r="KR84" s="1"/>
      <c r="KS84" s="1"/>
      <c r="KT84" s="1"/>
      <c r="KU84" s="1"/>
      <c r="KV84" s="1"/>
      <c r="KW84" s="1"/>
      <c r="KX84" s="1"/>
      <c r="KY84" s="1"/>
      <c r="KZ84" s="1"/>
      <c r="LA84" s="1"/>
      <c r="LB84" s="1"/>
      <c r="LC84" s="1"/>
      <c r="LD84" s="1"/>
      <c r="LE84" s="1"/>
      <c r="LF84" s="1"/>
      <c r="LG84" s="1"/>
      <c r="LH84" s="1"/>
      <c r="LI84" s="1"/>
      <c r="LJ84" s="1"/>
      <c r="LK84" s="1"/>
      <c r="LL84" s="1"/>
      <c r="LM84" s="1"/>
      <c r="LN84" s="1"/>
      <c r="LO84" s="1"/>
      <c r="LP84" s="1"/>
      <c r="LQ84" s="1"/>
      <c r="LR84" s="1"/>
      <c r="LS84" s="1"/>
    </row>
    <row r="85" spans="1:331" s="25" customFormat="1" x14ac:dyDescent="0.25">
      <c r="A85" s="25" t="s">
        <v>393</v>
      </c>
      <c r="B85" s="29" t="s">
        <v>393</v>
      </c>
      <c r="C85" s="13" t="s">
        <v>2071</v>
      </c>
      <c r="D85" s="25">
        <v>0</v>
      </c>
      <c r="H85" s="25" t="s">
        <v>394</v>
      </c>
      <c r="I85" s="25" t="s">
        <v>395</v>
      </c>
      <c r="J85" s="25" t="s">
        <v>394</v>
      </c>
      <c r="K85" s="25" t="s">
        <v>2093</v>
      </c>
      <c r="L85" s="25">
        <v>0</v>
      </c>
      <c r="O85" s="25">
        <v>0</v>
      </c>
      <c r="Q85" s="1" t="s">
        <v>1556</v>
      </c>
      <c r="R85" s="1"/>
      <c r="S85" s="25">
        <v>7</v>
      </c>
      <c r="U85" s="25">
        <v>8</v>
      </c>
      <c r="W85" s="1">
        <v>7</v>
      </c>
      <c r="X85" s="1">
        <v>11</v>
      </c>
      <c r="Y85" s="1" t="s">
        <v>2235</v>
      </c>
      <c r="Z85" s="25">
        <v>5</v>
      </c>
      <c r="AA85" s="1" t="b">
        <v>1</v>
      </c>
      <c r="AB85" s="1"/>
      <c r="AC85" s="57" t="s">
        <v>1348</v>
      </c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JR85" s="1"/>
      <c r="JS85" s="1"/>
      <c r="JT85" s="1"/>
      <c r="JU85" s="1"/>
      <c r="JV85" s="1"/>
      <c r="JW85" s="1"/>
      <c r="JX85" s="1"/>
      <c r="JY85" s="1"/>
      <c r="JZ85" s="1"/>
      <c r="KA85" s="1"/>
      <c r="KB85" s="1"/>
      <c r="KC85" s="1"/>
      <c r="KD85" s="1"/>
      <c r="KE85" s="1"/>
      <c r="KF85" s="1"/>
      <c r="KG85" s="1"/>
      <c r="KH85" s="1"/>
      <c r="KI85" s="1"/>
      <c r="KJ85" s="1"/>
      <c r="KK85" s="1"/>
      <c r="KL85" s="1"/>
      <c r="KM85" s="1"/>
      <c r="KN85" s="1"/>
      <c r="KO85" s="1"/>
      <c r="KP85" s="1"/>
      <c r="KQ85" s="1"/>
      <c r="KR85" s="1"/>
      <c r="KS85" s="1"/>
      <c r="KT85" s="1"/>
      <c r="KU85" s="1"/>
      <c r="KV85" s="1"/>
      <c r="KW85" s="1"/>
      <c r="KX85" s="1"/>
      <c r="KY85" s="1"/>
      <c r="KZ85" s="1"/>
      <c r="LA85" s="1"/>
      <c r="LB85" s="1"/>
      <c r="LC85" s="1"/>
      <c r="LD85" s="1"/>
      <c r="LE85" s="1"/>
      <c r="LF85" s="1"/>
      <c r="LG85" s="1"/>
      <c r="LH85" s="1"/>
      <c r="LI85" s="1"/>
      <c r="LJ85" s="1"/>
      <c r="LK85" s="1"/>
      <c r="LL85" s="1"/>
      <c r="LM85" s="1"/>
      <c r="LN85" s="1"/>
      <c r="LO85" s="1"/>
      <c r="LP85" s="1"/>
      <c r="LQ85" s="1"/>
      <c r="LR85" s="1"/>
      <c r="LS85" s="1"/>
    </row>
    <row r="86" spans="1:331" s="25" customFormat="1" x14ac:dyDescent="0.25">
      <c r="A86" s="25" t="s">
        <v>396</v>
      </c>
      <c r="B86" s="25" t="s">
        <v>397</v>
      </c>
      <c r="C86" s="1" t="s">
        <v>2071</v>
      </c>
      <c r="D86" s="25">
        <v>0</v>
      </c>
      <c r="H86" s="25" t="s">
        <v>40</v>
      </c>
      <c r="I86" s="25" t="s">
        <v>398</v>
      </c>
      <c r="J86" s="25" t="s">
        <v>40</v>
      </c>
      <c r="K86" s="25" t="s">
        <v>398</v>
      </c>
      <c r="L86" s="25">
        <v>0</v>
      </c>
      <c r="O86" s="25">
        <v>0</v>
      </c>
      <c r="Q86" s="1" t="s">
        <v>1557</v>
      </c>
      <c r="R86" s="1"/>
      <c r="T86" s="25">
        <v>12</v>
      </c>
      <c r="V86" s="25">
        <v>12</v>
      </c>
      <c r="W86" s="1">
        <v>12</v>
      </c>
      <c r="X86" s="1">
        <v>12</v>
      </c>
      <c r="Y86" s="1" t="s">
        <v>2236</v>
      </c>
      <c r="Z86" s="25">
        <v>5</v>
      </c>
      <c r="AA86" s="1" t="b">
        <v>1</v>
      </c>
      <c r="AB86" s="1"/>
      <c r="AC86" s="57" t="s">
        <v>1349</v>
      </c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  <c r="JK86" s="1"/>
      <c r="JL86" s="1"/>
      <c r="JM86" s="1"/>
      <c r="JN86" s="1"/>
      <c r="JO86" s="1"/>
      <c r="JP86" s="1"/>
      <c r="JQ86" s="1"/>
      <c r="JR86" s="1"/>
      <c r="JS86" s="1"/>
      <c r="JT86" s="1"/>
      <c r="JU86" s="1"/>
      <c r="JV86" s="1"/>
      <c r="JW86" s="1"/>
      <c r="JX86" s="1"/>
      <c r="JY86" s="1"/>
      <c r="JZ86" s="1"/>
      <c r="KA86" s="1"/>
      <c r="KB86" s="1"/>
      <c r="KC86" s="1"/>
      <c r="KD86" s="1"/>
      <c r="KE86" s="1"/>
      <c r="KF86" s="1"/>
      <c r="KG86" s="1"/>
      <c r="KH86" s="1"/>
      <c r="KI86" s="1"/>
      <c r="KJ86" s="1"/>
      <c r="KK86" s="1"/>
      <c r="KL86" s="1"/>
      <c r="KM86" s="1"/>
      <c r="KN86" s="1"/>
      <c r="KO86" s="1"/>
      <c r="KP86" s="1"/>
      <c r="KQ86" s="1"/>
      <c r="KR86" s="1"/>
      <c r="KS86" s="1"/>
      <c r="KT86" s="1"/>
      <c r="KU86" s="1"/>
      <c r="KV86" s="1"/>
      <c r="KW86" s="1"/>
      <c r="KX86" s="1"/>
      <c r="KY86" s="1"/>
      <c r="KZ86" s="1"/>
      <c r="LA86" s="1"/>
      <c r="LB86" s="1"/>
      <c r="LC86" s="1"/>
      <c r="LD86" s="1"/>
      <c r="LE86" s="1"/>
      <c r="LF86" s="1"/>
      <c r="LG86" s="1"/>
      <c r="LH86" s="1"/>
      <c r="LI86" s="1"/>
      <c r="LJ86" s="1"/>
      <c r="LK86" s="1"/>
      <c r="LL86" s="1"/>
      <c r="LM86" s="1"/>
      <c r="LN86" s="1"/>
      <c r="LO86" s="1"/>
      <c r="LP86" s="1"/>
      <c r="LQ86" s="1"/>
      <c r="LR86" s="1"/>
      <c r="LS86" s="1"/>
    </row>
    <row r="87" spans="1:331" s="17" customFormat="1" x14ac:dyDescent="0.25">
      <c r="A87" s="17" t="s">
        <v>399</v>
      </c>
      <c r="B87" s="21" t="s">
        <v>400</v>
      </c>
      <c r="C87" s="13" t="s">
        <v>2071</v>
      </c>
      <c r="D87" s="17">
        <v>3</v>
      </c>
      <c r="E87" s="17" t="s">
        <v>44</v>
      </c>
      <c r="F87" s="17" t="s">
        <v>401</v>
      </c>
      <c r="G87" s="17" t="s">
        <v>401</v>
      </c>
      <c r="H87" s="17" t="s">
        <v>402</v>
      </c>
      <c r="I87" s="17" t="s">
        <v>44</v>
      </c>
      <c r="J87" s="17" t="s">
        <v>402</v>
      </c>
      <c r="K87" s="17" t="s">
        <v>401</v>
      </c>
      <c r="L87" s="17">
        <v>1</v>
      </c>
      <c r="M87" s="17" t="s">
        <v>403</v>
      </c>
      <c r="O87" s="17">
        <v>1</v>
      </c>
      <c r="P87" s="17" t="s">
        <v>404</v>
      </c>
      <c r="Q87" s="1" t="s">
        <v>1558</v>
      </c>
      <c r="R87" s="1"/>
      <c r="T87" s="17">
        <v>7</v>
      </c>
      <c r="V87" s="17">
        <v>9</v>
      </c>
      <c r="W87" s="1">
        <v>7</v>
      </c>
      <c r="X87" s="1">
        <v>15</v>
      </c>
      <c r="Y87" s="1" t="s">
        <v>2237</v>
      </c>
      <c r="Z87" s="17">
        <v>3</v>
      </c>
      <c r="AA87" s="1" t="b">
        <v>1</v>
      </c>
      <c r="AB87" s="1"/>
      <c r="AC87" s="57" t="s">
        <v>1350</v>
      </c>
      <c r="AD87" s="1" t="b">
        <v>1</v>
      </c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/>
      <c r="JM87" s="1"/>
      <c r="JN87" s="1"/>
      <c r="JO87" s="1"/>
      <c r="JP87" s="1"/>
      <c r="JQ87" s="1"/>
      <c r="JR87" s="1"/>
      <c r="JS87" s="1"/>
      <c r="JT87" s="1"/>
      <c r="JU87" s="1"/>
      <c r="JV87" s="1"/>
      <c r="JW87" s="1"/>
      <c r="JX87" s="1"/>
      <c r="JY87" s="1"/>
      <c r="JZ87" s="1"/>
      <c r="KA87" s="1"/>
      <c r="KB87" s="1"/>
      <c r="KC87" s="1"/>
      <c r="KD87" s="1"/>
      <c r="KE87" s="1"/>
      <c r="KF87" s="1"/>
      <c r="KG87" s="1"/>
      <c r="KH87" s="1"/>
      <c r="KI87" s="1"/>
      <c r="KJ87" s="1"/>
      <c r="KK87" s="1"/>
      <c r="KL87" s="1"/>
      <c r="KM87" s="1"/>
      <c r="KN87" s="1"/>
      <c r="KO87" s="1"/>
      <c r="KP87" s="1"/>
      <c r="KQ87" s="1"/>
      <c r="KR87" s="1"/>
      <c r="KS87" s="1"/>
      <c r="KT87" s="1"/>
      <c r="KU87" s="1"/>
      <c r="KV87" s="1"/>
      <c r="KW87" s="1"/>
      <c r="KX87" s="1"/>
      <c r="KY87" s="1"/>
      <c r="KZ87" s="1"/>
      <c r="LA87" s="1"/>
      <c r="LB87" s="1"/>
      <c r="LC87" s="1"/>
      <c r="LD87" s="1"/>
      <c r="LE87" s="1"/>
      <c r="LF87" s="1"/>
      <c r="LG87" s="1"/>
      <c r="LH87" s="1"/>
      <c r="LI87" s="1"/>
      <c r="LJ87" s="1"/>
      <c r="LK87" s="1"/>
      <c r="LL87" s="1"/>
      <c r="LM87" s="1"/>
      <c r="LN87" s="1"/>
      <c r="LO87" s="1"/>
      <c r="LP87" s="1"/>
      <c r="LQ87" s="1"/>
      <c r="LR87" s="1"/>
      <c r="LS87" s="1"/>
    </row>
    <row r="88" spans="1:331" s="25" customFormat="1" x14ac:dyDescent="0.25">
      <c r="A88" s="25" t="s">
        <v>405</v>
      </c>
      <c r="B88" s="29" t="s">
        <v>406</v>
      </c>
      <c r="C88" s="13" t="s">
        <v>2071</v>
      </c>
      <c r="D88" s="25">
        <v>0</v>
      </c>
      <c r="H88" s="25" t="s">
        <v>407</v>
      </c>
      <c r="I88" s="25" t="s">
        <v>408</v>
      </c>
      <c r="J88" s="25" t="s">
        <v>407</v>
      </c>
      <c r="K88" s="25" t="s">
        <v>408</v>
      </c>
      <c r="L88" s="25">
        <v>0</v>
      </c>
      <c r="O88" s="25">
        <v>0</v>
      </c>
      <c r="Q88" s="1" t="s">
        <v>1559</v>
      </c>
      <c r="R88" s="1"/>
      <c r="T88" s="25">
        <v>8</v>
      </c>
      <c r="V88" s="25">
        <v>8</v>
      </c>
      <c r="W88" s="1">
        <v>8</v>
      </c>
      <c r="X88" s="1">
        <v>9</v>
      </c>
      <c r="Y88" s="1" t="s">
        <v>2238</v>
      </c>
      <c r="Z88" s="25">
        <v>5</v>
      </c>
      <c r="AA88" s="1" t="b">
        <v>1</v>
      </c>
      <c r="AB88" s="1"/>
      <c r="AC88" s="57" t="s">
        <v>1351</v>
      </c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  <c r="JQ88" s="1"/>
      <c r="JR88" s="1"/>
      <c r="JS88" s="1"/>
      <c r="JT88" s="1"/>
      <c r="JU88" s="1"/>
      <c r="JV88" s="1"/>
      <c r="JW88" s="1"/>
      <c r="JX88" s="1"/>
      <c r="JY88" s="1"/>
      <c r="JZ88" s="1"/>
      <c r="KA88" s="1"/>
      <c r="KB88" s="1"/>
      <c r="KC88" s="1"/>
      <c r="KD88" s="1"/>
      <c r="KE88" s="1"/>
      <c r="KF88" s="1"/>
      <c r="KG88" s="1"/>
      <c r="KH88" s="1"/>
      <c r="KI88" s="1"/>
      <c r="KJ88" s="1"/>
      <c r="KK88" s="1"/>
      <c r="KL88" s="1"/>
      <c r="KM88" s="1"/>
      <c r="KN88" s="1"/>
      <c r="KO88" s="1"/>
      <c r="KP88" s="1"/>
      <c r="KQ88" s="1"/>
      <c r="KR88" s="1"/>
      <c r="KS88" s="1"/>
      <c r="KT88" s="1"/>
      <c r="KU88" s="1"/>
      <c r="KV88" s="1"/>
      <c r="KW88" s="1"/>
      <c r="KX88" s="1"/>
      <c r="KY88" s="1"/>
      <c r="KZ88" s="1"/>
      <c r="LA88" s="1"/>
      <c r="LB88" s="1"/>
      <c r="LC88" s="1"/>
      <c r="LD88" s="1"/>
      <c r="LE88" s="1"/>
      <c r="LF88" s="1"/>
      <c r="LG88" s="1"/>
      <c r="LH88" s="1"/>
      <c r="LI88" s="1"/>
      <c r="LJ88" s="1"/>
      <c r="LK88" s="1"/>
      <c r="LL88" s="1"/>
      <c r="LM88" s="1"/>
      <c r="LN88" s="1"/>
      <c r="LO88" s="1"/>
      <c r="LP88" s="1"/>
      <c r="LQ88" s="1"/>
      <c r="LR88" s="1"/>
      <c r="LS88" s="1"/>
    </row>
    <row r="89" spans="1:331" s="25" customFormat="1" x14ac:dyDescent="0.25">
      <c r="A89" s="25" t="s">
        <v>409</v>
      </c>
      <c r="B89" s="29" t="s">
        <v>410</v>
      </c>
      <c r="C89" s="13" t="s">
        <v>2071</v>
      </c>
      <c r="D89" s="25">
        <v>0</v>
      </c>
      <c r="H89" s="25" t="s">
        <v>411</v>
      </c>
      <c r="I89" s="25" t="s">
        <v>412</v>
      </c>
      <c r="J89" s="25" t="s">
        <v>411</v>
      </c>
      <c r="K89" s="25" t="s">
        <v>412</v>
      </c>
      <c r="L89" s="25">
        <v>0</v>
      </c>
      <c r="O89" s="25">
        <v>0</v>
      </c>
      <c r="Q89" s="1" t="s">
        <v>481</v>
      </c>
      <c r="R89" s="1"/>
      <c r="S89" s="25">
        <v>7</v>
      </c>
      <c r="W89" s="1">
        <v>7</v>
      </c>
      <c r="X89" s="1">
        <v>16</v>
      </c>
      <c r="Y89" s="1" t="s">
        <v>2239</v>
      </c>
      <c r="Z89" s="25">
        <v>5</v>
      </c>
      <c r="AA89" s="1" t="b">
        <v>1</v>
      </c>
      <c r="AB89" s="1"/>
      <c r="AC89" s="57" t="s">
        <v>1352</v>
      </c>
      <c r="AD89" s="1" t="b">
        <v>1</v>
      </c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R89" s="1"/>
      <c r="JS89" s="1"/>
      <c r="JT89" s="1"/>
      <c r="JU89" s="1"/>
      <c r="JV89" s="1"/>
      <c r="JW89" s="1"/>
      <c r="JX89" s="1"/>
      <c r="JY89" s="1"/>
      <c r="JZ89" s="1"/>
      <c r="KA89" s="1"/>
      <c r="KB89" s="1"/>
      <c r="KC89" s="1"/>
      <c r="KD89" s="1"/>
      <c r="KE89" s="1"/>
      <c r="KF89" s="1"/>
      <c r="KG89" s="1"/>
      <c r="KH89" s="1"/>
      <c r="KI89" s="1"/>
      <c r="KJ89" s="1"/>
      <c r="KK89" s="1"/>
      <c r="KL89" s="1"/>
      <c r="KM89" s="1"/>
      <c r="KN89" s="1"/>
      <c r="KO89" s="1"/>
      <c r="KP89" s="1"/>
      <c r="KQ89" s="1"/>
      <c r="KR89" s="1"/>
      <c r="KS89" s="1"/>
      <c r="KT89" s="1"/>
      <c r="KU89" s="1"/>
      <c r="KV89" s="1"/>
      <c r="KW89" s="1"/>
      <c r="KX89" s="1"/>
      <c r="KY89" s="1"/>
      <c r="KZ89" s="1"/>
      <c r="LA89" s="1"/>
      <c r="LB89" s="1"/>
      <c r="LC89" s="1"/>
      <c r="LD89" s="1"/>
      <c r="LE89" s="1"/>
      <c r="LF89" s="1"/>
      <c r="LG89" s="1"/>
      <c r="LH89" s="1"/>
      <c r="LI89" s="1"/>
      <c r="LJ89" s="1"/>
      <c r="LK89" s="1"/>
      <c r="LL89" s="1"/>
      <c r="LM89" s="1"/>
      <c r="LN89" s="1"/>
      <c r="LO89" s="1"/>
      <c r="LP89" s="1"/>
      <c r="LQ89" s="1"/>
      <c r="LR89" s="1"/>
      <c r="LS89" s="1"/>
    </row>
    <row r="90" spans="1:331" s="25" customFormat="1" x14ac:dyDescent="0.25">
      <c r="A90" s="25" t="s">
        <v>413</v>
      </c>
      <c r="B90" s="29" t="s">
        <v>413</v>
      </c>
      <c r="C90" s="13" t="s">
        <v>2071</v>
      </c>
      <c r="D90" s="25">
        <v>0</v>
      </c>
      <c r="H90" s="25" t="s">
        <v>414</v>
      </c>
      <c r="I90" s="25" t="s">
        <v>415</v>
      </c>
      <c r="J90" s="25" t="s">
        <v>414</v>
      </c>
      <c r="K90" s="25" t="s">
        <v>415</v>
      </c>
      <c r="L90" s="25">
        <v>0</v>
      </c>
      <c r="O90" s="25">
        <v>1</v>
      </c>
      <c r="Q90" s="1" t="s">
        <v>1560</v>
      </c>
      <c r="R90" s="1"/>
      <c r="S90" s="25">
        <v>11</v>
      </c>
      <c r="U90" s="25">
        <v>11</v>
      </c>
      <c r="W90" s="1">
        <v>11</v>
      </c>
      <c r="X90" s="1">
        <v>13</v>
      </c>
      <c r="Y90" s="1" t="s">
        <v>2240</v>
      </c>
      <c r="Z90" s="25">
        <v>5</v>
      </c>
      <c r="AA90" s="1" t="b">
        <v>1</v>
      </c>
      <c r="AB90" s="1"/>
      <c r="AC90" s="57" t="s">
        <v>1353</v>
      </c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"/>
      <c r="JN90" s="1"/>
      <c r="JO90" s="1"/>
      <c r="JP90" s="1"/>
      <c r="JQ90" s="1"/>
      <c r="JR90" s="1"/>
      <c r="JS90" s="1"/>
      <c r="JT90" s="1"/>
      <c r="JU90" s="1"/>
      <c r="JV90" s="1"/>
      <c r="JW90" s="1"/>
      <c r="JX90" s="1"/>
      <c r="JY90" s="1"/>
      <c r="JZ90" s="1"/>
      <c r="KA90" s="1"/>
      <c r="KB90" s="1"/>
      <c r="KC90" s="1"/>
      <c r="KD90" s="1"/>
      <c r="KE90" s="1"/>
      <c r="KF90" s="1"/>
      <c r="KG90" s="1"/>
      <c r="KH90" s="1"/>
      <c r="KI90" s="1"/>
      <c r="KJ90" s="1"/>
      <c r="KK90" s="1"/>
      <c r="KL90" s="1"/>
      <c r="KM90" s="1"/>
      <c r="KN90" s="1"/>
      <c r="KO90" s="1"/>
      <c r="KP90" s="1"/>
      <c r="KQ90" s="1"/>
      <c r="KR90" s="1"/>
      <c r="KS90" s="1"/>
      <c r="KT90" s="1"/>
      <c r="KU90" s="1"/>
      <c r="KV90" s="1"/>
      <c r="KW90" s="1"/>
      <c r="KX90" s="1"/>
      <c r="KY90" s="1"/>
      <c r="KZ90" s="1"/>
      <c r="LA90" s="1"/>
      <c r="LB90" s="1"/>
      <c r="LC90" s="1"/>
      <c r="LD90" s="1"/>
      <c r="LE90" s="1"/>
      <c r="LF90" s="1"/>
      <c r="LG90" s="1"/>
      <c r="LH90" s="1"/>
      <c r="LI90" s="1"/>
      <c r="LJ90" s="1"/>
      <c r="LK90" s="1"/>
      <c r="LL90" s="1"/>
      <c r="LM90" s="1"/>
      <c r="LN90" s="1"/>
      <c r="LO90" s="1"/>
      <c r="LP90" s="1"/>
      <c r="LQ90" s="1"/>
      <c r="LR90" s="1"/>
      <c r="LS90" s="1"/>
    </row>
    <row r="91" spans="1:331" s="49" customFormat="1" x14ac:dyDescent="0.25">
      <c r="A91" s="49" t="s">
        <v>416</v>
      </c>
      <c r="B91" s="49" t="s">
        <v>416</v>
      </c>
      <c r="C91" s="1" t="s">
        <v>2071</v>
      </c>
      <c r="D91" s="49">
        <v>0</v>
      </c>
      <c r="H91" s="49" t="s">
        <v>417</v>
      </c>
      <c r="I91" s="49" t="s">
        <v>418</v>
      </c>
      <c r="J91" s="49" t="s">
        <v>419</v>
      </c>
      <c r="K91" s="49" t="s">
        <v>183</v>
      </c>
      <c r="L91" s="49">
        <v>0</v>
      </c>
      <c r="O91" s="49">
        <v>1</v>
      </c>
      <c r="Q91" s="1"/>
      <c r="R91" s="1" t="s">
        <v>2587</v>
      </c>
      <c r="T91" s="49">
        <v>15</v>
      </c>
      <c r="W91" s="1">
        <v>15</v>
      </c>
      <c r="X91" s="1">
        <v>27</v>
      </c>
      <c r="Y91" s="1" t="s">
        <v>2241</v>
      </c>
      <c r="Z91" s="49">
        <v>9</v>
      </c>
      <c r="AA91" s="1" t="b">
        <v>1</v>
      </c>
      <c r="AB91" s="1"/>
      <c r="AC91" s="57" t="s">
        <v>1293</v>
      </c>
      <c r="AD91" s="1" t="b">
        <v>1</v>
      </c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R91" s="1"/>
      <c r="JS91" s="1"/>
      <c r="JT91" s="1"/>
      <c r="JU91" s="1"/>
      <c r="JV91" s="1"/>
      <c r="JW91" s="1"/>
      <c r="JX91" s="1"/>
      <c r="JY91" s="1"/>
      <c r="JZ91" s="1"/>
      <c r="KA91" s="1"/>
      <c r="KB91" s="1"/>
      <c r="KC91" s="1"/>
      <c r="KD91" s="1"/>
      <c r="KE91" s="1"/>
      <c r="KF91" s="1"/>
      <c r="KG91" s="1"/>
      <c r="KH91" s="1"/>
      <c r="KI91" s="1"/>
      <c r="KJ91" s="1"/>
      <c r="KK91" s="1"/>
      <c r="KL91" s="1"/>
      <c r="KM91" s="1"/>
      <c r="KN91" s="1"/>
      <c r="KO91" s="1"/>
      <c r="KP91" s="1"/>
      <c r="KQ91" s="1"/>
      <c r="KR91" s="1"/>
      <c r="KS91" s="1"/>
      <c r="KT91" s="1"/>
      <c r="KU91" s="1"/>
      <c r="KV91" s="1"/>
      <c r="KW91" s="1"/>
      <c r="KX91" s="1"/>
      <c r="KY91" s="1"/>
      <c r="KZ91" s="1"/>
      <c r="LA91" s="1"/>
      <c r="LB91" s="1"/>
      <c r="LC91" s="1"/>
      <c r="LD91" s="1"/>
      <c r="LE91" s="1"/>
      <c r="LF91" s="1"/>
      <c r="LG91" s="1"/>
      <c r="LH91" s="1"/>
      <c r="LI91" s="1"/>
      <c r="LJ91" s="1"/>
      <c r="LK91" s="1"/>
      <c r="LL91" s="1"/>
      <c r="LM91" s="1"/>
      <c r="LN91" s="1"/>
      <c r="LO91" s="1"/>
      <c r="LP91" s="1"/>
      <c r="LQ91" s="1"/>
      <c r="LR91" s="1"/>
      <c r="LS91" s="1"/>
    </row>
    <row r="92" spans="1:331" s="3" customFormat="1" x14ac:dyDescent="0.25">
      <c r="A92" s="3" t="s">
        <v>420</v>
      </c>
      <c r="B92" s="5" t="s">
        <v>420</v>
      </c>
      <c r="C92" s="13" t="s">
        <v>2071</v>
      </c>
      <c r="D92" s="3">
        <v>0</v>
      </c>
      <c r="H92" s="3" t="s">
        <v>335</v>
      </c>
      <c r="I92" s="3" t="s">
        <v>421</v>
      </c>
      <c r="J92" s="3" t="s">
        <v>335</v>
      </c>
      <c r="K92" s="3" t="s">
        <v>188</v>
      </c>
      <c r="L92" s="3">
        <v>1</v>
      </c>
      <c r="M92" s="3" t="s">
        <v>28</v>
      </c>
      <c r="O92" s="3">
        <v>0</v>
      </c>
      <c r="Q92" s="1" t="s">
        <v>386</v>
      </c>
      <c r="R92" s="1"/>
      <c r="T92" s="3">
        <v>11</v>
      </c>
      <c r="V92" s="3">
        <v>11</v>
      </c>
      <c r="W92" s="1">
        <v>11</v>
      </c>
      <c r="X92" s="1">
        <v>11</v>
      </c>
      <c r="Y92" s="1" t="s">
        <v>2242</v>
      </c>
      <c r="Z92" s="3">
        <v>1</v>
      </c>
      <c r="AA92" s="1" t="b">
        <v>1</v>
      </c>
      <c r="AB92" s="1"/>
      <c r="AC92" s="57" t="s">
        <v>1354</v>
      </c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R92" s="1"/>
      <c r="JS92" s="1"/>
      <c r="JT92" s="1"/>
      <c r="JU92" s="1"/>
      <c r="JV92" s="1"/>
      <c r="JW92" s="1"/>
      <c r="JX92" s="1"/>
      <c r="JY92" s="1"/>
      <c r="JZ92" s="1"/>
      <c r="KA92" s="1"/>
      <c r="KB92" s="1"/>
      <c r="KC92" s="1"/>
      <c r="KD92" s="1"/>
      <c r="KE92" s="1"/>
      <c r="KF92" s="1"/>
      <c r="KG92" s="1"/>
      <c r="KH92" s="1"/>
      <c r="KI92" s="1"/>
      <c r="KJ92" s="1"/>
      <c r="KK92" s="1"/>
      <c r="KL92" s="1"/>
      <c r="KM92" s="1"/>
      <c r="KN92" s="1"/>
      <c r="KO92" s="1"/>
      <c r="KP92" s="1"/>
      <c r="KQ92" s="1"/>
      <c r="KR92" s="1"/>
      <c r="KS92" s="1"/>
      <c r="KT92" s="1"/>
      <c r="KU92" s="1"/>
      <c r="KV92" s="1"/>
      <c r="KW92" s="1"/>
      <c r="KX92" s="1"/>
      <c r="KY92" s="1"/>
      <c r="KZ92" s="1"/>
      <c r="LA92" s="1"/>
      <c r="LB92" s="1"/>
      <c r="LC92" s="1"/>
      <c r="LD92" s="1"/>
      <c r="LE92" s="1"/>
      <c r="LF92" s="1"/>
      <c r="LG92" s="1"/>
      <c r="LH92" s="1"/>
      <c r="LI92" s="1"/>
      <c r="LJ92" s="1"/>
      <c r="LK92" s="1"/>
      <c r="LL92" s="1"/>
      <c r="LM92" s="1"/>
      <c r="LN92" s="1"/>
      <c r="LO92" s="1"/>
      <c r="LP92" s="1"/>
      <c r="LQ92" s="1"/>
      <c r="LR92" s="1"/>
      <c r="LS92" s="1"/>
    </row>
    <row r="93" spans="1:331" s="40" customFormat="1" x14ac:dyDescent="0.25">
      <c r="A93" s="40" t="s">
        <v>422</v>
      </c>
      <c r="B93" s="44" t="s">
        <v>422</v>
      </c>
      <c r="C93" s="13" t="s">
        <v>2071</v>
      </c>
      <c r="D93" s="40">
        <v>0</v>
      </c>
      <c r="H93" s="40" t="s">
        <v>423</v>
      </c>
      <c r="I93" s="40" t="s">
        <v>424</v>
      </c>
      <c r="J93" s="40" t="s">
        <v>425</v>
      </c>
      <c r="K93" s="40" t="s">
        <v>423</v>
      </c>
      <c r="L93" s="40">
        <v>0</v>
      </c>
      <c r="O93" s="40">
        <v>1</v>
      </c>
      <c r="P93" s="40" t="s">
        <v>426</v>
      </c>
      <c r="Q93" s="1" t="s">
        <v>440</v>
      </c>
      <c r="R93" s="1"/>
      <c r="T93" s="40">
        <v>12</v>
      </c>
      <c r="V93" s="40">
        <v>13</v>
      </c>
      <c r="W93" s="1">
        <v>12</v>
      </c>
      <c r="X93" s="1">
        <v>18</v>
      </c>
      <c r="Y93" s="1" t="s">
        <v>2243</v>
      </c>
      <c r="Z93" s="40">
        <v>8</v>
      </c>
      <c r="AA93" s="1" t="b">
        <v>1</v>
      </c>
      <c r="AB93" s="1"/>
      <c r="AC93" s="57" t="s">
        <v>1435</v>
      </c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B93" s="1"/>
      <c r="KC93" s="1"/>
      <c r="KD93" s="1"/>
      <c r="KE93" s="1"/>
      <c r="KF93" s="1"/>
      <c r="KG93" s="1"/>
      <c r="KH93" s="1"/>
      <c r="KI93" s="1"/>
      <c r="KJ93" s="1"/>
      <c r="KK93" s="1"/>
      <c r="KL93" s="1"/>
      <c r="KM93" s="1"/>
      <c r="KN93" s="1"/>
      <c r="KO93" s="1"/>
      <c r="KP93" s="1"/>
      <c r="KQ93" s="1"/>
      <c r="KR93" s="1"/>
      <c r="KS93" s="1"/>
      <c r="KT93" s="1"/>
      <c r="KU93" s="1"/>
      <c r="KV93" s="1"/>
      <c r="KW93" s="1"/>
      <c r="KX93" s="1"/>
      <c r="KY93" s="1"/>
      <c r="KZ93" s="1"/>
      <c r="LA93" s="1"/>
      <c r="LB93" s="1"/>
      <c r="LC93" s="1"/>
      <c r="LD93" s="1"/>
      <c r="LE93" s="1"/>
      <c r="LF93" s="1"/>
      <c r="LG93" s="1"/>
      <c r="LH93" s="1"/>
      <c r="LI93" s="1"/>
      <c r="LJ93" s="1"/>
      <c r="LK93" s="1"/>
      <c r="LL93" s="1"/>
      <c r="LM93" s="1"/>
      <c r="LN93" s="1"/>
      <c r="LO93" s="1"/>
      <c r="LP93" s="1"/>
      <c r="LQ93" s="1"/>
      <c r="LR93" s="1"/>
      <c r="LS93" s="1"/>
    </row>
    <row r="94" spans="1:331" s="40" customFormat="1" x14ac:dyDescent="0.25">
      <c r="A94" s="40" t="s">
        <v>427</v>
      </c>
      <c r="B94" s="44" t="s">
        <v>427</v>
      </c>
      <c r="C94" s="13" t="s">
        <v>2071</v>
      </c>
      <c r="D94" s="40">
        <v>0</v>
      </c>
      <c r="H94" s="40" t="s">
        <v>428</v>
      </c>
      <c r="I94" s="40" t="s">
        <v>429</v>
      </c>
      <c r="J94" s="40" t="s">
        <v>430</v>
      </c>
      <c r="K94" s="40" t="s">
        <v>428</v>
      </c>
      <c r="L94" s="40">
        <v>0</v>
      </c>
      <c r="O94" s="40">
        <v>1</v>
      </c>
      <c r="P94" s="40" t="s">
        <v>431</v>
      </c>
      <c r="Q94" s="1" t="s">
        <v>648</v>
      </c>
      <c r="R94" s="1"/>
      <c r="T94" s="40">
        <v>16</v>
      </c>
      <c r="V94" s="40">
        <v>17</v>
      </c>
      <c r="W94" s="1">
        <v>16</v>
      </c>
      <c r="X94" s="1">
        <v>11</v>
      </c>
      <c r="Y94" s="1" t="s">
        <v>2244</v>
      </c>
      <c r="Z94" s="40">
        <v>8</v>
      </c>
      <c r="AA94" s="1" t="b">
        <v>1</v>
      </c>
      <c r="AB94" s="1"/>
      <c r="AC94" s="57" t="s">
        <v>1424</v>
      </c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/>
      <c r="JM94" s="1"/>
      <c r="JN94" s="1"/>
      <c r="JO94" s="1"/>
      <c r="JP94" s="1"/>
      <c r="JQ94" s="1"/>
      <c r="JR94" s="1"/>
      <c r="JS94" s="1"/>
      <c r="JT94" s="1"/>
      <c r="JU94" s="1"/>
      <c r="JV94" s="1"/>
      <c r="JW94" s="1"/>
      <c r="JX94" s="1"/>
      <c r="JY94" s="1"/>
      <c r="JZ94" s="1"/>
      <c r="KA94" s="1"/>
      <c r="KB94" s="1"/>
      <c r="KC94" s="1"/>
      <c r="KD94" s="1"/>
      <c r="KE94" s="1"/>
      <c r="KF94" s="1"/>
      <c r="KG94" s="1"/>
      <c r="KH94" s="1"/>
      <c r="KI94" s="1"/>
      <c r="KJ94" s="1"/>
      <c r="KK94" s="1"/>
      <c r="KL94" s="1"/>
      <c r="KM94" s="1"/>
      <c r="KN94" s="1"/>
      <c r="KO94" s="1"/>
      <c r="KP94" s="1"/>
      <c r="KQ94" s="1"/>
      <c r="KR94" s="1"/>
      <c r="KS94" s="1"/>
      <c r="KT94" s="1"/>
      <c r="KU94" s="1"/>
      <c r="KV94" s="1"/>
      <c r="KW94" s="1"/>
      <c r="KX94" s="1"/>
      <c r="KY94" s="1"/>
      <c r="KZ94" s="1"/>
      <c r="LA94" s="1"/>
      <c r="LB94" s="1"/>
      <c r="LC94" s="1"/>
      <c r="LD94" s="1"/>
      <c r="LE94" s="1"/>
      <c r="LF94" s="1"/>
      <c r="LG94" s="1"/>
      <c r="LH94" s="1"/>
      <c r="LI94" s="1"/>
      <c r="LJ94" s="1"/>
      <c r="LK94" s="1"/>
      <c r="LL94" s="1"/>
      <c r="LM94" s="1"/>
      <c r="LN94" s="1"/>
      <c r="LO94" s="1"/>
      <c r="LP94" s="1"/>
      <c r="LQ94" s="1"/>
      <c r="LR94" s="1"/>
      <c r="LS94" s="1"/>
    </row>
    <row r="95" spans="1:331" s="25" customFormat="1" x14ac:dyDescent="0.25">
      <c r="A95" s="25" t="s">
        <v>432</v>
      </c>
      <c r="B95" s="29" t="s">
        <v>432</v>
      </c>
      <c r="C95" s="13" t="s">
        <v>2071</v>
      </c>
      <c r="D95" s="25">
        <v>0</v>
      </c>
      <c r="H95" s="25" t="s">
        <v>433</v>
      </c>
      <c r="I95" s="25" t="s">
        <v>434</v>
      </c>
      <c r="J95" s="25" t="s">
        <v>433</v>
      </c>
      <c r="K95" s="25" t="s">
        <v>434</v>
      </c>
      <c r="L95" s="25">
        <v>0</v>
      </c>
      <c r="O95" s="25">
        <v>1</v>
      </c>
      <c r="Q95" s="1" t="s">
        <v>441</v>
      </c>
      <c r="R95" s="1"/>
      <c r="T95" s="25">
        <v>11</v>
      </c>
      <c r="V95" s="25">
        <v>11</v>
      </c>
      <c r="W95" s="1">
        <v>11</v>
      </c>
      <c r="X95" s="1">
        <v>16</v>
      </c>
      <c r="Y95" s="1" t="s">
        <v>2245</v>
      </c>
      <c r="Z95" s="25">
        <v>5</v>
      </c>
      <c r="AA95" s="1" t="b">
        <v>1</v>
      </c>
      <c r="AB95" s="1"/>
      <c r="AC95" s="57" t="s">
        <v>1355</v>
      </c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JR95" s="1"/>
      <c r="JS95" s="1"/>
      <c r="JT95" s="1"/>
      <c r="JU95" s="1"/>
      <c r="JV95" s="1"/>
      <c r="JW95" s="1"/>
      <c r="JX95" s="1"/>
      <c r="JY95" s="1"/>
      <c r="JZ95" s="1"/>
      <c r="KA95" s="1"/>
      <c r="KB95" s="1"/>
      <c r="KC95" s="1"/>
      <c r="KD95" s="1"/>
      <c r="KE95" s="1"/>
      <c r="KF95" s="1"/>
      <c r="KG95" s="1"/>
      <c r="KH95" s="1"/>
      <c r="KI95" s="1"/>
      <c r="KJ95" s="1"/>
      <c r="KK95" s="1"/>
      <c r="KL95" s="1"/>
      <c r="KM95" s="1"/>
      <c r="KN95" s="1"/>
      <c r="KO95" s="1"/>
      <c r="KP95" s="1"/>
      <c r="KQ95" s="1"/>
      <c r="KR95" s="1"/>
      <c r="KS95" s="1"/>
      <c r="KT95" s="1"/>
      <c r="KU95" s="1"/>
      <c r="KV95" s="1"/>
      <c r="KW95" s="1"/>
      <c r="KX95" s="1"/>
      <c r="KY95" s="1"/>
      <c r="KZ95" s="1"/>
      <c r="LA95" s="1"/>
      <c r="LB95" s="1"/>
      <c r="LC95" s="1"/>
      <c r="LD95" s="1"/>
      <c r="LE95" s="1"/>
      <c r="LF95" s="1"/>
      <c r="LG95" s="1"/>
      <c r="LH95" s="1"/>
      <c r="LI95" s="1"/>
      <c r="LJ95" s="1"/>
      <c r="LK95" s="1"/>
      <c r="LL95" s="1"/>
      <c r="LM95" s="1"/>
      <c r="LN95" s="1"/>
      <c r="LO95" s="1"/>
      <c r="LP95" s="1"/>
      <c r="LQ95" s="1"/>
      <c r="LR95" s="1"/>
      <c r="LS95" s="1"/>
    </row>
    <row r="96" spans="1:331" s="40" customFormat="1" x14ac:dyDescent="0.25">
      <c r="A96" s="40" t="s">
        <v>435</v>
      </c>
      <c r="B96" s="44" t="s">
        <v>435</v>
      </c>
      <c r="C96" s="13" t="s">
        <v>2071</v>
      </c>
      <c r="D96" s="40">
        <v>0</v>
      </c>
      <c r="H96" s="40" t="s">
        <v>436</v>
      </c>
      <c r="I96" s="40" t="s">
        <v>431</v>
      </c>
      <c r="J96" s="40" t="s">
        <v>436</v>
      </c>
      <c r="K96" s="40" t="s">
        <v>2094</v>
      </c>
      <c r="L96" s="40">
        <v>0</v>
      </c>
      <c r="O96" s="40">
        <v>1</v>
      </c>
      <c r="P96" s="40" t="s">
        <v>437</v>
      </c>
      <c r="Q96" s="1" t="s">
        <v>1561</v>
      </c>
      <c r="R96" s="1"/>
      <c r="T96" s="40">
        <v>7</v>
      </c>
      <c r="V96" s="40">
        <v>8</v>
      </c>
      <c r="W96" s="1">
        <v>7</v>
      </c>
      <c r="X96" s="1">
        <v>15</v>
      </c>
      <c r="Y96" s="1" t="s">
        <v>2246</v>
      </c>
      <c r="Z96" s="40">
        <v>8</v>
      </c>
      <c r="AA96" s="1" t="b">
        <v>1</v>
      </c>
      <c r="AB96" s="1"/>
      <c r="AC96" s="57" t="s">
        <v>1436</v>
      </c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"/>
      <c r="JS96" s="1"/>
      <c r="JT96" s="1"/>
      <c r="JU96" s="1"/>
      <c r="JV96" s="1"/>
      <c r="JW96" s="1"/>
      <c r="JX96" s="1"/>
      <c r="JY96" s="1"/>
      <c r="JZ96" s="1"/>
      <c r="KA96" s="1"/>
      <c r="KB96" s="1"/>
      <c r="KC96" s="1"/>
      <c r="KD96" s="1"/>
      <c r="KE96" s="1"/>
      <c r="KF96" s="1"/>
      <c r="KG96" s="1"/>
      <c r="KH96" s="1"/>
      <c r="KI96" s="1"/>
      <c r="KJ96" s="1"/>
      <c r="KK96" s="1"/>
      <c r="KL96" s="1"/>
      <c r="KM96" s="1"/>
      <c r="KN96" s="1"/>
      <c r="KO96" s="1"/>
      <c r="KP96" s="1"/>
      <c r="KQ96" s="1"/>
      <c r="KR96" s="1"/>
      <c r="KS96" s="1"/>
      <c r="KT96" s="1"/>
      <c r="KU96" s="1"/>
      <c r="KV96" s="1"/>
      <c r="KW96" s="1"/>
      <c r="KX96" s="1"/>
      <c r="KY96" s="1"/>
      <c r="KZ96" s="1"/>
      <c r="LA96" s="1"/>
      <c r="LB96" s="1"/>
      <c r="LC96" s="1"/>
      <c r="LD96" s="1"/>
      <c r="LE96" s="1"/>
      <c r="LF96" s="1"/>
      <c r="LG96" s="1"/>
      <c r="LH96" s="1"/>
      <c r="LI96" s="1"/>
      <c r="LJ96" s="1"/>
      <c r="LK96" s="1"/>
      <c r="LL96" s="1"/>
      <c r="LM96" s="1"/>
      <c r="LN96" s="1"/>
      <c r="LO96" s="1"/>
      <c r="LP96" s="1"/>
      <c r="LQ96" s="1"/>
      <c r="LR96" s="1"/>
      <c r="LS96" s="1"/>
    </row>
    <row r="97" spans="1:331" s="25" customFormat="1" x14ac:dyDescent="0.25">
      <c r="A97" s="25" t="s">
        <v>438</v>
      </c>
      <c r="B97" s="29" t="s">
        <v>438</v>
      </c>
      <c r="C97" s="13" t="s">
        <v>2071</v>
      </c>
      <c r="D97" s="25">
        <v>0</v>
      </c>
      <c r="H97" s="25" t="s">
        <v>439</v>
      </c>
      <c r="I97" s="25" t="s">
        <v>440</v>
      </c>
      <c r="J97" s="25" t="s">
        <v>441</v>
      </c>
      <c r="K97" s="25" t="s">
        <v>440</v>
      </c>
      <c r="L97" s="25">
        <v>0</v>
      </c>
      <c r="O97" s="25">
        <v>0</v>
      </c>
      <c r="Q97" s="1" t="s">
        <v>1562</v>
      </c>
      <c r="R97" s="1"/>
      <c r="S97" s="25">
        <v>6</v>
      </c>
      <c r="U97" s="25">
        <v>7</v>
      </c>
      <c r="W97" s="1">
        <v>6</v>
      </c>
      <c r="X97" s="1">
        <v>12</v>
      </c>
      <c r="Y97" s="1" t="s">
        <v>2247</v>
      </c>
      <c r="Z97" s="25">
        <v>5</v>
      </c>
      <c r="AA97" s="1" t="b">
        <v>1</v>
      </c>
      <c r="AB97" s="1"/>
      <c r="AC97" s="57" t="s">
        <v>1313</v>
      </c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JR97" s="1"/>
      <c r="JS97" s="1"/>
      <c r="JT97" s="1"/>
      <c r="JU97" s="1"/>
      <c r="JV97" s="1"/>
      <c r="JW97" s="1"/>
      <c r="JX97" s="1"/>
      <c r="JY97" s="1"/>
      <c r="JZ97" s="1"/>
      <c r="KA97" s="1"/>
      <c r="KB97" s="1"/>
      <c r="KC97" s="1"/>
      <c r="KD97" s="1"/>
      <c r="KE97" s="1"/>
      <c r="KF97" s="1"/>
      <c r="KG97" s="1"/>
      <c r="KH97" s="1"/>
      <c r="KI97" s="1"/>
      <c r="KJ97" s="1"/>
      <c r="KK97" s="1"/>
      <c r="KL97" s="1"/>
      <c r="KM97" s="1"/>
      <c r="KN97" s="1"/>
      <c r="KO97" s="1"/>
      <c r="KP97" s="1"/>
      <c r="KQ97" s="1"/>
      <c r="KR97" s="1"/>
      <c r="KS97" s="1"/>
      <c r="KT97" s="1"/>
      <c r="KU97" s="1"/>
      <c r="KV97" s="1"/>
      <c r="KW97" s="1"/>
      <c r="KX97" s="1"/>
      <c r="KY97" s="1"/>
      <c r="KZ97" s="1"/>
      <c r="LA97" s="1"/>
      <c r="LB97" s="1"/>
      <c r="LC97" s="1"/>
      <c r="LD97" s="1"/>
      <c r="LE97" s="1"/>
      <c r="LF97" s="1"/>
      <c r="LG97" s="1"/>
      <c r="LH97" s="1"/>
      <c r="LI97" s="1"/>
      <c r="LJ97" s="1"/>
      <c r="LK97" s="1"/>
      <c r="LL97" s="1"/>
      <c r="LM97" s="1"/>
      <c r="LN97" s="1"/>
      <c r="LO97" s="1"/>
      <c r="LP97" s="1"/>
      <c r="LQ97" s="1"/>
      <c r="LR97" s="1"/>
      <c r="LS97" s="1"/>
    </row>
    <row r="98" spans="1:331" s="30" customFormat="1" x14ac:dyDescent="0.25">
      <c r="A98" s="30" t="s">
        <v>442</v>
      </c>
      <c r="B98" s="30" t="s">
        <v>442</v>
      </c>
      <c r="C98" s="1" t="s">
        <v>2071</v>
      </c>
      <c r="D98" s="30">
        <v>1</v>
      </c>
      <c r="E98" s="30" t="s">
        <v>443</v>
      </c>
      <c r="H98" s="30" t="s">
        <v>444</v>
      </c>
      <c r="I98" s="30" t="s">
        <v>443</v>
      </c>
      <c r="J98" s="30" t="s">
        <v>444</v>
      </c>
      <c r="K98" s="30" t="s">
        <v>444</v>
      </c>
      <c r="L98" s="30">
        <v>0</v>
      </c>
      <c r="O98" s="30">
        <v>1</v>
      </c>
      <c r="Q98" s="1" t="s">
        <v>1563</v>
      </c>
      <c r="R98" s="1"/>
      <c r="S98" s="30">
        <v>9</v>
      </c>
      <c r="W98" s="1">
        <v>9</v>
      </c>
      <c r="X98" s="1">
        <v>16</v>
      </c>
      <c r="Y98" s="1" t="s">
        <v>2248</v>
      </c>
      <c r="Z98" s="30">
        <v>6</v>
      </c>
      <c r="AA98" s="1" t="b">
        <v>1</v>
      </c>
      <c r="AB98" s="1"/>
      <c r="AC98" s="57" t="s">
        <v>1287</v>
      </c>
      <c r="AD98" s="1" t="b">
        <v>1</v>
      </c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JR98" s="1"/>
      <c r="JS98" s="1"/>
      <c r="JT98" s="1"/>
      <c r="JU98" s="1"/>
      <c r="JV98" s="1"/>
      <c r="JW98" s="1"/>
      <c r="JX98" s="1"/>
      <c r="JY98" s="1"/>
      <c r="JZ98" s="1"/>
      <c r="KA98" s="1"/>
      <c r="KB98" s="1"/>
      <c r="KC98" s="1"/>
      <c r="KD98" s="1"/>
      <c r="KE98" s="1"/>
      <c r="KF98" s="1"/>
      <c r="KG98" s="1"/>
      <c r="KH98" s="1"/>
      <c r="KI98" s="1"/>
      <c r="KJ98" s="1"/>
      <c r="KK98" s="1"/>
      <c r="KL98" s="1"/>
      <c r="KM98" s="1"/>
      <c r="KN98" s="1"/>
      <c r="KO98" s="1"/>
      <c r="KP98" s="1"/>
      <c r="KQ98" s="1"/>
      <c r="KR98" s="1"/>
      <c r="KS98" s="1"/>
      <c r="KT98" s="1"/>
      <c r="KU98" s="1"/>
      <c r="KV98" s="1"/>
      <c r="KW98" s="1"/>
      <c r="KX98" s="1"/>
      <c r="KY98" s="1"/>
      <c r="KZ98" s="1"/>
      <c r="LA98" s="1"/>
      <c r="LB98" s="1"/>
      <c r="LC98" s="1"/>
      <c r="LD98" s="1"/>
      <c r="LE98" s="1"/>
      <c r="LF98" s="1"/>
      <c r="LG98" s="1"/>
      <c r="LH98" s="1"/>
      <c r="LI98" s="1"/>
      <c r="LJ98" s="1"/>
      <c r="LK98" s="1"/>
      <c r="LL98" s="1"/>
      <c r="LM98" s="1"/>
      <c r="LN98" s="1"/>
      <c r="LO98" s="1"/>
      <c r="LP98" s="1"/>
      <c r="LQ98" s="1"/>
      <c r="LR98" s="1"/>
      <c r="LS98" s="1"/>
    </row>
    <row r="99" spans="1:331" s="49" customFormat="1" x14ac:dyDescent="0.25">
      <c r="A99" s="49" t="s">
        <v>445</v>
      </c>
      <c r="B99" s="49" t="s">
        <v>445</v>
      </c>
      <c r="C99" s="1" t="s">
        <v>2071</v>
      </c>
      <c r="D99" s="49">
        <v>0</v>
      </c>
      <c r="H99" s="49" t="s">
        <v>446</v>
      </c>
      <c r="I99" s="49" t="s">
        <v>447</v>
      </c>
      <c r="J99" s="49" t="s">
        <v>446</v>
      </c>
      <c r="K99" s="49" t="s">
        <v>447</v>
      </c>
      <c r="L99" s="49">
        <v>0</v>
      </c>
      <c r="O99" s="49">
        <v>1</v>
      </c>
      <c r="Q99" s="1"/>
      <c r="R99" s="1" t="s">
        <v>2588</v>
      </c>
      <c r="T99" s="49">
        <v>18</v>
      </c>
      <c r="W99" s="1">
        <v>18</v>
      </c>
      <c r="X99" s="1">
        <v>19</v>
      </c>
      <c r="Y99" s="1" t="s">
        <v>2249</v>
      </c>
      <c r="Z99" s="49">
        <v>9</v>
      </c>
      <c r="AA99" s="1" t="b">
        <v>1</v>
      </c>
      <c r="AB99" s="1"/>
      <c r="AC99" s="57" t="s">
        <v>1437</v>
      </c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"/>
      <c r="JN99" s="1"/>
      <c r="JO99" s="1"/>
      <c r="JP99" s="1"/>
      <c r="JQ99" s="1"/>
      <c r="JR99" s="1"/>
      <c r="JS99" s="1"/>
      <c r="JT99" s="1"/>
      <c r="JU99" s="1"/>
      <c r="JV99" s="1"/>
      <c r="JW99" s="1"/>
      <c r="JX99" s="1"/>
      <c r="JY99" s="1"/>
      <c r="JZ99" s="1"/>
      <c r="KA99" s="1"/>
      <c r="KB99" s="1"/>
      <c r="KC99" s="1"/>
      <c r="KD99" s="1"/>
      <c r="KE99" s="1"/>
      <c r="KF99" s="1"/>
      <c r="KG99" s="1"/>
      <c r="KH99" s="1"/>
      <c r="KI99" s="1"/>
      <c r="KJ99" s="1"/>
      <c r="KK99" s="1"/>
      <c r="KL99" s="1"/>
      <c r="KM99" s="1"/>
      <c r="KN99" s="1"/>
      <c r="KO99" s="1"/>
      <c r="KP99" s="1"/>
      <c r="KQ99" s="1"/>
      <c r="KR99" s="1"/>
      <c r="KS99" s="1"/>
      <c r="KT99" s="1"/>
      <c r="KU99" s="1"/>
      <c r="KV99" s="1"/>
      <c r="KW99" s="1"/>
      <c r="KX99" s="1"/>
      <c r="KY99" s="1"/>
      <c r="KZ99" s="1"/>
      <c r="LA99" s="1"/>
      <c r="LB99" s="1"/>
      <c r="LC99" s="1"/>
      <c r="LD99" s="1"/>
      <c r="LE99" s="1"/>
      <c r="LF99" s="1"/>
      <c r="LG99" s="1"/>
      <c r="LH99" s="1"/>
      <c r="LI99" s="1"/>
      <c r="LJ99" s="1"/>
      <c r="LK99" s="1"/>
      <c r="LL99" s="1"/>
      <c r="LM99" s="1"/>
      <c r="LN99" s="1"/>
      <c r="LO99" s="1"/>
      <c r="LP99" s="1"/>
      <c r="LQ99" s="1"/>
      <c r="LR99" s="1"/>
      <c r="LS99" s="1"/>
    </row>
    <row r="100" spans="1:331" s="25" customFormat="1" x14ac:dyDescent="0.25">
      <c r="A100" s="25" t="s">
        <v>448</v>
      </c>
      <c r="B100" s="29" t="s">
        <v>448</v>
      </c>
      <c r="C100" s="13" t="s">
        <v>2071</v>
      </c>
      <c r="D100" s="25">
        <v>0</v>
      </c>
      <c r="H100" s="25" t="s">
        <v>449</v>
      </c>
      <c r="I100" s="25" t="s">
        <v>450</v>
      </c>
      <c r="J100" s="25" t="s">
        <v>451</v>
      </c>
      <c r="K100" s="25" t="s">
        <v>2095</v>
      </c>
      <c r="L100" s="25">
        <v>0</v>
      </c>
      <c r="O100" s="25">
        <v>0</v>
      </c>
      <c r="Q100" s="1" t="s">
        <v>224</v>
      </c>
      <c r="R100" s="1"/>
      <c r="S100" s="25">
        <v>7</v>
      </c>
      <c r="U100" s="25">
        <v>6</v>
      </c>
      <c r="W100" s="1">
        <v>7</v>
      </c>
      <c r="X100" s="1">
        <v>15</v>
      </c>
      <c r="Y100" s="1" t="s">
        <v>2250</v>
      </c>
      <c r="Z100" s="25">
        <v>5</v>
      </c>
      <c r="AA100" s="1" t="b">
        <v>1</v>
      </c>
      <c r="AB100" s="1"/>
      <c r="AC100" s="57" t="s">
        <v>1320</v>
      </c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O100" s="1"/>
      <c r="JP100" s="1"/>
      <c r="JQ100" s="1"/>
      <c r="JR100" s="1"/>
      <c r="JS100" s="1"/>
      <c r="JT100" s="1"/>
      <c r="JU100" s="1"/>
      <c r="JV100" s="1"/>
      <c r="JW100" s="1"/>
      <c r="JX100" s="1"/>
      <c r="JY100" s="1"/>
      <c r="JZ100" s="1"/>
      <c r="KA100" s="1"/>
      <c r="KB100" s="1"/>
      <c r="KC100" s="1"/>
      <c r="KD100" s="1"/>
      <c r="KE100" s="1"/>
      <c r="KF100" s="1"/>
      <c r="KG100" s="1"/>
      <c r="KH100" s="1"/>
      <c r="KI100" s="1"/>
      <c r="KJ100" s="1"/>
      <c r="KK100" s="1"/>
      <c r="KL100" s="1"/>
      <c r="KM100" s="1"/>
      <c r="KN100" s="1"/>
      <c r="KO100" s="1"/>
      <c r="KP100" s="1"/>
      <c r="KQ100" s="1"/>
      <c r="KR100" s="1"/>
      <c r="KS100" s="1"/>
      <c r="KT100" s="1"/>
      <c r="KU100" s="1"/>
      <c r="KV100" s="1"/>
      <c r="KW100" s="1"/>
      <c r="KX100" s="1"/>
      <c r="KY100" s="1"/>
      <c r="KZ100" s="1"/>
      <c r="LA100" s="1"/>
      <c r="LB100" s="1"/>
      <c r="LC100" s="1"/>
      <c r="LD100" s="1"/>
      <c r="LE100" s="1"/>
      <c r="LF100" s="1"/>
      <c r="LG100" s="1"/>
      <c r="LH100" s="1"/>
      <c r="LI100" s="1"/>
      <c r="LJ100" s="1"/>
      <c r="LK100" s="1"/>
      <c r="LL100" s="1"/>
      <c r="LM100" s="1"/>
      <c r="LN100" s="1"/>
      <c r="LO100" s="1"/>
      <c r="LP100" s="1"/>
      <c r="LQ100" s="1"/>
      <c r="LR100" s="1"/>
      <c r="LS100" s="1"/>
    </row>
    <row r="101" spans="1:331" s="25" customFormat="1" x14ac:dyDescent="0.25">
      <c r="A101" s="25" t="s">
        <v>452</v>
      </c>
      <c r="B101" s="29" t="s">
        <v>453</v>
      </c>
      <c r="C101" s="13" t="s">
        <v>2071</v>
      </c>
      <c r="D101" s="25">
        <v>0</v>
      </c>
      <c r="H101" s="25" t="s">
        <v>226</v>
      </c>
      <c r="I101" s="25" t="s">
        <v>454</v>
      </c>
      <c r="J101" s="25" t="s">
        <v>226</v>
      </c>
      <c r="K101" s="25" t="s">
        <v>454</v>
      </c>
      <c r="L101" s="25">
        <v>0</v>
      </c>
      <c r="O101" s="25">
        <v>0</v>
      </c>
      <c r="Q101" s="1" t="s">
        <v>1564</v>
      </c>
      <c r="R101" s="1"/>
      <c r="S101" s="25">
        <v>7</v>
      </c>
      <c r="U101" s="25">
        <v>7</v>
      </c>
      <c r="W101" s="1">
        <v>7</v>
      </c>
      <c r="X101" s="1">
        <v>11</v>
      </c>
      <c r="Y101" s="1" t="s">
        <v>2251</v>
      </c>
      <c r="Z101" s="25">
        <v>5</v>
      </c>
      <c r="AA101" s="1" t="b">
        <v>1</v>
      </c>
      <c r="AB101" s="1"/>
      <c r="AC101" s="57" t="s">
        <v>1351</v>
      </c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O101" s="1"/>
      <c r="JP101" s="1"/>
      <c r="JQ101" s="1"/>
      <c r="JR101" s="1"/>
      <c r="JS101" s="1"/>
      <c r="JT101" s="1"/>
      <c r="JU101" s="1"/>
      <c r="JV101" s="1"/>
      <c r="JW101" s="1"/>
      <c r="JX101" s="1"/>
      <c r="JY101" s="1"/>
      <c r="JZ101" s="1"/>
      <c r="KA101" s="1"/>
      <c r="KB101" s="1"/>
      <c r="KC101" s="1"/>
      <c r="KD101" s="1"/>
      <c r="KE101" s="1"/>
      <c r="KF101" s="1"/>
      <c r="KG101" s="1"/>
      <c r="KH101" s="1"/>
      <c r="KI101" s="1"/>
      <c r="KJ101" s="1"/>
      <c r="KK101" s="1"/>
      <c r="KL101" s="1"/>
      <c r="KM101" s="1"/>
      <c r="KN101" s="1"/>
      <c r="KO101" s="1"/>
      <c r="KP101" s="1"/>
      <c r="KQ101" s="1"/>
      <c r="KR101" s="1"/>
      <c r="KS101" s="1"/>
      <c r="KT101" s="1"/>
      <c r="KU101" s="1"/>
      <c r="KV101" s="1"/>
      <c r="KW101" s="1"/>
      <c r="KX101" s="1"/>
      <c r="KY101" s="1"/>
      <c r="KZ101" s="1"/>
      <c r="LA101" s="1"/>
      <c r="LB101" s="1"/>
      <c r="LC101" s="1"/>
      <c r="LD101" s="1"/>
      <c r="LE101" s="1"/>
      <c r="LF101" s="1"/>
      <c r="LG101" s="1"/>
      <c r="LH101" s="1"/>
      <c r="LI101" s="1"/>
      <c r="LJ101" s="1"/>
      <c r="LK101" s="1"/>
      <c r="LL101" s="1"/>
      <c r="LM101" s="1"/>
      <c r="LN101" s="1"/>
      <c r="LO101" s="1"/>
      <c r="LP101" s="1"/>
      <c r="LQ101" s="1"/>
      <c r="LR101" s="1"/>
      <c r="LS101" s="1"/>
    </row>
    <row r="102" spans="1:331" s="75" customFormat="1" x14ac:dyDescent="0.25">
      <c r="A102" s="75" t="s">
        <v>455</v>
      </c>
      <c r="B102" s="75" t="s">
        <v>455</v>
      </c>
      <c r="C102" s="1" t="s">
        <v>2071</v>
      </c>
      <c r="D102" s="75">
        <v>0</v>
      </c>
      <c r="H102" s="75" t="s">
        <v>456</v>
      </c>
      <c r="I102" s="75" t="s">
        <v>457</v>
      </c>
      <c r="J102" s="75" t="s">
        <v>456</v>
      </c>
      <c r="K102" s="75" t="s">
        <v>2096</v>
      </c>
      <c r="L102" s="75">
        <v>0</v>
      </c>
      <c r="O102" s="75">
        <v>1</v>
      </c>
      <c r="P102" s="75" t="s">
        <v>456</v>
      </c>
      <c r="Q102" s="1"/>
      <c r="R102" s="1" t="s">
        <v>458</v>
      </c>
      <c r="T102" s="75">
        <v>8</v>
      </c>
      <c r="W102" s="75">
        <v>8</v>
      </c>
      <c r="X102" s="1">
        <v>12</v>
      </c>
      <c r="Y102" s="1" t="s">
        <v>2252</v>
      </c>
      <c r="Z102" s="75">
        <v>14</v>
      </c>
      <c r="AA102" s="75" t="b">
        <v>1</v>
      </c>
      <c r="AC102" s="78" t="s">
        <v>1482</v>
      </c>
    </row>
    <row r="103" spans="1:331" s="30" customFormat="1" x14ac:dyDescent="0.25">
      <c r="A103" s="30" t="s">
        <v>459</v>
      </c>
      <c r="B103" s="30" t="s">
        <v>459</v>
      </c>
      <c r="C103" s="1" t="s">
        <v>2071</v>
      </c>
      <c r="D103" s="30">
        <v>1</v>
      </c>
      <c r="E103" s="30" t="s">
        <v>460</v>
      </c>
      <c r="H103" s="30" t="s">
        <v>461</v>
      </c>
      <c r="I103" s="30" t="s">
        <v>460</v>
      </c>
      <c r="J103" s="30" t="s">
        <v>461</v>
      </c>
      <c r="K103" s="30" t="s">
        <v>2097</v>
      </c>
      <c r="L103" s="30">
        <v>0</v>
      </c>
      <c r="O103" s="30">
        <v>0</v>
      </c>
      <c r="Q103" s="1" t="s">
        <v>1565</v>
      </c>
      <c r="R103" s="1"/>
      <c r="S103" s="30">
        <v>13</v>
      </c>
      <c r="W103" s="1">
        <v>13</v>
      </c>
      <c r="X103" s="1">
        <v>32</v>
      </c>
      <c r="Y103" s="1" t="s">
        <v>2253</v>
      </c>
      <c r="Z103" s="30">
        <v>6</v>
      </c>
      <c r="AA103" s="1" t="b">
        <v>1</v>
      </c>
      <c r="AB103" s="1"/>
      <c r="AC103" s="57" t="s">
        <v>1477</v>
      </c>
      <c r="AD103" s="1" t="b">
        <v>1</v>
      </c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JR103" s="1"/>
      <c r="JS103" s="1"/>
      <c r="JT103" s="1"/>
      <c r="JU103" s="1"/>
      <c r="JV103" s="1"/>
      <c r="JW103" s="1"/>
      <c r="JX103" s="1"/>
      <c r="JY103" s="1"/>
      <c r="JZ103" s="1"/>
      <c r="KA103" s="1"/>
      <c r="KB103" s="1"/>
      <c r="KC103" s="1"/>
      <c r="KD103" s="1"/>
      <c r="KE103" s="1"/>
      <c r="KF103" s="1"/>
      <c r="KG103" s="1"/>
      <c r="KH103" s="1"/>
      <c r="KI103" s="1"/>
      <c r="KJ103" s="1"/>
      <c r="KK103" s="1"/>
      <c r="KL103" s="1"/>
      <c r="KM103" s="1"/>
      <c r="KN103" s="1"/>
      <c r="KO103" s="1"/>
      <c r="KP103" s="1"/>
      <c r="KQ103" s="1"/>
      <c r="KR103" s="1"/>
      <c r="KS103" s="1"/>
      <c r="KT103" s="1"/>
      <c r="KU103" s="1"/>
      <c r="KV103" s="1"/>
      <c r="KW103" s="1"/>
      <c r="KX103" s="1"/>
      <c r="KY103" s="1"/>
      <c r="KZ103" s="1"/>
      <c r="LA103" s="1"/>
      <c r="LB103" s="1"/>
      <c r="LC103" s="1"/>
      <c r="LD103" s="1"/>
      <c r="LE103" s="1"/>
      <c r="LF103" s="1"/>
      <c r="LG103" s="1"/>
      <c r="LH103" s="1"/>
      <c r="LI103" s="1"/>
      <c r="LJ103" s="1"/>
      <c r="LK103" s="1"/>
      <c r="LL103" s="1"/>
      <c r="LM103" s="1"/>
      <c r="LN103" s="1"/>
      <c r="LO103" s="1"/>
      <c r="LP103" s="1"/>
      <c r="LQ103" s="1"/>
      <c r="LR103" s="1"/>
      <c r="LS103" s="1"/>
    </row>
    <row r="104" spans="1:331" s="40" customFormat="1" x14ac:dyDescent="0.25">
      <c r="A104" s="40" t="s">
        <v>462</v>
      </c>
      <c r="B104" s="40" t="s">
        <v>462</v>
      </c>
      <c r="C104" s="1" t="s">
        <v>2071</v>
      </c>
      <c r="D104" s="40">
        <v>0</v>
      </c>
      <c r="H104" s="40" t="s">
        <v>461</v>
      </c>
      <c r="I104" s="40" t="s">
        <v>463</v>
      </c>
      <c r="J104" s="40" t="s">
        <v>461</v>
      </c>
      <c r="K104" s="40" t="s">
        <v>463</v>
      </c>
      <c r="L104" s="40">
        <v>0</v>
      </c>
      <c r="O104" s="40">
        <v>1</v>
      </c>
      <c r="P104" s="40" t="s">
        <v>464</v>
      </c>
      <c r="Q104" s="1" t="s">
        <v>1566</v>
      </c>
      <c r="R104" s="1"/>
      <c r="T104" s="40">
        <v>9</v>
      </c>
      <c r="V104" s="40">
        <v>9</v>
      </c>
      <c r="W104" s="1">
        <v>9</v>
      </c>
      <c r="X104" s="1">
        <v>13</v>
      </c>
      <c r="Y104" s="1" t="s">
        <v>2254</v>
      </c>
      <c r="Z104" s="40">
        <v>8</v>
      </c>
      <c r="AA104" s="1" t="b">
        <v>1</v>
      </c>
      <c r="AB104" s="1"/>
      <c r="AC104" s="57" t="s">
        <v>1494</v>
      </c>
      <c r="AD104" s="1" t="b">
        <v>1</v>
      </c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JR104" s="1"/>
      <c r="JS104" s="1"/>
      <c r="JT104" s="1"/>
      <c r="JU104" s="1"/>
      <c r="JV104" s="1"/>
      <c r="JW104" s="1"/>
      <c r="JX104" s="1"/>
      <c r="JY104" s="1"/>
      <c r="JZ104" s="1"/>
      <c r="KA104" s="1"/>
      <c r="KB104" s="1"/>
      <c r="KC104" s="1"/>
      <c r="KD104" s="1"/>
      <c r="KE104" s="1"/>
      <c r="KF104" s="1"/>
      <c r="KG104" s="1"/>
      <c r="KH104" s="1"/>
      <c r="KI104" s="1"/>
      <c r="KJ104" s="1"/>
      <c r="KK104" s="1"/>
      <c r="KL104" s="1"/>
      <c r="KM104" s="1"/>
      <c r="KN104" s="1"/>
      <c r="KO104" s="1"/>
      <c r="KP104" s="1"/>
      <c r="KQ104" s="1"/>
      <c r="KR104" s="1"/>
      <c r="KS104" s="1"/>
      <c r="KT104" s="1"/>
      <c r="KU104" s="1"/>
      <c r="KV104" s="1"/>
      <c r="KW104" s="1"/>
      <c r="KX104" s="1"/>
      <c r="KY104" s="1"/>
      <c r="KZ104" s="1"/>
      <c r="LA104" s="1"/>
      <c r="LB104" s="1"/>
      <c r="LC104" s="1"/>
      <c r="LD104" s="1"/>
      <c r="LE104" s="1"/>
      <c r="LF104" s="1"/>
      <c r="LG104" s="1"/>
      <c r="LH104" s="1"/>
      <c r="LI104" s="1"/>
      <c r="LJ104" s="1"/>
      <c r="LK104" s="1"/>
      <c r="LL104" s="1"/>
      <c r="LM104" s="1"/>
      <c r="LN104" s="1"/>
      <c r="LO104" s="1"/>
      <c r="LP104" s="1"/>
      <c r="LQ104" s="1"/>
      <c r="LR104" s="1"/>
      <c r="LS104" s="1"/>
    </row>
    <row r="105" spans="1:331" s="45" customFormat="1" x14ac:dyDescent="0.25">
      <c r="A105" s="45" t="s">
        <v>465</v>
      </c>
      <c r="C105" s="1" t="s">
        <v>2071</v>
      </c>
      <c r="D105" s="45">
        <v>0</v>
      </c>
      <c r="H105" s="45" t="s">
        <v>466</v>
      </c>
      <c r="I105" s="45" t="s">
        <v>467</v>
      </c>
      <c r="K105" s="45" t="s">
        <v>688</v>
      </c>
      <c r="L105" s="45">
        <v>0</v>
      </c>
      <c r="O105" s="45">
        <v>1</v>
      </c>
      <c r="P105" s="45" t="s">
        <v>468</v>
      </c>
      <c r="Q105" s="1"/>
      <c r="R105" s="1" t="s">
        <v>2589</v>
      </c>
      <c r="T105" s="45">
        <v>14</v>
      </c>
      <c r="W105" s="1"/>
      <c r="X105" s="1"/>
      <c r="Y105" s="1"/>
      <c r="Z105" s="45">
        <v>-1</v>
      </c>
      <c r="AA105" s="1" t="b">
        <v>0</v>
      </c>
      <c r="AB105" s="1"/>
      <c r="AC105" s="57" t="s">
        <v>1257</v>
      </c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  <c r="IY105" s="1"/>
      <c r="IZ105" s="1"/>
      <c r="JA105" s="1"/>
      <c r="JB105" s="1"/>
      <c r="JC105" s="1"/>
      <c r="JD105" s="1"/>
      <c r="JE105" s="1"/>
      <c r="JF105" s="1"/>
      <c r="JG105" s="1"/>
      <c r="JH105" s="1"/>
      <c r="JI105" s="1"/>
      <c r="JJ105" s="1"/>
      <c r="JK105" s="1"/>
      <c r="JL105" s="1"/>
      <c r="JM105" s="1"/>
      <c r="JN105" s="1"/>
      <c r="JO105" s="1"/>
      <c r="JP105" s="1"/>
      <c r="JQ105" s="1"/>
      <c r="JR105" s="1"/>
      <c r="JS105" s="1"/>
      <c r="JT105" s="1"/>
      <c r="JU105" s="1"/>
      <c r="JV105" s="1"/>
      <c r="JW105" s="1"/>
      <c r="JX105" s="1"/>
      <c r="JY105" s="1"/>
      <c r="JZ105" s="1"/>
      <c r="KA105" s="1"/>
      <c r="KB105" s="1"/>
      <c r="KC105" s="1"/>
      <c r="KD105" s="1"/>
      <c r="KE105" s="1"/>
      <c r="KF105" s="1"/>
      <c r="KG105" s="1"/>
      <c r="KH105" s="1"/>
      <c r="KI105" s="1"/>
      <c r="KJ105" s="1"/>
      <c r="KK105" s="1"/>
      <c r="KL105" s="1"/>
      <c r="KM105" s="1"/>
      <c r="KN105" s="1"/>
      <c r="KO105" s="1"/>
      <c r="KP105" s="1"/>
      <c r="KQ105" s="1"/>
      <c r="KR105" s="1"/>
      <c r="KS105" s="1"/>
      <c r="KT105" s="1"/>
      <c r="KU105" s="1"/>
      <c r="KV105" s="1"/>
      <c r="KW105" s="1"/>
      <c r="KX105" s="1"/>
      <c r="KY105" s="1"/>
      <c r="KZ105" s="1"/>
      <c r="LA105" s="1"/>
      <c r="LB105" s="1"/>
      <c r="LC105" s="1"/>
      <c r="LD105" s="1"/>
      <c r="LE105" s="1"/>
      <c r="LF105" s="1"/>
      <c r="LG105" s="1"/>
      <c r="LH105" s="1"/>
      <c r="LI105" s="1"/>
      <c r="LJ105" s="1"/>
      <c r="LK105" s="1"/>
      <c r="LL105" s="1"/>
      <c r="LM105" s="1"/>
      <c r="LN105" s="1"/>
      <c r="LO105" s="1"/>
      <c r="LP105" s="1"/>
      <c r="LQ105" s="1"/>
      <c r="LR105" s="1"/>
      <c r="LS105" s="1"/>
    </row>
    <row r="106" spans="1:331" s="75" customFormat="1" x14ac:dyDescent="0.25">
      <c r="A106" s="75" t="s">
        <v>1245</v>
      </c>
      <c r="B106" s="75" t="s">
        <v>1245</v>
      </c>
      <c r="C106" s="1" t="s">
        <v>2071</v>
      </c>
      <c r="D106" s="75">
        <v>0</v>
      </c>
      <c r="H106" s="75" t="s">
        <v>1249</v>
      </c>
      <c r="I106" s="75" t="s">
        <v>1250</v>
      </c>
      <c r="J106" s="75" t="s">
        <v>1249</v>
      </c>
      <c r="K106" s="75" t="s">
        <v>1249</v>
      </c>
      <c r="L106" s="75">
        <v>0</v>
      </c>
      <c r="O106" s="75">
        <v>1</v>
      </c>
      <c r="P106" s="75" t="s">
        <v>1251</v>
      </c>
      <c r="Q106" s="1"/>
      <c r="R106" s="1" t="s">
        <v>456</v>
      </c>
      <c r="T106" s="75">
        <v>6</v>
      </c>
      <c r="V106" s="75">
        <v>6</v>
      </c>
      <c r="W106" s="75">
        <v>6</v>
      </c>
      <c r="X106" s="1">
        <v>10</v>
      </c>
      <c r="Y106" s="1" t="s">
        <v>2255</v>
      </c>
      <c r="Z106" s="75">
        <v>14</v>
      </c>
      <c r="AA106" s="75" t="b">
        <v>1</v>
      </c>
      <c r="AC106" s="78" t="s">
        <v>1438</v>
      </c>
    </row>
    <row r="107" spans="1:331" s="59" customFormat="1" x14ac:dyDescent="0.25">
      <c r="A107" s="59" t="s">
        <v>1246</v>
      </c>
      <c r="B107" s="59" t="s">
        <v>1246</v>
      </c>
      <c r="C107" s="1" t="s">
        <v>2071</v>
      </c>
      <c r="D107" s="59">
        <v>0</v>
      </c>
      <c r="H107" s="59" t="s">
        <v>124</v>
      </c>
      <c r="I107" s="59" t="s">
        <v>1252</v>
      </c>
      <c r="J107" s="59" t="s">
        <v>719</v>
      </c>
      <c r="K107" s="59" t="s">
        <v>2098</v>
      </c>
      <c r="L107" s="59">
        <v>1</v>
      </c>
      <c r="M107" s="59" t="s">
        <v>1253</v>
      </c>
      <c r="O107" s="59">
        <v>1</v>
      </c>
      <c r="Q107" s="1"/>
      <c r="R107" s="1" t="s">
        <v>703</v>
      </c>
      <c r="S107" s="59">
        <v>10</v>
      </c>
      <c r="T107" s="59">
        <v>5</v>
      </c>
      <c r="U107" s="59">
        <v>10</v>
      </c>
      <c r="V107" s="59">
        <v>7</v>
      </c>
      <c r="W107" s="1">
        <v>10</v>
      </c>
      <c r="X107" s="1">
        <v>11</v>
      </c>
      <c r="Y107" s="1" t="s">
        <v>2256</v>
      </c>
      <c r="Z107" s="59">
        <v>11</v>
      </c>
      <c r="AA107" s="1" t="b">
        <v>1</v>
      </c>
      <c r="AB107" s="1"/>
      <c r="AC107" s="57" t="s">
        <v>1391</v>
      </c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  <c r="IY107" s="1"/>
      <c r="IZ107" s="1"/>
      <c r="JA107" s="1"/>
      <c r="JB107" s="1"/>
      <c r="JC107" s="1"/>
      <c r="JD107" s="1"/>
      <c r="JE107" s="1"/>
      <c r="JF107" s="1"/>
      <c r="JG107" s="1"/>
      <c r="JH107" s="1"/>
      <c r="JI107" s="1"/>
      <c r="JJ107" s="1"/>
      <c r="JK107" s="1"/>
      <c r="JL107" s="1"/>
      <c r="JM107" s="1"/>
      <c r="JN107" s="1"/>
      <c r="JO107" s="1"/>
      <c r="JP107" s="1"/>
      <c r="JQ107" s="1"/>
      <c r="JR107" s="1"/>
      <c r="JS107" s="1"/>
      <c r="JT107" s="1"/>
      <c r="JU107" s="1"/>
      <c r="JV107" s="1"/>
      <c r="JW107" s="1"/>
      <c r="JX107" s="1"/>
      <c r="JY107" s="1"/>
      <c r="JZ107" s="1"/>
      <c r="KA107" s="1"/>
      <c r="KB107" s="1"/>
      <c r="KC107" s="1"/>
      <c r="KD107" s="1"/>
      <c r="KE107" s="1"/>
      <c r="KF107" s="1"/>
      <c r="KG107" s="1"/>
      <c r="KH107" s="1"/>
      <c r="KI107" s="1"/>
      <c r="KJ107" s="1"/>
      <c r="KK107" s="1"/>
      <c r="KL107" s="1"/>
      <c r="KM107" s="1"/>
      <c r="KN107" s="1"/>
      <c r="KO107" s="1"/>
      <c r="KP107" s="1"/>
      <c r="KQ107" s="1"/>
      <c r="KR107" s="1"/>
      <c r="KS107" s="1"/>
      <c r="KT107" s="1"/>
      <c r="KU107" s="1"/>
      <c r="KV107" s="1"/>
      <c r="KW107" s="1"/>
      <c r="KX107" s="1"/>
      <c r="KY107" s="1"/>
      <c r="KZ107" s="1"/>
      <c r="LA107" s="1"/>
      <c r="LB107" s="1"/>
      <c r="LC107" s="1"/>
      <c r="LD107" s="1"/>
      <c r="LE107" s="1"/>
      <c r="LF107" s="1"/>
      <c r="LG107" s="1"/>
      <c r="LH107" s="1"/>
      <c r="LI107" s="1"/>
      <c r="LJ107" s="1"/>
      <c r="LK107" s="1"/>
      <c r="LL107" s="1"/>
      <c r="LM107" s="1"/>
      <c r="LN107" s="1"/>
      <c r="LO107" s="1"/>
      <c r="LP107" s="1"/>
      <c r="LQ107" s="1"/>
      <c r="LR107" s="1"/>
      <c r="LS107" s="1"/>
    </row>
    <row r="108" spans="1:331" s="40" customFormat="1" x14ac:dyDescent="0.25">
      <c r="A108" s="40" t="s">
        <v>1247</v>
      </c>
      <c r="B108" s="40" t="s">
        <v>1247</v>
      </c>
      <c r="C108" s="1" t="s">
        <v>2071</v>
      </c>
      <c r="D108" s="40">
        <v>0</v>
      </c>
      <c r="H108" s="40" t="s">
        <v>1254</v>
      </c>
      <c r="I108" s="40" t="s">
        <v>229</v>
      </c>
      <c r="J108" s="81">
        <v>45650</v>
      </c>
      <c r="K108" s="81" t="s">
        <v>229</v>
      </c>
      <c r="L108" s="40">
        <v>0</v>
      </c>
      <c r="O108" s="40">
        <v>1</v>
      </c>
      <c r="P108" s="40" t="s">
        <v>225</v>
      </c>
      <c r="Q108" s="1" t="s">
        <v>1567</v>
      </c>
      <c r="R108" s="1"/>
      <c r="T108" s="40">
        <v>12</v>
      </c>
      <c r="V108" s="40">
        <v>16</v>
      </c>
      <c r="W108" s="1">
        <v>12</v>
      </c>
      <c r="X108" s="1">
        <v>18</v>
      </c>
      <c r="Y108" s="1" t="s">
        <v>2257</v>
      </c>
      <c r="Z108" s="40">
        <v>8</v>
      </c>
      <c r="AA108" s="1" t="b">
        <v>1</v>
      </c>
      <c r="AB108" s="1"/>
      <c r="AC108" s="57" t="s">
        <v>1659</v>
      </c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  <c r="IY108" s="1"/>
      <c r="IZ108" s="1"/>
      <c r="JA108" s="1"/>
      <c r="JB108" s="1"/>
      <c r="JC108" s="1"/>
      <c r="JD108" s="1"/>
      <c r="JE108" s="1"/>
      <c r="JF108" s="1"/>
      <c r="JG108" s="1"/>
      <c r="JH108" s="1"/>
      <c r="JI108" s="1"/>
      <c r="JJ108" s="1"/>
      <c r="JK108" s="1"/>
      <c r="JL108" s="1"/>
      <c r="JM108" s="1"/>
      <c r="JN108" s="1"/>
      <c r="JO108" s="1"/>
      <c r="JP108" s="1"/>
      <c r="JQ108" s="1"/>
      <c r="JR108" s="1"/>
      <c r="JS108" s="1"/>
      <c r="JT108" s="1"/>
      <c r="JU108" s="1"/>
      <c r="JV108" s="1"/>
      <c r="JW108" s="1"/>
      <c r="JX108" s="1"/>
      <c r="JY108" s="1"/>
      <c r="JZ108" s="1"/>
      <c r="KA108" s="1"/>
      <c r="KB108" s="1"/>
      <c r="KC108" s="1"/>
      <c r="KD108" s="1"/>
      <c r="KE108" s="1"/>
      <c r="KF108" s="1"/>
      <c r="KG108" s="1"/>
      <c r="KH108" s="1"/>
      <c r="KI108" s="1"/>
      <c r="KJ108" s="1"/>
      <c r="KK108" s="1"/>
      <c r="KL108" s="1"/>
      <c r="KM108" s="1"/>
      <c r="KN108" s="1"/>
      <c r="KO108" s="1"/>
      <c r="KP108" s="1"/>
      <c r="KQ108" s="1"/>
      <c r="KR108" s="1"/>
      <c r="KS108" s="1"/>
      <c r="KT108" s="1"/>
      <c r="KU108" s="1"/>
      <c r="KV108" s="1"/>
      <c r="KW108" s="1"/>
      <c r="KX108" s="1"/>
      <c r="KY108" s="1"/>
      <c r="KZ108" s="1"/>
      <c r="LA108" s="1"/>
      <c r="LB108" s="1"/>
      <c r="LC108" s="1"/>
      <c r="LD108" s="1"/>
      <c r="LE108" s="1"/>
      <c r="LF108" s="1"/>
      <c r="LG108" s="1"/>
      <c r="LH108" s="1"/>
      <c r="LI108" s="1"/>
      <c r="LJ108" s="1"/>
      <c r="LK108" s="1"/>
      <c r="LL108" s="1"/>
      <c r="LM108" s="1"/>
      <c r="LN108" s="1"/>
      <c r="LO108" s="1"/>
      <c r="LP108" s="1"/>
      <c r="LQ108" s="1"/>
      <c r="LR108" s="1"/>
      <c r="LS108" s="1"/>
    </row>
    <row r="109" spans="1:331" s="3" customFormat="1" x14ac:dyDescent="0.25">
      <c r="A109" s="3" t="s">
        <v>1248</v>
      </c>
      <c r="B109" s="5" t="s">
        <v>1248</v>
      </c>
      <c r="C109" s="13" t="s">
        <v>2071</v>
      </c>
      <c r="D109" s="3">
        <v>1</v>
      </c>
      <c r="E109" s="3" t="s">
        <v>1255</v>
      </c>
      <c r="I109" s="3" t="s">
        <v>1256</v>
      </c>
      <c r="J109" s="3" t="s">
        <v>693</v>
      </c>
      <c r="L109" s="3">
        <v>1</v>
      </c>
      <c r="M109" s="3" t="s">
        <v>141</v>
      </c>
      <c r="O109" s="3">
        <v>1</v>
      </c>
      <c r="Q109" s="1" t="s">
        <v>1568</v>
      </c>
      <c r="R109" s="1"/>
      <c r="T109" s="3">
        <v>17</v>
      </c>
      <c r="V109" s="3">
        <v>17</v>
      </c>
      <c r="W109" s="1">
        <v>17</v>
      </c>
      <c r="X109" s="1">
        <v>17</v>
      </c>
      <c r="Y109" s="1" t="s">
        <v>2258</v>
      </c>
      <c r="Z109" s="3">
        <v>1</v>
      </c>
      <c r="AA109" s="1" t="b">
        <v>1</v>
      </c>
      <c r="AB109" s="1"/>
      <c r="AC109" s="57" t="s">
        <v>1392</v>
      </c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/>
      <c r="JR109" s="1"/>
      <c r="JS109" s="1"/>
      <c r="JT109" s="1"/>
      <c r="JU109" s="1"/>
      <c r="JV109" s="1"/>
      <c r="JW109" s="1"/>
      <c r="JX109" s="1"/>
      <c r="JY109" s="1"/>
      <c r="JZ109" s="1"/>
      <c r="KA109" s="1"/>
      <c r="KB109" s="1"/>
      <c r="KC109" s="1"/>
      <c r="KD109" s="1"/>
      <c r="KE109" s="1"/>
      <c r="KF109" s="1"/>
      <c r="KG109" s="1"/>
      <c r="KH109" s="1"/>
      <c r="KI109" s="1"/>
      <c r="KJ109" s="1"/>
      <c r="KK109" s="1"/>
      <c r="KL109" s="1"/>
      <c r="KM109" s="1"/>
      <c r="KN109" s="1"/>
      <c r="KO109" s="1"/>
      <c r="KP109" s="1"/>
      <c r="KQ109" s="1"/>
      <c r="KR109" s="1"/>
      <c r="KS109" s="1"/>
      <c r="KT109" s="1"/>
      <c r="KU109" s="1"/>
      <c r="KV109" s="1"/>
      <c r="KW109" s="1"/>
      <c r="KX109" s="1"/>
      <c r="KY109" s="1"/>
      <c r="KZ109" s="1"/>
      <c r="LA109" s="1"/>
      <c r="LB109" s="1"/>
      <c r="LC109" s="1"/>
      <c r="LD109" s="1"/>
      <c r="LE109" s="1"/>
      <c r="LF109" s="1"/>
      <c r="LG109" s="1"/>
      <c r="LH109" s="1"/>
      <c r="LI109" s="1"/>
      <c r="LJ109" s="1"/>
      <c r="LK109" s="1"/>
      <c r="LL109" s="1"/>
      <c r="LM109" s="1"/>
      <c r="LN109" s="1"/>
      <c r="LO109" s="1"/>
      <c r="LP109" s="1"/>
      <c r="LQ109" s="1"/>
      <c r="LR109" s="1"/>
      <c r="LS109" s="1"/>
    </row>
    <row r="110" spans="1:331" s="35" customFormat="1" x14ac:dyDescent="0.25">
      <c r="A110" s="35" t="s">
        <v>1500</v>
      </c>
      <c r="B110" s="35" t="s">
        <v>1500</v>
      </c>
      <c r="C110" s="1" t="s">
        <v>2071</v>
      </c>
      <c r="D110" s="35">
        <v>2</v>
      </c>
      <c r="E110" s="35" t="s">
        <v>1501</v>
      </c>
      <c r="F110" s="35" t="s">
        <v>1501</v>
      </c>
      <c r="H110" s="35" t="s">
        <v>1501</v>
      </c>
      <c r="I110" s="35" t="s">
        <v>1501</v>
      </c>
      <c r="J110" s="35" t="s">
        <v>1502</v>
      </c>
      <c r="K110" s="35" t="s">
        <v>1501</v>
      </c>
      <c r="L110" s="35">
        <v>0</v>
      </c>
      <c r="P110" s="35" t="s">
        <v>1502</v>
      </c>
      <c r="Q110" s="1" t="s">
        <v>1569</v>
      </c>
      <c r="R110" s="1"/>
      <c r="T110" s="35">
        <v>11</v>
      </c>
      <c r="V110" s="35">
        <v>12</v>
      </c>
      <c r="W110" s="35">
        <v>12</v>
      </c>
      <c r="X110" s="1">
        <v>11</v>
      </c>
      <c r="Y110" s="1" t="s">
        <v>2259</v>
      </c>
      <c r="Z110" s="35">
        <v>7</v>
      </c>
      <c r="AA110" s="35" t="b">
        <v>1</v>
      </c>
      <c r="AC110" s="38" t="s">
        <v>1424</v>
      </c>
    </row>
    <row r="111" spans="1:331" s="75" customFormat="1" x14ac:dyDescent="0.25">
      <c r="A111" s="75" t="s">
        <v>1662</v>
      </c>
      <c r="B111" s="75" t="s">
        <v>1662</v>
      </c>
      <c r="C111" s="1" t="s">
        <v>2071</v>
      </c>
      <c r="D111" s="75">
        <v>0</v>
      </c>
      <c r="H111" s="75" t="s">
        <v>1568</v>
      </c>
      <c r="I111" s="75" t="s">
        <v>142</v>
      </c>
      <c r="J111" s="75" t="s">
        <v>1568</v>
      </c>
      <c r="K111" s="75" t="s">
        <v>693</v>
      </c>
      <c r="L111" s="75">
        <v>0</v>
      </c>
      <c r="O111" s="75">
        <v>1</v>
      </c>
      <c r="P111" s="75" t="s">
        <v>1568</v>
      </c>
      <c r="Q111" s="1" t="s">
        <v>1663</v>
      </c>
      <c r="R111" s="1"/>
      <c r="X111" s="1"/>
      <c r="Y111" s="1"/>
      <c r="Z111" s="75">
        <v>14</v>
      </c>
      <c r="AA111" s="75" t="b">
        <v>0</v>
      </c>
      <c r="AC111" s="78" t="s">
        <v>1666</v>
      </c>
    </row>
    <row r="112" spans="1:331" s="75" customFormat="1" x14ac:dyDescent="0.25">
      <c r="A112" s="75" t="s">
        <v>1664</v>
      </c>
      <c r="B112" s="75" t="s">
        <v>1664</v>
      </c>
      <c r="C112" s="75" t="s">
        <v>2071</v>
      </c>
      <c r="D112" s="75">
        <v>0</v>
      </c>
      <c r="H112" s="75" t="s">
        <v>2099</v>
      </c>
      <c r="I112" s="75" t="s">
        <v>2099</v>
      </c>
      <c r="J112" s="75" t="s">
        <v>2525</v>
      </c>
      <c r="K112" s="75" t="s">
        <v>2099</v>
      </c>
      <c r="L112" s="75">
        <v>0</v>
      </c>
      <c r="O112" s="75">
        <v>1</v>
      </c>
      <c r="P112" s="75" t="s">
        <v>2525</v>
      </c>
      <c r="Q112" s="1" t="s">
        <v>2526</v>
      </c>
      <c r="R112" s="1"/>
      <c r="T112" s="75">
        <v>8</v>
      </c>
      <c r="W112" s="75">
        <v>8</v>
      </c>
      <c r="Z112" s="75">
        <v>14</v>
      </c>
      <c r="AA112" s="75" t="b">
        <v>1</v>
      </c>
      <c r="AC112" s="78" t="s">
        <v>1312</v>
      </c>
      <c r="AD112" s="75" t="b">
        <v>1</v>
      </c>
    </row>
    <row r="113" spans="1:331" s="49" customFormat="1" x14ac:dyDescent="0.25">
      <c r="A113" s="49" t="s">
        <v>1665</v>
      </c>
      <c r="B113" s="49" t="s">
        <v>1665</v>
      </c>
      <c r="C113" s="49" t="s">
        <v>2071</v>
      </c>
      <c r="D113" s="49">
        <v>0</v>
      </c>
      <c r="H113" s="49" t="s">
        <v>2527</v>
      </c>
      <c r="I113" s="49" t="s">
        <v>1505</v>
      </c>
      <c r="J113" s="49" t="s">
        <v>2527</v>
      </c>
      <c r="K113" s="49" t="s">
        <v>1588</v>
      </c>
      <c r="L113" s="49">
        <v>0</v>
      </c>
      <c r="O113" s="49">
        <v>1</v>
      </c>
      <c r="Q113" s="1" t="s">
        <v>730</v>
      </c>
      <c r="R113" s="1"/>
      <c r="S113" s="49">
        <v>14</v>
      </c>
      <c r="T113" s="49">
        <v>14</v>
      </c>
      <c r="V113" s="49">
        <v>9</v>
      </c>
      <c r="W113" s="49">
        <v>14</v>
      </c>
      <c r="Z113" s="49">
        <v>9</v>
      </c>
      <c r="AA113" s="49" t="b">
        <v>1</v>
      </c>
      <c r="AC113" s="50" t="s">
        <v>2577</v>
      </c>
      <c r="AD113" s="49" t="b">
        <v>1</v>
      </c>
    </row>
    <row r="114" spans="1:331" s="35" customFormat="1" x14ac:dyDescent="0.25">
      <c r="A114" s="35" t="s">
        <v>469</v>
      </c>
      <c r="B114" s="35" t="s">
        <v>470</v>
      </c>
      <c r="C114" s="1" t="s">
        <v>2072</v>
      </c>
      <c r="D114" s="35">
        <v>3</v>
      </c>
      <c r="E114" s="35" t="s">
        <v>471</v>
      </c>
      <c r="F114" s="35" t="s">
        <v>471</v>
      </c>
      <c r="G114" s="35" t="s">
        <v>471</v>
      </c>
      <c r="H114" s="35" t="s">
        <v>471</v>
      </c>
      <c r="I114" s="35" t="s">
        <v>471</v>
      </c>
      <c r="J114" s="35" t="s">
        <v>471</v>
      </c>
      <c r="K114" s="35" t="s">
        <v>471</v>
      </c>
      <c r="L114" s="35">
        <v>0</v>
      </c>
      <c r="O114" s="35">
        <v>1</v>
      </c>
      <c r="Q114" s="1"/>
      <c r="R114" s="1" t="s">
        <v>472</v>
      </c>
      <c r="T114" s="35">
        <v>30</v>
      </c>
      <c r="W114" s="1">
        <v>30</v>
      </c>
      <c r="X114" s="1">
        <v>22</v>
      </c>
      <c r="Y114" s="1" t="s">
        <v>2260</v>
      </c>
      <c r="Z114" s="35">
        <v>7</v>
      </c>
      <c r="AA114" s="1" t="b">
        <v>1</v>
      </c>
      <c r="AB114" s="1"/>
      <c r="AC114" s="57" t="s">
        <v>2143</v>
      </c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  <c r="IY114" s="1"/>
      <c r="IZ114" s="1"/>
      <c r="JA114" s="1"/>
      <c r="JB114" s="1"/>
      <c r="JC114" s="1"/>
      <c r="JD114" s="1"/>
      <c r="JE114" s="1"/>
      <c r="JF114" s="1"/>
      <c r="JG114" s="1"/>
      <c r="JH114" s="1"/>
      <c r="JI114" s="1"/>
      <c r="JJ114" s="1"/>
      <c r="JK114" s="1"/>
      <c r="JL114" s="1"/>
      <c r="JM114" s="1"/>
      <c r="JN114" s="1"/>
      <c r="JO114" s="1"/>
      <c r="JP114" s="1"/>
      <c r="JQ114" s="1"/>
      <c r="JR114" s="1"/>
      <c r="JS114" s="1"/>
      <c r="JT114" s="1"/>
      <c r="JU114" s="1"/>
      <c r="JV114" s="1"/>
      <c r="JW114" s="1"/>
      <c r="JX114" s="1"/>
      <c r="JY114" s="1"/>
      <c r="JZ114" s="1"/>
      <c r="KA114" s="1"/>
      <c r="KB114" s="1"/>
      <c r="KC114" s="1"/>
      <c r="KD114" s="1"/>
      <c r="KE114" s="1"/>
      <c r="KF114" s="1"/>
      <c r="KG114" s="1"/>
      <c r="KH114" s="1"/>
      <c r="KI114" s="1"/>
      <c r="KJ114" s="1"/>
      <c r="KK114" s="1"/>
      <c r="KL114" s="1"/>
      <c r="KM114" s="1"/>
      <c r="KN114" s="1"/>
      <c r="KO114" s="1"/>
      <c r="KP114" s="1"/>
      <c r="KQ114" s="1"/>
      <c r="KR114" s="1"/>
      <c r="KS114" s="1"/>
      <c r="KT114" s="1"/>
      <c r="KU114" s="1"/>
      <c r="KV114" s="1"/>
      <c r="KW114" s="1"/>
      <c r="KX114" s="1"/>
      <c r="KY114" s="1"/>
      <c r="KZ114" s="1"/>
      <c r="LA114" s="1"/>
      <c r="LB114" s="1"/>
      <c r="LC114" s="1"/>
      <c r="LD114" s="1"/>
      <c r="LE114" s="1"/>
      <c r="LF114" s="1"/>
      <c r="LG114" s="1"/>
      <c r="LH114" s="1"/>
      <c r="LI114" s="1"/>
      <c r="LJ114" s="1"/>
      <c r="LK114" s="1"/>
      <c r="LL114" s="1"/>
      <c r="LM114" s="1"/>
      <c r="LN114" s="1"/>
      <c r="LO114" s="1"/>
      <c r="LP114" s="1"/>
      <c r="LQ114" s="1"/>
      <c r="LR114" s="1"/>
      <c r="LS114" s="1"/>
    </row>
    <row r="115" spans="1:331" s="30" customFormat="1" x14ac:dyDescent="0.25">
      <c r="A115" s="30" t="s">
        <v>473</v>
      </c>
      <c r="B115" s="30" t="s">
        <v>474</v>
      </c>
      <c r="C115" s="1" t="s">
        <v>2072</v>
      </c>
      <c r="D115" s="30">
        <v>1</v>
      </c>
      <c r="E115" s="30" t="s">
        <v>475</v>
      </c>
      <c r="H115" s="30" t="s">
        <v>476</v>
      </c>
      <c r="I115" s="30" t="s">
        <v>475</v>
      </c>
      <c r="J115" s="30" t="s">
        <v>476</v>
      </c>
      <c r="K115" s="30" t="s">
        <v>2100</v>
      </c>
      <c r="L115" s="30">
        <v>0</v>
      </c>
      <c r="O115" s="30">
        <v>0</v>
      </c>
      <c r="Q115" s="1" t="s">
        <v>62</v>
      </c>
      <c r="R115" s="1"/>
      <c r="T115" s="30">
        <v>15</v>
      </c>
      <c r="V115" s="30">
        <v>15</v>
      </c>
      <c r="W115" s="1">
        <v>15</v>
      </c>
      <c r="X115" s="1">
        <v>16</v>
      </c>
      <c r="Y115" s="1" t="s">
        <v>2261</v>
      </c>
      <c r="Z115" s="30">
        <v>6</v>
      </c>
      <c r="AA115" s="1" t="b">
        <v>1</v>
      </c>
      <c r="AB115" s="1"/>
      <c r="AC115" s="57" t="s">
        <v>1478</v>
      </c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  <c r="IY115" s="1"/>
      <c r="IZ115" s="1"/>
      <c r="JA115" s="1"/>
      <c r="JB115" s="1"/>
      <c r="JC115" s="1"/>
      <c r="JD115" s="1"/>
      <c r="JE115" s="1"/>
      <c r="JF115" s="1"/>
      <c r="JG115" s="1"/>
      <c r="JH115" s="1"/>
      <c r="JI115" s="1"/>
      <c r="JJ115" s="1"/>
      <c r="JK115" s="1"/>
      <c r="JL115" s="1"/>
      <c r="JM115" s="1"/>
      <c r="JN115" s="1"/>
      <c r="JO115" s="1"/>
      <c r="JP115" s="1"/>
      <c r="JQ115" s="1"/>
      <c r="JR115" s="1"/>
      <c r="JS115" s="1"/>
      <c r="JT115" s="1"/>
      <c r="JU115" s="1"/>
      <c r="JV115" s="1"/>
      <c r="JW115" s="1"/>
      <c r="JX115" s="1"/>
      <c r="JY115" s="1"/>
      <c r="JZ115" s="1"/>
      <c r="KA115" s="1"/>
      <c r="KB115" s="1"/>
      <c r="KC115" s="1"/>
      <c r="KD115" s="1"/>
      <c r="KE115" s="1"/>
      <c r="KF115" s="1"/>
      <c r="KG115" s="1"/>
      <c r="KH115" s="1"/>
      <c r="KI115" s="1"/>
      <c r="KJ115" s="1"/>
      <c r="KK115" s="1"/>
      <c r="KL115" s="1"/>
      <c r="KM115" s="1"/>
      <c r="KN115" s="1"/>
      <c r="KO115" s="1"/>
      <c r="KP115" s="1"/>
      <c r="KQ115" s="1"/>
      <c r="KR115" s="1"/>
      <c r="KS115" s="1"/>
      <c r="KT115" s="1"/>
      <c r="KU115" s="1"/>
      <c r="KV115" s="1"/>
      <c r="KW115" s="1"/>
      <c r="KX115" s="1"/>
      <c r="KY115" s="1"/>
      <c r="KZ115" s="1"/>
      <c r="LA115" s="1"/>
      <c r="LB115" s="1"/>
      <c r="LC115" s="1"/>
      <c r="LD115" s="1"/>
      <c r="LE115" s="1"/>
      <c r="LF115" s="1"/>
      <c r="LG115" s="1"/>
      <c r="LH115" s="1"/>
      <c r="LI115" s="1"/>
      <c r="LJ115" s="1"/>
      <c r="LK115" s="1"/>
      <c r="LL115" s="1"/>
      <c r="LM115" s="1"/>
      <c r="LN115" s="1"/>
      <c r="LO115" s="1"/>
      <c r="LP115" s="1"/>
      <c r="LQ115" s="1"/>
      <c r="LR115" s="1"/>
      <c r="LS115" s="1"/>
    </row>
    <row r="116" spans="1:331" s="30" customFormat="1" x14ac:dyDescent="0.25">
      <c r="A116" s="30" t="s">
        <v>477</v>
      </c>
      <c r="B116" s="30" t="s">
        <v>478</v>
      </c>
      <c r="C116" s="1" t="s">
        <v>2072</v>
      </c>
      <c r="D116" s="30">
        <v>3</v>
      </c>
      <c r="E116" s="30" t="s">
        <v>479</v>
      </c>
      <c r="F116" s="30" t="s">
        <v>479</v>
      </c>
      <c r="G116" s="30" t="s">
        <v>479</v>
      </c>
      <c r="H116" s="30" t="s">
        <v>480</v>
      </c>
      <c r="I116" s="30" t="s">
        <v>481</v>
      </c>
      <c r="J116" s="30" t="s">
        <v>482</v>
      </c>
      <c r="K116" s="30" t="s">
        <v>480</v>
      </c>
      <c r="L116" s="30">
        <v>0</v>
      </c>
      <c r="O116" s="30">
        <v>1</v>
      </c>
      <c r="Q116" s="1" t="s">
        <v>485</v>
      </c>
      <c r="R116" s="1"/>
      <c r="V116" s="30">
        <v>17</v>
      </c>
      <c r="W116" s="1">
        <v>17</v>
      </c>
      <c r="X116" s="1">
        <v>23</v>
      </c>
      <c r="Y116" s="1" t="s">
        <v>2262</v>
      </c>
      <c r="Z116" s="30">
        <v>6</v>
      </c>
      <c r="AA116" s="1" t="b">
        <v>1</v>
      </c>
      <c r="AB116" s="1"/>
      <c r="AC116" s="57" t="s">
        <v>1294</v>
      </c>
      <c r="AD116" s="1" t="b">
        <v>1</v>
      </c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  <c r="IY116" s="1"/>
      <c r="IZ116" s="1"/>
      <c r="JA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O116" s="1"/>
      <c r="JP116" s="1"/>
      <c r="JQ116" s="1"/>
      <c r="JR116" s="1"/>
      <c r="JS116" s="1"/>
      <c r="JT116" s="1"/>
      <c r="JU116" s="1"/>
      <c r="JV116" s="1"/>
      <c r="JW116" s="1"/>
      <c r="JX116" s="1"/>
      <c r="JY116" s="1"/>
      <c r="JZ116" s="1"/>
      <c r="KA116" s="1"/>
      <c r="KB116" s="1"/>
      <c r="KC116" s="1"/>
      <c r="KD116" s="1"/>
      <c r="KE116" s="1"/>
      <c r="KF116" s="1"/>
      <c r="KG116" s="1"/>
      <c r="KH116" s="1"/>
      <c r="KI116" s="1"/>
      <c r="KJ116" s="1"/>
      <c r="KK116" s="1"/>
      <c r="KL116" s="1"/>
      <c r="KM116" s="1"/>
      <c r="KN116" s="1"/>
      <c r="KO116" s="1"/>
      <c r="KP116" s="1"/>
      <c r="KQ116" s="1"/>
      <c r="KR116" s="1"/>
      <c r="KS116" s="1"/>
      <c r="KT116" s="1"/>
      <c r="KU116" s="1"/>
      <c r="KV116" s="1"/>
      <c r="KW116" s="1"/>
      <c r="KX116" s="1"/>
      <c r="KY116" s="1"/>
      <c r="KZ116" s="1"/>
      <c r="LA116" s="1"/>
      <c r="LB116" s="1"/>
      <c r="LC116" s="1"/>
      <c r="LD116" s="1"/>
      <c r="LE116" s="1"/>
      <c r="LF116" s="1"/>
      <c r="LG116" s="1"/>
      <c r="LH116" s="1"/>
      <c r="LI116" s="1"/>
      <c r="LJ116" s="1"/>
      <c r="LK116" s="1"/>
      <c r="LL116" s="1"/>
      <c r="LM116" s="1"/>
      <c r="LN116" s="1"/>
      <c r="LO116" s="1"/>
      <c r="LP116" s="1"/>
      <c r="LQ116" s="1"/>
      <c r="LR116" s="1"/>
      <c r="LS116" s="1"/>
    </row>
    <row r="117" spans="1:331" s="17" customFormat="1" x14ac:dyDescent="0.25">
      <c r="A117" s="17" t="s">
        <v>483</v>
      </c>
      <c r="B117" s="21" t="s">
        <v>484</v>
      </c>
      <c r="C117" s="13" t="s">
        <v>2072</v>
      </c>
      <c r="D117" s="17">
        <v>1</v>
      </c>
      <c r="E117" s="17" t="s">
        <v>485</v>
      </c>
      <c r="H117" s="17" t="s">
        <v>485</v>
      </c>
      <c r="I117" s="17" t="s">
        <v>423</v>
      </c>
      <c r="J117" s="17" t="s">
        <v>425</v>
      </c>
      <c r="K117" s="17" t="s">
        <v>485</v>
      </c>
      <c r="L117" s="17">
        <v>1</v>
      </c>
      <c r="M117" s="17" t="s">
        <v>486</v>
      </c>
      <c r="O117" s="17">
        <v>1</v>
      </c>
      <c r="Q117" s="1" t="s">
        <v>486</v>
      </c>
      <c r="R117" s="1"/>
      <c r="S117" s="17">
        <v>12</v>
      </c>
      <c r="T117" s="17">
        <v>4</v>
      </c>
      <c r="U117" s="17">
        <v>14</v>
      </c>
      <c r="V117" s="17">
        <v>4</v>
      </c>
      <c r="W117" s="1">
        <v>12</v>
      </c>
      <c r="X117" s="1">
        <v>11</v>
      </c>
      <c r="Y117" s="1" t="s">
        <v>2263</v>
      </c>
      <c r="Z117" s="17">
        <v>3</v>
      </c>
      <c r="AA117" s="1" t="b">
        <v>1</v>
      </c>
      <c r="AB117" s="1"/>
      <c r="AC117" s="57" t="s">
        <v>1412</v>
      </c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  <c r="IY117" s="1"/>
      <c r="IZ117" s="1"/>
      <c r="JA117" s="1"/>
      <c r="JB117" s="1"/>
      <c r="JC117" s="1"/>
      <c r="JD117" s="1"/>
      <c r="JE117" s="1"/>
      <c r="JF117" s="1"/>
      <c r="JG117" s="1"/>
      <c r="JH117" s="1"/>
      <c r="JI117" s="1"/>
      <c r="JJ117" s="1"/>
      <c r="JK117" s="1"/>
      <c r="JL117" s="1"/>
      <c r="JM117" s="1"/>
      <c r="JN117" s="1"/>
      <c r="JO117" s="1"/>
      <c r="JP117" s="1"/>
      <c r="JQ117" s="1"/>
      <c r="JR117" s="1"/>
      <c r="JS117" s="1"/>
      <c r="JT117" s="1"/>
      <c r="JU117" s="1"/>
      <c r="JV117" s="1"/>
      <c r="JW117" s="1"/>
      <c r="JX117" s="1"/>
      <c r="JY117" s="1"/>
      <c r="JZ117" s="1"/>
      <c r="KA117" s="1"/>
      <c r="KB117" s="1"/>
      <c r="KC117" s="1"/>
      <c r="KD117" s="1"/>
      <c r="KE117" s="1"/>
      <c r="KF117" s="1"/>
      <c r="KG117" s="1"/>
      <c r="KH117" s="1"/>
      <c r="KI117" s="1"/>
      <c r="KJ117" s="1"/>
      <c r="KK117" s="1"/>
      <c r="KL117" s="1"/>
      <c r="KM117" s="1"/>
      <c r="KN117" s="1"/>
      <c r="KO117" s="1"/>
      <c r="KP117" s="1"/>
      <c r="KQ117" s="1"/>
      <c r="KR117" s="1"/>
      <c r="KS117" s="1"/>
      <c r="KT117" s="1"/>
      <c r="KU117" s="1"/>
      <c r="KV117" s="1"/>
      <c r="KW117" s="1"/>
      <c r="KX117" s="1"/>
      <c r="KY117" s="1"/>
      <c r="KZ117" s="1"/>
      <c r="LA117" s="1"/>
      <c r="LB117" s="1"/>
      <c r="LC117" s="1"/>
      <c r="LD117" s="1"/>
      <c r="LE117" s="1"/>
      <c r="LF117" s="1"/>
      <c r="LG117" s="1"/>
      <c r="LH117" s="1"/>
      <c r="LI117" s="1"/>
      <c r="LJ117" s="1"/>
      <c r="LK117" s="1"/>
      <c r="LL117" s="1"/>
      <c r="LM117" s="1"/>
      <c r="LN117" s="1"/>
      <c r="LO117" s="1"/>
      <c r="LP117" s="1"/>
      <c r="LQ117" s="1"/>
      <c r="LR117" s="1"/>
      <c r="LS117" s="1"/>
    </row>
    <row r="118" spans="1:331" s="25" customFormat="1" x14ac:dyDescent="0.25">
      <c r="A118" s="25" t="s">
        <v>487</v>
      </c>
      <c r="B118" s="25" t="s">
        <v>488</v>
      </c>
      <c r="C118" s="1" t="s">
        <v>2072</v>
      </c>
      <c r="D118" s="25">
        <v>0</v>
      </c>
      <c r="H118" s="25" t="s">
        <v>489</v>
      </c>
      <c r="I118" s="25" t="s">
        <v>480</v>
      </c>
      <c r="J118" s="25" t="s">
        <v>489</v>
      </c>
      <c r="K118" s="25" t="s">
        <v>479</v>
      </c>
      <c r="L118" s="25">
        <v>0</v>
      </c>
      <c r="O118" s="25">
        <v>0</v>
      </c>
      <c r="Q118" s="1" t="s">
        <v>423</v>
      </c>
      <c r="R118" s="1"/>
      <c r="T118" s="25">
        <v>6</v>
      </c>
      <c r="V118" s="25">
        <v>5</v>
      </c>
      <c r="W118" s="1">
        <v>6</v>
      </c>
      <c r="X118" s="1">
        <v>15</v>
      </c>
      <c r="Y118" s="1" t="s">
        <v>2264</v>
      </c>
      <c r="Z118" s="25">
        <v>5</v>
      </c>
      <c r="AA118" s="1" t="b">
        <v>1</v>
      </c>
      <c r="AB118" s="1"/>
      <c r="AC118" s="57" t="s">
        <v>1295</v>
      </c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  <c r="IY118" s="1"/>
      <c r="IZ118" s="1"/>
      <c r="JA118" s="1"/>
      <c r="JB118" s="1"/>
      <c r="JC118" s="1"/>
      <c r="JD118" s="1"/>
      <c r="JE118" s="1"/>
      <c r="JF118" s="1"/>
      <c r="JG118" s="1"/>
      <c r="JH118" s="1"/>
      <c r="JI118" s="1"/>
      <c r="JJ118" s="1"/>
      <c r="JK118" s="1"/>
      <c r="JL118" s="1"/>
      <c r="JM118" s="1"/>
      <c r="JN118" s="1"/>
      <c r="JO118" s="1"/>
      <c r="JP118" s="1"/>
      <c r="JQ118" s="1"/>
      <c r="JR118" s="1"/>
      <c r="JS118" s="1"/>
      <c r="JT118" s="1"/>
      <c r="JU118" s="1"/>
      <c r="JV118" s="1"/>
      <c r="JW118" s="1"/>
      <c r="JX118" s="1"/>
      <c r="JY118" s="1"/>
      <c r="JZ118" s="1"/>
      <c r="KA118" s="1"/>
      <c r="KB118" s="1"/>
      <c r="KC118" s="1"/>
      <c r="KD118" s="1"/>
      <c r="KE118" s="1"/>
      <c r="KF118" s="1"/>
      <c r="KG118" s="1"/>
      <c r="KH118" s="1"/>
      <c r="KI118" s="1"/>
      <c r="KJ118" s="1"/>
      <c r="KK118" s="1"/>
      <c r="KL118" s="1"/>
      <c r="KM118" s="1"/>
      <c r="KN118" s="1"/>
      <c r="KO118" s="1"/>
      <c r="KP118" s="1"/>
      <c r="KQ118" s="1"/>
      <c r="KR118" s="1"/>
      <c r="KS118" s="1"/>
      <c r="KT118" s="1"/>
      <c r="KU118" s="1"/>
      <c r="KV118" s="1"/>
      <c r="KW118" s="1"/>
      <c r="KX118" s="1"/>
      <c r="KY118" s="1"/>
      <c r="KZ118" s="1"/>
      <c r="LA118" s="1"/>
      <c r="LB118" s="1"/>
      <c r="LC118" s="1"/>
      <c r="LD118" s="1"/>
      <c r="LE118" s="1"/>
      <c r="LF118" s="1"/>
      <c r="LG118" s="1"/>
      <c r="LH118" s="1"/>
      <c r="LI118" s="1"/>
      <c r="LJ118" s="1"/>
      <c r="LK118" s="1"/>
      <c r="LL118" s="1"/>
      <c r="LM118" s="1"/>
      <c r="LN118" s="1"/>
      <c r="LO118" s="1"/>
      <c r="LP118" s="1"/>
      <c r="LQ118" s="1"/>
      <c r="LR118" s="1"/>
      <c r="LS118" s="1"/>
    </row>
    <row r="119" spans="1:331" s="17" customFormat="1" x14ac:dyDescent="0.25">
      <c r="A119" s="17" t="s">
        <v>490</v>
      </c>
      <c r="B119" s="21" t="s">
        <v>491</v>
      </c>
      <c r="C119" s="13" t="s">
        <v>2072</v>
      </c>
      <c r="D119" s="17">
        <v>3</v>
      </c>
      <c r="E119" s="17" t="s">
        <v>414</v>
      </c>
      <c r="F119" s="17" t="s">
        <v>414</v>
      </c>
      <c r="G119" s="17" t="s">
        <v>414</v>
      </c>
      <c r="H119" s="17" t="s">
        <v>414</v>
      </c>
      <c r="I119" s="17" t="s">
        <v>414</v>
      </c>
      <c r="J119" s="17" t="s">
        <v>414</v>
      </c>
      <c r="K119" s="17" t="s">
        <v>414</v>
      </c>
      <c r="L119" s="17">
        <v>1</v>
      </c>
      <c r="M119" s="17" t="s">
        <v>492</v>
      </c>
      <c r="O119" s="17">
        <v>1</v>
      </c>
      <c r="Q119" s="1"/>
      <c r="R119" s="1" t="s">
        <v>492</v>
      </c>
      <c r="U119" s="17">
        <v>15</v>
      </c>
      <c r="V119" s="17">
        <v>18</v>
      </c>
      <c r="W119" s="1">
        <v>18</v>
      </c>
      <c r="X119" s="1">
        <v>18</v>
      </c>
      <c r="Y119" s="1" t="s">
        <v>2265</v>
      </c>
      <c r="Z119" s="17">
        <v>3</v>
      </c>
      <c r="AA119" s="1" t="b">
        <v>1</v>
      </c>
      <c r="AB119" s="1"/>
      <c r="AC119" s="57" t="s">
        <v>2144</v>
      </c>
      <c r="AD119" s="1" t="b">
        <v>1</v>
      </c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  <c r="IY119" s="1"/>
      <c r="IZ119" s="1"/>
      <c r="JA119" s="1"/>
      <c r="JB119" s="1"/>
      <c r="JC119" s="1"/>
      <c r="JD119" s="1"/>
      <c r="JE119" s="1"/>
      <c r="JF119" s="1"/>
      <c r="JG119" s="1"/>
      <c r="JH119" s="1"/>
      <c r="JI119" s="1"/>
      <c r="JJ119" s="1"/>
      <c r="JK119" s="1"/>
      <c r="JL119" s="1"/>
      <c r="JM119" s="1"/>
      <c r="JN119" s="1"/>
      <c r="JO119" s="1"/>
      <c r="JP119" s="1"/>
      <c r="JQ119" s="1"/>
      <c r="JR119" s="1"/>
      <c r="JS119" s="1"/>
      <c r="JT119" s="1"/>
      <c r="JU119" s="1"/>
      <c r="JV119" s="1"/>
      <c r="JW119" s="1"/>
      <c r="JX119" s="1"/>
      <c r="JY119" s="1"/>
      <c r="JZ119" s="1"/>
      <c r="KA119" s="1"/>
      <c r="KB119" s="1"/>
      <c r="KC119" s="1"/>
      <c r="KD119" s="1"/>
      <c r="KE119" s="1"/>
      <c r="KF119" s="1"/>
      <c r="KG119" s="1"/>
      <c r="KH119" s="1"/>
      <c r="KI119" s="1"/>
      <c r="KJ119" s="1"/>
      <c r="KK119" s="1"/>
      <c r="KL119" s="1"/>
      <c r="KM119" s="1"/>
      <c r="KN119" s="1"/>
      <c r="KO119" s="1"/>
      <c r="KP119" s="1"/>
      <c r="KQ119" s="1"/>
      <c r="KR119" s="1"/>
      <c r="KS119" s="1"/>
      <c r="KT119" s="1"/>
      <c r="KU119" s="1"/>
      <c r="KV119" s="1"/>
      <c r="KW119" s="1"/>
      <c r="KX119" s="1"/>
      <c r="KY119" s="1"/>
      <c r="KZ119" s="1"/>
      <c r="LA119" s="1"/>
      <c r="LB119" s="1"/>
      <c r="LC119" s="1"/>
      <c r="LD119" s="1"/>
      <c r="LE119" s="1"/>
      <c r="LF119" s="1"/>
      <c r="LG119" s="1"/>
      <c r="LH119" s="1"/>
      <c r="LI119" s="1"/>
      <c r="LJ119" s="1"/>
      <c r="LK119" s="1"/>
      <c r="LL119" s="1"/>
      <c r="LM119" s="1"/>
      <c r="LN119" s="1"/>
      <c r="LO119" s="1"/>
      <c r="LP119" s="1"/>
      <c r="LQ119" s="1"/>
      <c r="LR119" s="1"/>
      <c r="LS119" s="1"/>
    </row>
    <row r="120" spans="1:331" s="30" customFormat="1" x14ac:dyDescent="0.25">
      <c r="A120" s="30" t="s">
        <v>493</v>
      </c>
      <c r="B120" s="30" t="s">
        <v>494</v>
      </c>
      <c r="C120" s="1" t="s">
        <v>2072</v>
      </c>
      <c r="D120" s="30">
        <v>2</v>
      </c>
      <c r="E120" s="30" t="s">
        <v>495</v>
      </c>
      <c r="F120" s="30" t="s">
        <v>495</v>
      </c>
      <c r="H120" s="30" t="s">
        <v>496</v>
      </c>
      <c r="I120" s="30" t="s">
        <v>495</v>
      </c>
      <c r="J120" s="30" t="s">
        <v>496</v>
      </c>
      <c r="K120" s="30" t="s">
        <v>2101</v>
      </c>
      <c r="L120" s="30">
        <v>0</v>
      </c>
      <c r="O120" s="30">
        <v>0</v>
      </c>
      <c r="Q120" s="1" t="s">
        <v>412</v>
      </c>
      <c r="R120" s="1"/>
      <c r="S120" s="30">
        <v>7</v>
      </c>
      <c r="U120" s="30">
        <v>10</v>
      </c>
      <c r="W120" s="1">
        <v>7</v>
      </c>
      <c r="X120" s="1">
        <v>17</v>
      </c>
      <c r="Y120" s="1" t="s">
        <v>2266</v>
      </c>
      <c r="Z120" s="30">
        <v>6</v>
      </c>
      <c r="AA120" s="1" t="b">
        <v>1</v>
      </c>
      <c r="AB120" s="1"/>
      <c r="AC120" s="57" t="s">
        <v>1440</v>
      </c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  <c r="IY120" s="1"/>
      <c r="IZ120" s="1"/>
      <c r="JA120" s="1"/>
      <c r="JB120" s="1"/>
      <c r="JC120" s="1"/>
      <c r="JD120" s="1"/>
      <c r="JE120" s="1"/>
      <c r="JF120" s="1"/>
      <c r="JG120" s="1"/>
      <c r="JH120" s="1"/>
      <c r="JI120" s="1"/>
      <c r="JJ120" s="1"/>
      <c r="JK120" s="1"/>
      <c r="JL120" s="1"/>
      <c r="JM120" s="1"/>
      <c r="JN120" s="1"/>
      <c r="JO120" s="1"/>
      <c r="JP120" s="1"/>
      <c r="JQ120" s="1"/>
      <c r="JR120" s="1"/>
      <c r="JS120" s="1"/>
      <c r="JT120" s="1"/>
      <c r="JU120" s="1"/>
      <c r="JV120" s="1"/>
      <c r="JW120" s="1"/>
      <c r="JX120" s="1"/>
      <c r="JY120" s="1"/>
      <c r="JZ120" s="1"/>
      <c r="KA120" s="1"/>
      <c r="KB120" s="1"/>
      <c r="KC120" s="1"/>
      <c r="KD120" s="1"/>
      <c r="KE120" s="1"/>
      <c r="KF120" s="1"/>
      <c r="KG120" s="1"/>
      <c r="KH120" s="1"/>
      <c r="KI120" s="1"/>
      <c r="KJ120" s="1"/>
      <c r="KK120" s="1"/>
      <c r="KL120" s="1"/>
      <c r="KM120" s="1"/>
      <c r="KN120" s="1"/>
      <c r="KO120" s="1"/>
      <c r="KP120" s="1"/>
      <c r="KQ120" s="1"/>
      <c r="KR120" s="1"/>
      <c r="KS120" s="1"/>
      <c r="KT120" s="1"/>
      <c r="KU120" s="1"/>
      <c r="KV120" s="1"/>
      <c r="KW120" s="1"/>
      <c r="KX120" s="1"/>
      <c r="KY120" s="1"/>
      <c r="KZ120" s="1"/>
      <c r="LA120" s="1"/>
      <c r="LB120" s="1"/>
      <c r="LC120" s="1"/>
      <c r="LD120" s="1"/>
      <c r="LE120" s="1"/>
      <c r="LF120" s="1"/>
      <c r="LG120" s="1"/>
      <c r="LH120" s="1"/>
      <c r="LI120" s="1"/>
      <c r="LJ120" s="1"/>
      <c r="LK120" s="1"/>
      <c r="LL120" s="1"/>
      <c r="LM120" s="1"/>
      <c r="LN120" s="1"/>
      <c r="LO120" s="1"/>
      <c r="LP120" s="1"/>
      <c r="LQ120" s="1"/>
      <c r="LR120" s="1"/>
      <c r="LS120" s="1"/>
    </row>
    <row r="121" spans="1:331" s="59" customFormat="1" x14ac:dyDescent="0.25">
      <c r="A121" s="59" t="s">
        <v>497</v>
      </c>
      <c r="B121" s="61" t="s">
        <v>498</v>
      </c>
      <c r="C121" s="13" t="s">
        <v>2072</v>
      </c>
      <c r="D121" s="59">
        <v>0</v>
      </c>
      <c r="H121" s="59" t="s">
        <v>499</v>
      </c>
      <c r="I121" s="59" t="s">
        <v>500</v>
      </c>
      <c r="J121" s="59" t="s">
        <v>501</v>
      </c>
      <c r="K121" s="59" t="s">
        <v>500</v>
      </c>
      <c r="L121" s="59">
        <v>1</v>
      </c>
      <c r="M121" s="59" t="s">
        <v>324</v>
      </c>
      <c r="O121" s="59">
        <v>1</v>
      </c>
      <c r="Q121" s="1"/>
      <c r="R121" s="1" t="s">
        <v>502</v>
      </c>
      <c r="V121" s="59">
        <v>8</v>
      </c>
      <c r="W121" s="1">
        <v>8</v>
      </c>
      <c r="X121" s="1">
        <v>15</v>
      </c>
      <c r="Y121" s="1" t="s">
        <v>2267</v>
      </c>
      <c r="Z121" s="59">
        <v>11</v>
      </c>
      <c r="AA121" s="1" t="b">
        <v>1</v>
      </c>
      <c r="AB121" s="1"/>
      <c r="AC121" s="57" t="s">
        <v>1393</v>
      </c>
      <c r="AD121" s="1" t="b">
        <v>1</v>
      </c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  <c r="IY121" s="1"/>
      <c r="IZ121" s="1"/>
      <c r="JA121" s="1"/>
      <c r="JB121" s="1"/>
      <c r="JC121" s="1"/>
      <c r="JD121" s="1"/>
      <c r="JE121" s="1"/>
      <c r="JF121" s="1"/>
      <c r="JG121" s="1"/>
      <c r="JH121" s="1"/>
      <c r="JI121" s="1"/>
      <c r="JJ121" s="1"/>
      <c r="JK121" s="1"/>
      <c r="JL121" s="1"/>
      <c r="JM121" s="1"/>
      <c r="JN121" s="1"/>
      <c r="JO121" s="1"/>
      <c r="JP121" s="1"/>
      <c r="JQ121" s="1"/>
      <c r="JR121" s="1"/>
      <c r="JS121" s="1"/>
      <c r="JT121" s="1"/>
      <c r="JU121" s="1"/>
      <c r="JV121" s="1"/>
      <c r="JW121" s="1"/>
      <c r="JX121" s="1"/>
      <c r="JY121" s="1"/>
      <c r="JZ121" s="1"/>
      <c r="KA121" s="1"/>
      <c r="KB121" s="1"/>
      <c r="KC121" s="1"/>
      <c r="KD121" s="1"/>
      <c r="KE121" s="1"/>
      <c r="KF121" s="1"/>
      <c r="KG121" s="1"/>
      <c r="KH121" s="1"/>
      <c r="KI121" s="1"/>
      <c r="KJ121" s="1"/>
      <c r="KK121" s="1"/>
      <c r="KL121" s="1"/>
      <c r="KM121" s="1"/>
      <c r="KN121" s="1"/>
      <c r="KO121" s="1"/>
      <c r="KP121" s="1"/>
      <c r="KQ121" s="1"/>
      <c r="KR121" s="1"/>
      <c r="KS121" s="1"/>
      <c r="KT121" s="1"/>
      <c r="KU121" s="1"/>
      <c r="KV121" s="1"/>
      <c r="KW121" s="1"/>
      <c r="KX121" s="1"/>
      <c r="KY121" s="1"/>
      <c r="KZ121" s="1"/>
      <c r="LA121" s="1"/>
      <c r="LB121" s="1"/>
      <c r="LC121" s="1"/>
      <c r="LD121" s="1"/>
      <c r="LE121" s="1"/>
      <c r="LF121" s="1"/>
      <c r="LG121" s="1"/>
      <c r="LH121" s="1"/>
      <c r="LI121" s="1"/>
      <c r="LJ121" s="1"/>
      <c r="LK121" s="1"/>
      <c r="LL121" s="1"/>
      <c r="LM121" s="1"/>
      <c r="LN121" s="1"/>
      <c r="LO121" s="1"/>
      <c r="LP121" s="1"/>
      <c r="LQ121" s="1"/>
      <c r="LR121" s="1"/>
      <c r="LS121" s="1"/>
    </row>
    <row r="122" spans="1:331" s="40" customFormat="1" x14ac:dyDescent="0.25">
      <c r="A122" s="40" t="s">
        <v>503</v>
      </c>
      <c r="B122" s="40" t="s">
        <v>504</v>
      </c>
      <c r="C122" s="1" t="s">
        <v>2072</v>
      </c>
      <c r="D122" s="40">
        <v>0</v>
      </c>
      <c r="H122" s="40" t="s">
        <v>505</v>
      </c>
      <c r="I122" s="40" t="s">
        <v>506</v>
      </c>
      <c r="J122" s="40" t="s">
        <v>505</v>
      </c>
      <c r="K122" s="40" t="s">
        <v>506</v>
      </c>
      <c r="L122" s="40">
        <v>0</v>
      </c>
      <c r="O122" s="40">
        <v>1</v>
      </c>
      <c r="P122" s="40" t="s">
        <v>507</v>
      </c>
      <c r="Q122" s="1" t="s">
        <v>131</v>
      </c>
      <c r="R122" s="1"/>
      <c r="T122" s="40">
        <v>10</v>
      </c>
      <c r="V122" s="40">
        <v>10</v>
      </c>
      <c r="W122" s="1">
        <v>10</v>
      </c>
      <c r="X122" s="1">
        <v>26</v>
      </c>
      <c r="Y122" s="1" t="s">
        <v>2268</v>
      </c>
      <c r="Z122" s="40">
        <v>8</v>
      </c>
      <c r="AA122" s="1" t="b">
        <v>1</v>
      </c>
      <c r="AB122" s="1"/>
      <c r="AC122" s="57" t="s">
        <v>1439</v>
      </c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  <c r="IY122" s="1"/>
      <c r="IZ122" s="1"/>
      <c r="JA122" s="1"/>
      <c r="JB122" s="1"/>
      <c r="JC122" s="1"/>
      <c r="JD122" s="1"/>
      <c r="JE122" s="1"/>
      <c r="JF122" s="1"/>
      <c r="JG122" s="1"/>
      <c r="JH122" s="1"/>
      <c r="JI122" s="1"/>
      <c r="JJ122" s="1"/>
      <c r="JK122" s="1"/>
      <c r="JL122" s="1"/>
      <c r="JM122" s="1"/>
      <c r="JN122" s="1"/>
      <c r="JO122" s="1"/>
      <c r="JP122" s="1"/>
      <c r="JQ122" s="1"/>
      <c r="JR122" s="1"/>
      <c r="JS122" s="1"/>
      <c r="JT122" s="1"/>
      <c r="JU122" s="1"/>
      <c r="JV122" s="1"/>
      <c r="JW122" s="1"/>
      <c r="JX122" s="1"/>
      <c r="JY122" s="1"/>
      <c r="JZ122" s="1"/>
      <c r="KA122" s="1"/>
      <c r="KB122" s="1"/>
      <c r="KC122" s="1"/>
      <c r="KD122" s="1"/>
      <c r="KE122" s="1"/>
      <c r="KF122" s="1"/>
      <c r="KG122" s="1"/>
      <c r="KH122" s="1"/>
      <c r="KI122" s="1"/>
      <c r="KJ122" s="1"/>
      <c r="KK122" s="1"/>
      <c r="KL122" s="1"/>
      <c r="KM122" s="1"/>
      <c r="KN122" s="1"/>
      <c r="KO122" s="1"/>
      <c r="KP122" s="1"/>
      <c r="KQ122" s="1"/>
      <c r="KR122" s="1"/>
      <c r="KS122" s="1"/>
      <c r="KT122" s="1"/>
      <c r="KU122" s="1"/>
      <c r="KV122" s="1"/>
      <c r="KW122" s="1"/>
      <c r="KX122" s="1"/>
      <c r="KY122" s="1"/>
      <c r="KZ122" s="1"/>
      <c r="LA122" s="1"/>
      <c r="LB122" s="1"/>
      <c r="LC122" s="1"/>
      <c r="LD122" s="1"/>
      <c r="LE122" s="1"/>
      <c r="LF122" s="1"/>
      <c r="LG122" s="1"/>
      <c r="LH122" s="1"/>
      <c r="LI122" s="1"/>
      <c r="LJ122" s="1"/>
      <c r="LK122" s="1"/>
      <c r="LL122" s="1"/>
      <c r="LM122" s="1"/>
      <c r="LN122" s="1"/>
      <c r="LO122" s="1"/>
      <c r="LP122" s="1"/>
      <c r="LQ122" s="1"/>
      <c r="LR122" s="1"/>
      <c r="LS122" s="1"/>
    </row>
    <row r="123" spans="1:331" s="30" customFormat="1" x14ac:dyDescent="0.25">
      <c r="A123" s="30" t="s">
        <v>508</v>
      </c>
      <c r="B123" s="30" t="s">
        <v>509</v>
      </c>
      <c r="C123" s="1" t="s">
        <v>2072</v>
      </c>
      <c r="D123" s="30">
        <v>4</v>
      </c>
      <c r="E123" s="30" t="s">
        <v>430</v>
      </c>
      <c r="F123" s="30" t="s">
        <v>430</v>
      </c>
      <c r="G123" s="30" t="s">
        <v>430</v>
      </c>
      <c r="H123" s="30" t="s">
        <v>510</v>
      </c>
      <c r="I123" s="30" t="s">
        <v>511</v>
      </c>
      <c r="J123" s="30" t="s">
        <v>512</v>
      </c>
      <c r="K123" s="30" t="s">
        <v>510</v>
      </c>
      <c r="L123" s="30">
        <v>0</v>
      </c>
      <c r="O123" s="30">
        <v>1</v>
      </c>
      <c r="Q123" s="1" t="s">
        <v>1570</v>
      </c>
      <c r="R123" s="1"/>
      <c r="T123" s="30">
        <v>15</v>
      </c>
      <c r="V123" s="30">
        <v>15</v>
      </c>
      <c r="W123" s="1">
        <v>15</v>
      </c>
      <c r="X123" s="1">
        <v>15</v>
      </c>
      <c r="Y123" s="1" t="s">
        <v>2269</v>
      </c>
      <c r="Z123" s="30">
        <v>6</v>
      </c>
      <c r="AA123" s="1" t="b">
        <v>1</v>
      </c>
      <c r="AB123" s="1"/>
      <c r="AC123" s="57" t="s">
        <v>1949</v>
      </c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  <c r="IY123" s="1"/>
      <c r="IZ123" s="1"/>
      <c r="JA123" s="1"/>
      <c r="JB123" s="1"/>
      <c r="JC123" s="1"/>
      <c r="JD123" s="1"/>
      <c r="JE123" s="1"/>
      <c r="JF123" s="1"/>
      <c r="JG123" s="1"/>
      <c r="JH123" s="1"/>
      <c r="JI123" s="1"/>
      <c r="JJ123" s="1"/>
      <c r="JK123" s="1"/>
      <c r="JL123" s="1"/>
      <c r="JM123" s="1"/>
      <c r="JN123" s="1"/>
      <c r="JO123" s="1"/>
      <c r="JP123" s="1"/>
      <c r="JQ123" s="1"/>
      <c r="JR123" s="1"/>
      <c r="JS123" s="1"/>
      <c r="JT123" s="1"/>
      <c r="JU123" s="1"/>
      <c r="JV123" s="1"/>
      <c r="JW123" s="1"/>
      <c r="JX123" s="1"/>
      <c r="JY123" s="1"/>
      <c r="JZ123" s="1"/>
      <c r="KA123" s="1"/>
      <c r="KB123" s="1"/>
      <c r="KC123" s="1"/>
      <c r="KD123" s="1"/>
      <c r="KE123" s="1"/>
      <c r="KF123" s="1"/>
      <c r="KG123" s="1"/>
      <c r="KH123" s="1"/>
      <c r="KI123" s="1"/>
      <c r="KJ123" s="1"/>
      <c r="KK123" s="1"/>
      <c r="KL123" s="1"/>
      <c r="KM123" s="1"/>
      <c r="KN123" s="1"/>
      <c r="KO123" s="1"/>
      <c r="KP123" s="1"/>
      <c r="KQ123" s="1"/>
      <c r="KR123" s="1"/>
      <c r="KS123" s="1"/>
      <c r="KT123" s="1"/>
      <c r="KU123" s="1"/>
      <c r="KV123" s="1"/>
      <c r="KW123" s="1"/>
      <c r="KX123" s="1"/>
      <c r="KY123" s="1"/>
      <c r="KZ123" s="1"/>
      <c r="LA123" s="1"/>
      <c r="LB123" s="1"/>
      <c r="LC123" s="1"/>
      <c r="LD123" s="1"/>
      <c r="LE123" s="1"/>
      <c r="LF123" s="1"/>
      <c r="LG123" s="1"/>
      <c r="LH123" s="1"/>
      <c r="LI123" s="1"/>
      <c r="LJ123" s="1"/>
      <c r="LK123" s="1"/>
      <c r="LL123" s="1"/>
      <c r="LM123" s="1"/>
      <c r="LN123" s="1"/>
      <c r="LO123" s="1"/>
      <c r="LP123" s="1"/>
      <c r="LQ123" s="1"/>
      <c r="LR123" s="1"/>
      <c r="LS123" s="1"/>
    </row>
    <row r="124" spans="1:331" s="25" customFormat="1" x14ac:dyDescent="0.25">
      <c r="A124" s="25" t="s">
        <v>513</v>
      </c>
      <c r="B124" s="29" t="s">
        <v>514</v>
      </c>
      <c r="C124" s="13" t="s">
        <v>2072</v>
      </c>
      <c r="D124" s="25">
        <v>0</v>
      </c>
      <c r="H124" s="25" t="s">
        <v>515</v>
      </c>
      <c r="I124" s="25" t="s">
        <v>516</v>
      </c>
      <c r="J124" s="25" t="s">
        <v>515</v>
      </c>
      <c r="K124" s="25" t="s">
        <v>607</v>
      </c>
      <c r="L124" s="25">
        <v>0</v>
      </c>
      <c r="O124" s="25">
        <v>0</v>
      </c>
      <c r="Q124" s="1" t="s">
        <v>510</v>
      </c>
      <c r="R124" s="1"/>
      <c r="T124" s="25">
        <v>11</v>
      </c>
      <c r="V124" s="25">
        <v>10</v>
      </c>
      <c r="W124" s="1">
        <v>11</v>
      </c>
      <c r="X124" s="1">
        <v>12</v>
      </c>
      <c r="Y124" s="1" t="s">
        <v>2270</v>
      </c>
      <c r="Z124" s="25">
        <v>5</v>
      </c>
      <c r="AA124" s="1" t="b">
        <v>1</v>
      </c>
      <c r="AB124" s="1"/>
      <c r="AC124" s="57" t="s">
        <v>1356</v>
      </c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  <c r="IY124" s="1"/>
      <c r="IZ124" s="1"/>
      <c r="JA124" s="1"/>
      <c r="JB124" s="1"/>
      <c r="JC124" s="1"/>
      <c r="JD124" s="1"/>
      <c r="JE124" s="1"/>
      <c r="JF124" s="1"/>
      <c r="JG124" s="1"/>
      <c r="JH124" s="1"/>
      <c r="JI124" s="1"/>
      <c r="JJ124" s="1"/>
      <c r="JK124" s="1"/>
      <c r="JL124" s="1"/>
      <c r="JM124" s="1"/>
      <c r="JN124" s="1"/>
      <c r="JO124" s="1"/>
      <c r="JP124" s="1"/>
      <c r="JQ124" s="1"/>
      <c r="JR124" s="1"/>
      <c r="JS124" s="1"/>
      <c r="JT124" s="1"/>
      <c r="JU124" s="1"/>
      <c r="JV124" s="1"/>
      <c r="JW124" s="1"/>
      <c r="JX124" s="1"/>
      <c r="JY124" s="1"/>
      <c r="JZ124" s="1"/>
      <c r="KA124" s="1"/>
      <c r="KB124" s="1"/>
      <c r="KC124" s="1"/>
      <c r="KD124" s="1"/>
      <c r="KE124" s="1"/>
      <c r="KF124" s="1"/>
      <c r="KG124" s="1"/>
      <c r="KH124" s="1"/>
      <c r="KI124" s="1"/>
      <c r="KJ124" s="1"/>
      <c r="KK124" s="1"/>
      <c r="KL124" s="1"/>
      <c r="KM124" s="1"/>
      <c r="KN124" s="1"/>
      <c r="KO124" s="1"/>
      <c r="KP124" s="1"/>
      <c r="KQ124" s="1"/>
      <c r="KR124" s="1"/>
      <c r="KS124" s="1"/>
      <c r="KT124" s="1"/>
      <c r="KU124" s="1"/>
      <c r="KV124" s="1"/>
      <c r="KW124" s="1"/>
      <c r="KX124" s="1"/>
      <c r="KY124" s="1"/>
      <c r="KZ124" s="1"/>
      <c r="LA124" s="1"/>
      <c r="LB124" s="1"/>
      <c r="LC124" s="1"/>
      <c r="LD124" s="1"/>
      <c r="LE124" s="1"/>
      <c r="LF124" s="1"/>
      <c r="LG124" s="1"/>
      <c r="LH124" s="1"/>
      <c r="LI124" s="1"/>
      <c r="LJ124" s="1"/>
      <c r="LK124" s="1"/>
      <c r="LL124" s="1"/>
      <c r="LM124" s="1"/>
      <c r="LN124" s="1"/>
      <c r="LO124" s="1"/>
      <c r="LP124" s="1"/>
      <c r="LQ124" s="1"/>
      <c r="LR124" s="1"/>
      <c r="LS124" s="1"/>
    </row>
    <row r="125" spans="1:331" s="59" customFormat="1" x14ac:dyDescent="0.25">
      <c r="A125" s="59" t="s">
        <v>517</v>
      </c>
      <c r="B125" s="61" t="s">
        <v>518</v>
      </c>
      <c r="C125" s="13" t="s">
        <v>2072</v>
      </c>
      <c r="D125" s="59">
        <v>0</v>
      </c>
      <c r="H125" s="59" t="s">
        <v>519</v>
      </c>
      <c r="I125" s="59" t="s">
        <v>520</v>
      </c>
      <c r="J125" s="59" t="s">
        <v>521</v>
      </c>
      <c r="K125" s="59" t="s">
        <v>520</v>
      </c>
      <c r="L125" s="59">
        <v>1</v>
      </c>
      <c r="M125" s="59" t="s">
        <v>520</v>
      </c>
      <c r="O125" s="59">
        <v>1</v>
      </c>
      <c r="Q125" s="1"/>
      <c r="R125" s="1" t="s">
        <v>111</v>
      </c>
      <c r="T125" s="59">
        <v>21</v>
      </c>
      <c r="W125" s="1">
        <v>21</v>
      </c>
      <c r="X125" s="1">
        <v>18</v>
      </c>
      <c r="Y125" s="1" t="s">
        <v>2271</v>
      </c>
      <c r="Z125" s="59">
        <v>11</v>
      </c>
      <c r="AA125" s="1" t="b">
        <v>1</v>
      </c>
      <c r="AB125" s="1"/>
      <c r="AC125" s="57" t="s">
        <v>1394</v>
      </c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  <c r="IY125" s="1"/>
      <c r="IZ125" s="1"/>
      <c r="JA125" s="1"/>
      <c r="JB125" s="1"/>
      <c r="JC125" s="1"/>
      <c r="JD125" s="1"/>
      <c r="JE125" s="1"/>
      <c r="JF125" s="1"/>
      <c r="JG125" s="1"/>
      <c r="JH125" s="1"/>
      <c r="JI125" s="1"/>
      <c r="JJ125" s="1"/>
      <c r="JK125" s="1"/>
      <c r="JL125" s="1"/>
      <c r="JM125" s="1"/>
      <c r="JN125" s="1"/>
      <c r="JO125" s="1"/>
      <c r="JP125" s="1"/>
      <c r="JQ125" s="1"/>
      <c r="JR125" s="1"/>
      <c r="JS125" s="1"/>
      <c r="JT125" s="1"/>
      <c r="JU125" s="1"/>
      <c r="JV125" s="1"/>
      <c r="JW125" s="1"/>
      <c r="JX125" s="1"/>
      <c r="JY125" s="1"/>
      <c r="JZ125" s="1"/>
      <c r="KA125" s="1"/>
      <c r="KB125" s="1"/>
      <c r="KC125" s="1"/>
      <c r="KD125" s="1"/>
      <c r="KE125" s="1"/>
      <c r="KF125" s="1"/>
      <c r="KG125" s="1"/>
      <c r="KH125" s="1"/>
      <c r="KI125" s="1"/>
      <c r="KJ125" s="1"/>
      <c r="KK125" s="1"/>
      <c r="KL125" s="1"/>
      <c r="KM125" s="1"/>
      <c r="KN125" s="1"/>
      <c r="KO125" s="1"/>
      <c r="KP125" s="1"/>
      <c r="KQ125" s="1"/>
      <c r="KR125" s="1"/>
      <c r="KS125" s="1"/>
      <c r="KT125" s="1"/>
      <c r="KU125" s="1"/>
      <c r="KV125" s="1"/>
      <c r="KW125" s="1"/>
      <c r="KX125" s="1"/>
      <c r="KY125" s="1"/>
      <c r="KZ125" s="1"/>
      <c r="LA125" s="1"/>
      <c r="LB125" s="1"/>
      <c r="LC125" s="1"/>
      <c r="LD125" s="1"/>
      <c r="LE125" s="1"/>
      <c r="LF125" s="1"/>
      <c r="LG125" s="1"/>
      <c r="LH125" s="1"/>
      <c r="LI125" s="1"/>
      <c r="LJ125" s="1"/>
      <c r="LK125" s="1"/>
      <c r="LL125" s="1"/>
      <c r="LM125" s="1"/>
      <c r="LN125" s="1"/>
      <c r="LO125" s="1"/>
      <c r="LP125" s="1"/>
      <c r="LQ125" s="1"/>
      <c r="LR125" s="1"/>
      <c r="LS125" s="1"/>
    </row>
    <row r="126" spans="1:331" s="35" customFormat="1" x14ac:dyDescent="0.25">
      <c r="A126" s="35" t="s">
        <v>522</v>
      </c>
      <c r="B126" s="35" t="s">
        <v>523</v>
      </c>
      <c r="C126" s="1" t="s">
        <v>2072</v>
      </c>
      <c r="D126" s="35">
        <v>1</v>
      </c>
      <c r="E126" s="35" t="s">
        <v>524</v>
      </c>
      <c r="H126" s="35" t="s">
        <v>525</v>
      </c>
      <c r="I126" s="35" t="s">
        <v>524</v>
      </c>
      <c r="J126" s="35" t="s">
        <v>525</v>
      </c>
      <c r="K126" s="35" t="s">
        <v>524</v>
      </c>
      <c r="L126" s="35">
        <v>0</v>
      </c>
      <c r="O126" s="35">
        <v>1</v>
      </c>
      <c r="Q126" s="1"/>
      <c r="R126" s="1" t="s">
        <v>526</v>
      </c>
      <c r="S126" s="35">
        <v>14</v>
      </c>
      <c r="T126" s="35">
        <v>12</v>
      </c>
      <c r="U126" s="35">
        <v>10</v>
      </c>
      <c r="V126" s="35">
        <v>15</v>
      </c>
      <c r="W126" s="1">
        <v>12</v>
      </c>
      <c r="X126" s="1">
        <v>15</v>
      </c>
      <c r="Y126" s="1" t="s">
        <v>2272</v>
      </c>
      <c r="Z126" s="35">
        <v>7</v>
      </c>
      <c r="AA126" s="1" t="b">
        <v>1</v>
      </c>
      <c r="AB126" s="1"/>
      <c r="AC126" s="57" t="s">
        <v>1441</v>
      </c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  <c r="IY126" s="1"/>
      <c r="IZ126" s="1"/>
      <c r="JA126" s="1"/>
      <c r="JB126" s="1"/>
      <c r="JC126" s="1"/>
      <c r="JD126" s="1"/>
      <c r="JE126" s="1"/>
      <c r="JF126" s="1"/>
      <c r="JG126" s="1"/>
      <c r="JH126" s="1"/>
      <c r="JI126" s="1"/>
      <c r="JJ126" s="1"/>
      <c r="JK126" s="1"/>
      <c r="JL126" s="1"/>
      <c r="JM126" s="1"/>
      <c r="JN126" s="1"/>
      <c r="JO126" s="1"/>
      <c r="JP126" s="1"/>
      <c r="JQ126" s="1"/>
      <c r="JR126" s="1"/>
      <c r="JS126" s="1"/>
      <c r="JT126" s="1"/>
      <c r="JU126" s="1"/>
      <c r="JV126" s="1"/>
      <c r="JW126" s="1"/>
      <c r="JX126" s="1"/>
      <c r="JY126" s="1"/>
      <c r="JZ126" s="1"/>
      <c r="KA126" s="1"/>
      <c r="KB126" s="1"/>
      <c r="KC126" s="1"/>
      <c r="KD126" s="1"/>
      <c r="KE126" s="1"/>
      <c r="KF126" s="1"/>
      <c r="KG126" s="1"/>
      <c r="KH126" s="1"/>
      <c r="KI126" s="1"/>
      <c r="KJ126" s="1"/>
      <c r="KK126" s="1"/>
      <c r="KL126" s="1"/>
      <c r="KM126" s="1"/>
      <c r="KN126" s="1"/>
      <c r="KO126" s="1"/>
      <c r="KP126" s="1"/>
      <c r="KQ126" s="1"/>
      <c r="KR126" s="1"/>
      <c r="KS126" s="1"/>
      <c r="KT126" s="1"/>
      <c r="KU126" s="1"/>
      <c r="KV126" s="1"/>
      <c r="KW126" s="1"/>
      <c r="KX126" s="1"/>
      <c r="KY126" s="1"/>
      <c r="KZ126" s="1"/>
      <c r="LA126" s="1"/>
      <c r="LB126" s="1"/>
      <c r="LC126" s="1"/>
      <c r="LD126" s="1"/>
      <c r="LE126" s="1"/>
      <c r="LF126" s="1"/>
      <c r="LG126" s="1"/>
      <c r="LH126" s="1"/>
      <c r="LI126" s="1"/>
      <c r="LJ126" s="1"/>
      <c r="LK126" s="1"/>
      <c r="LL126" s="1"/>
      <c r="LM126" s="1"/>
      <c r="LN126" s="1"/>
      <c r="LO126" s="1"/>
      <c r="LP126" s="1"/>
      <c r="LQ126" s="1"/>
      <c r="LR126" s="1"/>
      <c r="LS126" s="1"/>
    </row>
    <row r="127" spans="1:331" s="52" customFormat="1" x14ac:dyDescent="0.25">
      <c r="A127" s="52" t="s">
        <v>527</v>
      </c>
      <c r="B127" s="56" t="s">
        <v>528</v>
      </c>
      <c r="C127" s="13" t="s">
        <v>2072</v>
      </c>
      <c r="D127" s="52">
        <v>1</v>
      </c>
      <c r="E127" s="52" t="s">
        <v>529</v>
      </c>
      <c r="H127" s="52" t="s">
        <v>530</v>
      </c>
      <c r="I127" s="52" t="s">
        <v>529</v>
      </c>
      <c r="J127" s="52" t="s">
        <v>530</v>
      </c>
      <c r="K127" s="52" t="s">
        <v>529</v>
      </c>
      <c r="L127" s="52">
        <v>1</v>
      </c>
      <c r="M127" s="52" t="s">
        <v>347</v>
      </c>
      <c r="O127" s="52">
        <v>1</v>
      </c>
      <c r="P127" s="52" t="s">
        <v>350</v>
      </c>
      <c r="Q127" s="1" t="s">
        <v>921</v>
      </c>
      <c r="R127" s="1"/>
      <c r="U127" s="52">
        <v>8</v>
      </c>
      <c r="W127" s="1">
        <v>8</v>
      </c>
      <c r="X127" s="1">
        <v>12</v>
      </c>
      <c r="Y127" s="1" t="s">
        <v>2273</v>
      </c>
      <c r="Z127" s="52">
        <v>10</v>
      </c>
      <c r="AA127" s="1" t="b">
        <v>1</v>
      </c>
      <c r="AB127" s="1"/>
      <c r="AC127" s="57" t="s">
        <v>1667</v>
      </c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  <c r="IY127" s="1"/>
      <c r="IZ127" s="1"/>
      <c r="JA127" s="1"/>
      <c r="JB127" s="1"/>
      <c r="JC127" s="1"/>
      <c r="JD127" s="1"/>
      <c r="JE127" s="1"/>
      <c r="JF127" s="1"/>
      <c r="JG127" s="1"/>
      <c r="JH127" s="1"/>
      <c r="JI127" s="1"/>
      <c r="JJ127" s="1"/>
      <c r="JK127" s="1"/>
      <c r="JL127" s="1"/>
      <c r="JM127" s="1"/>
      <c r="JN127" s="1"/>
      <c r="JO127" s="1"/>
      <c r="JP127" s="1"/>
      <c r="JQ127" s="1"/>
      <c r="JR127" s="1"/>
      <c r="JS127" s="1"/>
      <c r="JT127" s="1"/>
      <c r="JU127" s="1"/>
      <c r="JV127" s="1"/>
      <c r="JW127" s="1"/>
      <c r="JX127" s="1"/>
      <c r="JY127" s="1"/>
      <c r="JZ127" s="1"/>
      <c r="KA127" s="1"/>
      <c r="KB127" s="1"/>
      <c r="KC127" s="1"/>
      <c r="KD127" s="1"/>
      <c r="KE127" s="1"/>
      <c r="KF127" s="1"/>
      <c r="KG127" s="1"/>
      <c r="KH127" s="1"/>
      <c r="KI127" s="1"/>
      <c r="KJ127" s="1"/>
      <c r="KK127" s="1"/>
      <c r="KL127" s="1"/>
      <c r="KM127" s="1"/>
      <c r="KN127" s="1"/>
      <c r="KO127" s="1"/>
      <c r="KP127" s="1"/>
      <c r="KQ127" s="1"/>
      <c r="KR127" s="1"/>
      <c r="KS127" s="1"/>
      <c r="KT127" s="1"/>
      <c r="KU127" s="1"/>
      <c r="KV127" s="1"/>
      <c r="KW127" s="1"/>
      <c r="KX127" s="1"/>
      <c r="KY127" s="1"/>
      <c r="KZ127" s="1"/>
      <c r="LA127" s="1"/>
      <c r="LB127" s="1"/>
      <c r="LC127" s="1"/>
      <c r="LD127" s="1"/>
      <c r="LE127" s="1"/>
      <c r="LF127" s="1"/>
      <c r="LG127" s="1"/>
      <c r="LH127" s="1"/>
      <c r="LI127" s="1"/>
      <c r="LJ127" s="1"/>
      <c r="LK127" s="1"/>
      <c r="LL127" s="1"/>
      <c r="LM127" s="1"/>
      <c r="LN127" s="1"/>
      <c r="LO127" s="1"/>
      <c r="LP127" s="1"/>
      <c r="LQ127" s="1"/>
      <c r="LR127" s="1"/>
      <c r="LS127" s="1"/>
    </row>
    <row r="128" spans="1:331" s="25" customFormat="1" x14ac:dyDescent="0.25">
      <c r="A128" s="25" t="s">
        <v>531</v>
      </c>
      <c r="B128" s="29" t="s">
        <v>532</v>
      </c>
      <c r="C128" s="13" t="s">
        <v>2072</v>
      </c>
      <c r="D128" s="25">
        <v>0</v>
      </c>
      <c r="H128" s="25" t="s">
        <v>347</v>
      </c>
      <c r="I128" s="25" t="s">
        <v>533</v>
      </c>
      <c r="J128" s="25" t="s">
        <v>347</v>
      </c>
      <c r="K128" s="25" t="s">
        <v>533</v>
      </c>
      <c r="L128" s="25">
        <v>0</v>
      </c>
      <c r="O128" s="25">
        <v>0</v>
      </c>
      <c r="Q128" s="1" t="s">
        <v>927</v>
      </c>
      <c r="R128" s="1"/>
      <c r="S128" s="25">
        <v>4</v>
      </c>
      <c r="V128" s="25">
        <v>6</v>
      </c>
      <c r="W128" s="1">
        <v>4</v>
      </c>
      <c r="X128" s="1">
        <v>4</v>
      </c>
      <c r="Y128" s="1" t="s">
        <v>2274</v>
      </c>
      <c r="Z128" s="25">
        <v>5</v>
      </c>
      <c r="AA128" s="1" t="b">
        <v>1</v>
      </c>
      <c r="AB128" s="1"/>
      <c r="AC128" s="57" t="s">
        <v>1313</v>
      </c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  <c r="IY128" s="1"/>
      <c r="IZ128" s="1"/>
      <c r="JA128" s="1"/>
      <c r="JB128" s="1"/>
      <c r="JC128" s="1"/>
      <c r="JD128" s="1"/>
      <c r="JE128" s="1"/>
      <c r="JF128" s="1"/>
      <c r="JG128" s="1"/>
      <c r="JH128" s="1"/>
      <c r="JI128" s="1"/>
      <c r="JJ128" s="1"/>
      <c r="JK128" s="1"/>
      <c r="JL128" s="1"/>
      <c r="JM128" s="1"/>
      <c r="JN128" s="1"/>
      <c r="JO128" s="1"/>
      <c r="JP128" s="1"/>
      <c r="JQ128" s="1"/>
      <c r="JR128" s="1"/>
      <c r="JS128" s="1"/>
      <c r="JT128" s="1"/>
      <c r="JU128" s="1"/>
      <c r="JV128" s="1"/>
      <c r="JW128" s="1"/>
      <c r="JX128" s="1"/>
      <c r="JY128" s="1"/>
      <c r="JZ128" s="1"/>
      <c r="KA128" s="1"/>
      <c r="KB128" s="1"/>
      <c r="KC128" s="1"/>
      <c r="KD128" s="1"/>
      <c r="KE128" s="1"/>
      <c r="KF128" s="1"/>
      <c r="KG128" s="1"/>
      <c r="KH128" s="1"/>
      <c r="KI128" s="1"/>
      <c r="KJ128" s="1"/>
      <c r="KK128" s="1"/>
      <c r="KL128" s="1"/>
      <c r="KM128" s="1"/>
      <c r="KN128" s="1"/>
      <c r="KO128" s="1"/>
      <c r="KP128" s="1"/>
      <c r="KQ128" s="1"/>
      <c r="KR128" s="1"/>
      <c r="KS128" s="1"/>
      <c r="KT128" s="1"/>
      <c r="KU128" s="1"/>
      <c r="KV128" s="1"/>
      <c r="KW128" s="1"/>
      <c r="KX128" s="1"/>
      <c r="KY128" s="1"/>
      <c r="KZ128" s="1"/>
      <c r="LA128" s="1"/>
      <c r="LB128" s="1"/>
      <c r="LC128" s="1"/>
      <c r="LD128" s="1"/>
      <c r="LE128" s="1"/>
      <c r="LF128" s="1"/>
      <c r="LG128" s="1"/>
      <c r="LH128" s="1"/>
      <c r="LI128" s="1"/>
      <c r="LJ128" s="1"/>
      <c r="LK128" s="1"/>
      <c r="LL128" s="1"/>
      <c r="LM128" s="1"/>
      <c r="LN128" s="1"/>
      <c r="LO128" s="1"/>
      <c r="LP128" s="1"/>
      <c r="LQ128" s="1"/>
      <c r="LR128" s="1"/>
      <c r="LS128" s="1"/>
    </row>
    <row r="129" spans="1:331" s="30" customFormat="1" x14ac:dyDescent="0.25">
      <c r="A129" s="30" t="s">
        <v>534</v>
      </c>
      <c r="B129" s="30" t="s">
        <v>535</v>
      </c>
      <c r="C129" s="1" t="s">
        <v>2072</v>
      </c>
      <c r="D129" s="30">
        <v>1</v>
      </c>
      <c r="E129" s="85">
        <v>44523</v>
      </c>
      <c r="H129" s="30" t="s">
        <v>347</v>
      </c>
      <c r="I129" s="30" t="s">
        <v>536</v>
      </c>
      <c r="J129" s="30" t="s">
        <v>347</v>
      </c>
      <c r="K129" s="30" t="s">
        <v>263</v>
      </c>
      <c r="L129" s="30">
        <v>0</v>
      </c>
      <c r="O129" s="30">
        <v>0</v>
      </c>
      <c r="Q129" s="1" t="s">
        <v>328</v>
      </c>
      <c r="R129" s="1"/>
      <c r="S129" s="30">
        <v>5</v>
      </c>
      <c r="U129" s="30">
        <v>6</v>
      </c>
      <c r="W129" s="1">
        <v>5</v>
      </c>
      <c r="X129" s="1">
        <v>11</v>
      </c>
      <c r="Y129" s="1" t="s">
        <v>2275</v>
      </c>
      <c r="Z129" s="30">
        <v>6</v>
      </c>
      <c r="AA129" s="1" t="b">
        <v>1</v>
      </c>
      <c r="AB129" s="1"/>
      <c r="AC129" s="57" t="s">
        <v>1947</v>
      </c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  <c r="IY129" s="1"/>
      <c r="IZ129" s="1"/>
      <c r="JA129" s="1"/>
      <c r="JB129" s="1"/>
      <c r="JC129" s="1"/>
      <c r="JD129" s="1"/>
      <c r="JE129" s="1"/>
      <c r="JF129" s="1"/>
      <c r="JG129" s="1"/>
      <c r="JH129" s="1"/>
      <c r="JI129" s="1"/>
      <c r="JJ129" s="1"/>
      <c r="JK129" s="1"/>
      <c r="JL129" s="1"/>
      <c r="JM129" s="1"/>
      <c r="JN129" s="1"/>
      <c r="JO129" s="1"/>
      <c r="JP129" s="1"/>
      <c r="JQ129" s="1"/>
      <c r="JR129" s="1"/>
      <c r="JS129" s="1"/>
      <c r="JT129" s="1"/>
      <c r="JU129" s="1"/>
      <c r="JV129" s="1"/>
      <c r="JW129" s="1"/>
      <c r="JX129" s="1"/>
      <c r="JY129" s="1"/>
      <c r="JZ129" s="1"/>
      <c r="KA129" s="1"/>
      <c r="KB129" s="1"/>
      <c r="KC129" s="1"/>
      <c r="KD129" s="1"/>
      <c r="KE129" s="1"/>
      <c r="KF129" s="1"/>
      <c r="KG129" s="1"/>
      <c r="KH129" s="1"/>
      <c r="KI129" s="1"/>
      <c r="KJ129" s="1"/>
      <c r="KK129" s="1"/>
      <c r="KL129" s="1"/>
      <c r="KM129" s="1"/>
      <c r="KN129" s="1"/>
      <c r="KO129" s="1"/>
      <c r="KP129" s="1"/>
      <c r="KQ129" s="1"/>
      <c r="KR129" s="1"/>
      <c r="KS129" s="1"/>
      <c r="KT129" s="1"/>
      <c r="KU129" s="1"/>
      <c r="KV129" s="1"/>
      <c r="KW129" s="1"/>
      <c r="KX129" s="1"/>
      <c r="KY129" s="1"/>
      <c r="KZ129" s="1"/>
      <c r="LA129" s="1"/>
      <c r="LB129" s="1"/>
      <c r="LC129" s="1"/>
      <c r="LD129" s="1"/>
      <c r="LE129" s="1"/>
      <c r="LF129" s="1"/>
      <c r="LG129" s="1"/>
      <c r="LH129" s="1"/>
      <c r="LI129" s="1"/>
      <c r="LJ129" s="1"/>
      <c r="LK129" s="1"/>
      <c r="LL129" s="1"/>
      <c r="LM129" s="1"/>
      <c r="LN129" s="1"/>
      <c r="LO129" s="1"/>
      <c r="LP129" s="1"/>
      <c r="LQ129" s="1"/>
      <c r="LR129" s="1"/>
      <c r="LS129" s="1"/>
    </row>
    <row r="130" spans="1:331" s="25" customFormat="1" x14ac:dyDescent="0.25">
      <c r="A130" s="25" t="s">
        <v>537</v>
      </c>
      <c r="B130" s="29" t="s">
        <v>538</v>
      </c>
      <c r="C130" s="13" t="s">
        <v>2072</v>
      </c>
      <c r="D130" s="25">
        <v>0</v>
      </c>
      <c r="H130" s="25" t="s">
        <v>539</v>
      </c>
      <c r="I130" s="25" t="s">
        <v>540</v>
      </c>
      <c r="J130" s="25" t="s">
        <v>539</v>
      </c>
      <c r="K130" s="25" t="s">
        <v>2102</v>
      </c>
      <c r="L130" s="25">
        <v>0</v>
      </c>
      <c r="O130" s="25">
        <v>1</v>
      </c>
      <c r="Q130" s="1" t="s">
        <v>1534</v>
      </c>
      <c r="R130" s="1"/>
      <c r="S130" s="25">
        <v>17</v>
      </c>
      <c r="U130" s="25">
        <v>17</v>
      </c>
      <c r="W130" s="1">
        <v>17</v>
      </c>
      <c r="X130" s="1">
        <v>26</v>
      </c>
      <c r="Y130" s="1" t="s">
        <v>2276</v>
      </c>
      <c r="Z130" s="25">
        <v>5</v>
      </c>
      <c r="AA130" s="1" t="b">
        <v>1</v>
      </c>
      <c r="AB130" s="1"/>
      <c r="AC130" s="57" t="s">
        <v>1296</v>
      </c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  <c r="IY130" s="1"/>
      <c r="IZ130" s="1"/>
      <c r="JA130" s="1"/>
      <c r="JB130" s="1"/>
      <c r="JC130" s="1"/>
      <c r="JD130" s="1"/>
      <c r="JE130" s="1"/>
      <c r="JF130" s="1"/>
      <c r="JG130" s="1"/>
      <c r="JH130" s="1"/>
      <c r="JI130" s="1"/>
      <c r="JJ130" s="1"/>
      <c r="JK130" s="1"/>
      <c r="JL130" s="1"/>
      <c r="JM130" s="1"/>
      <c r="JN130" s="1"/>
      <c r="JO130" s="1"/>
      <c r="JP130" s="1"/>
      <c r="JQ130" s="1"/>
      <c r="JR130" s="1"/>
      <c r="JS130" s="1"/>
      <c r="JT130" s="1"/>
      <c r="JU130" s="1"/>
      <c r="JV130" s="1"/>
      <c r="JW130" s="1"/>
      <c r="JX130" s="1"/>
      <c r="JY130" s="1"/>
      <c r="JZ130" s="1"/>
      <c r="KA130" s="1"/>
      <c r="KB130" s="1"/>
      <c r="KC130" s="1"/>
      <c r="KD130" s="1"/>
      <c r="KE130" s="1"/>
      <c r="KF130" s="1"/>
      <c r="KG130" s="1"/>
      <c r="KH130" s="1"/>
      <c r="KI130" s="1"/>
      <c r="KJ130" s="1"/>
      <c r="KK130" s="1"/>
      <c r="KL130" s="1"/>
      <c r="KM130" s="1"/>
      <c r="KN130" s="1"/>
      <c r="KO130" s="1"/>
      <c r="KP130" s="1"/>
      <c r="KQ130" s="1"/>
      <c r="KR130" s="1"/>
      <c r="KS130" s="1"/>
      <c r="KT130" s="1"/>
      <c r="KU130" s="1"/>
      <c r="KV130" s="1"/>
      <c r="KW130" s="1"/>
      <c r="KX130" s="1"/>
      <c r="KY130" s="1"/>
      <c r="KZ130" s="1"/>
      <c r="LA130" s="1"/>
      <c r="LB130" s="1"/>
      <c r="LC130" s="1"/>
      <c r="LD130" s="1"/>
      <c r="LE130" s="1"/>
      <c r="LF130" s="1"/>
      <c r="LG130" s="1"/>
      <c r="LH130" s="1"/>
      <c r="LI130" s="1"/>
      <c r="LJ130" s="1"/>
      <c r="LK130" s="1"/>
      <c r="LL130" s="1"/>
      <c r="LM130" s="1"/>
      <c r="LN130" s="1"/>
      <c r="LO130" s="1"/>
      <c r="LP130" s="1"/>
      <c r="LQ130" s="1"/>
      <c r="LR130" s="1"/>
      <c r="LS130" s="1"/>
    </row>
    <row r="131" spans="1:331" s="35" customFormat="1" x14ac:dyDescent="0.25">
      <c r="A131" s="35" t="s">
        <v>541</v>
      </c>
      <c r="B131" s="39" t="s">
        <v>542</v>
      </c>
      <c r="C131" s="13" t="s">
        <v>2072</v>
      </c>
      <c r="D131" s="35">
        <v>1</v>
      </c>
      <c r="E131" s="35" t="s">
        <v>543</v>
      </c>
      <c r="H131" s="35" t="s">
        <v>544</v>
      </c>
      <c r="I131" s="35" t="s">
        <v>545</v>
      </c>
      <c r="J131" s="35" t="s">
        <v>546</v>
      </c>
      <c r="K131" s="35" t="s">
        <v>545</v>
      </c>
      <c r="L131" s="35">
        <v>0</v>
      </c>
      <c r="O131" s="35">
        <v>1</v>
      </c>
      <c r="Q131" s="1"/>
      <c r="R131" s="1" t="s">
        <v>353</v>
      </c>
      <c r="S131" s="35">
        <v>9</v>
      </c>
      <c r="U131" s="35">
        <v>9</v>
      </c>
      <c r="W131" s="1">
        <v>9</v>
      </c>
      <c r="X131" s="1"/>
      <c r="Y131" s="1"/>
      <c r="Z131" s="35">
        <v>7</v>
      </c>
      <c r="AA131" s="1" t="b">
        <v>1</v>
      </c>
      <c r="AB131" s="1"/>
      <c r="AC131" s="57" t="s">
        <v>1297</v>
      </c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  <c r="IY131" s="1"/>
      <c r="IZ131" s="1"/>
      <c r="JA131" s="1"/>
      <c r="JB131" s="1"/>
      <c r="JC131" s="1"/>
      <c r="JD131" s="1"/>
      <c r="JE131" s="1"/>
      <c r="JF131" s="1"/>
      <c r="JG131" s="1"/>
      <c r="JH131" s="1"/>
      <c r="JI131" s="1"/>
      <c r="JJ131" s="1"/>
      <c r="JK131" s="1"/>
      <c r="JL131" s="1"/>
      <c r="JM131" s="1"/>
      <c r="JN131" s="1"/>
      <c r="JO131" s="1"/>
      <c r="JP131" s="1"/>
      <c r="JQ131" s="1"/>
      <c r="JR131" s="1"/>
      <c r="JS131" s="1"/>
      <c r="JT131" s="1"/>
      <c r="JU131" s="1"/>
      <c r="JV131" s="1"/>
      <c r="JW131" s="1"/>
      <c r="JX131" s="1"/>
      <c r="JY131" s="1"/>
      <c r="JZ131" s="1"/>
      <c r="KA131" s="1"/>
      <c r="KB131" s="1"/>
      <c r="KC131" s="1"/>
      <c r="KD131" s="1"/>
      <c r="KE131" s="1"/>
      <c r="KF131" s="1"/>
      <c r="KG131" s="1"/>
      <c r="KH131" s="1"/>
      <c r="KI131" s="1"/>
      <c r="KJ131" s="1"/>
      <c r="KK131" s="1"/>
      <c r="KL131" s="1"/>
      <c r="KM131" s="1"/>
      <c r="KN131" s="1"/>
      <c r="KO131" s="1"/>
      <c r="KP131" s="1"/>
      <c r="KQ131" s="1"/>
      <c r="KR131" s="1"/>
      <c r="KS131" s="1"/>
      <c r="KT131" s="1"/>
      <c r="KU131" s="1"/>
      <c r="KV131" s="1"/>
      <c r="KW131" s="1"/>
      <c r="KX131" s="1"/>
      <c r="KY131" s="1"/>
      <c r="KZ131" s="1"/>
      <c r="LA131" s="1"/>
      <c r="LB131" s="1"/>
      <c r="LC131" s="1"/>
      <c r="LD131" s="1"/>
      <c r="LE131" s="1"/>
      <c r="LF131" s="1"/>
      <c r="LG131" s="1"/>
      <c r="LH131" s="1"/>
      <c r="LI131" s="1"/>
      <c r="LJ131" s="1"/>
      <c r="LK131" s="1"/>
      <c r="LL131" s="1"/>
      <c r="LM131" s="1"/>
      <c r="LN131" s="1"/>
      <c r="LO131" s="1"/>
      <c r="LP131" s="1"/>
      <c r="LQ131" s="1"/>
      <c r="LR131" s="1"/>
      <c r="LS131" s="1"/>
    </row>
    <row r="132" spans="1:331" s="35" customFormat="1" x14ac:dyDescent="0.25">
      <c r="A132" s="35" t="s">
        <v>547</v>
      </c>
      <c r="B132" s="39" t="s">
        <v>548</v>
      </c>
      <c r="C132" s="13" t="s">
        <v>2072</v>
      </c>
      <c r="D132" s="35">
        <v>1</v>
      </c>
      <c r="E132" s="35" t="s">
        <v>151</v>
      </c>
      <c r="H132" s="35" t="s">
        <v>549</v>
      </c>
      <c r="I132" s="35" t="s">
        <v>550</v>
      </c>
      <c r="J132" s="35" t="s">
        <v>549</v>
      </c>
      <c r="K132" s="35" t="s">
        <v>550</v>
      </c>
      <c r="L132" s="35">
        <v>0</v>
      </c>
      <c r="O132" s="35">
        <v>1</v>
      </c>
      <c r="P132" s="35" t="s">
        <v>551</v>
      </c>
      <c r="Q132" s="1" t="s">
        <v>1571</v>
      </c>
      <c r="R132" s="1"/>
      <c r="T132" s="35">
        <v>25</v>
      </c>
      <c r="V132" s="35">
        <v>22</v>
      </c>
      <c r="W132" s="1">
        <v>25</v>
      </c>
      <c r="X132" s="1">
        <v>17</v>
      </c>
      <c r="Y132" s="1" t="s">
        <v>2277</v>
      </c>
      <c r="Z132" s="35">
        <v>7</v>
      </c>
      <c r="AA132" s="1" t="b">
        <v>1</v>
      </c>
      <c r="AB132" s="1"/>
      <c r="AC132" s="57" t="s">
        <v>1298</v>
      </c>
      <c r="AD132" s="1" t="b">
        <v>1</v>
      </c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  <c r="IY132" s="1"/>
      <c r="IZ132" s="1"/>
      <c r="JA132" s="1"/>
      <c r="JB132" s="1"/>
      <c r="JC132" s="1"/>
      <c r="JD132" s="1"/>
      <c r="JE132" s="1"/>
      <c r="JF132" s="1"/>
      <c r="JG132" s="1"/>
      <c r="JH132" s="1"/>
      <c r="JI132" s="1"/>
      <c r="JJ132" s="1"/>
      <c r="JK132" s="1"/>
      <c r="JL132" s="1"/>
      <c r="JM132" s="1"/>
      <c r="JN132" s="1"/>
      <c r="JO132" s="1"/>
      <c r="JP132" s="1"/>
      <c r="JQ132" s="1"/>
      <c r="JR132" s="1"/>
      <c r="JS132" s="1"/>
      <c r="JT132" s="1"/>
      <c r="JU132" s="1"/>
      <c r="JV132" s="1"/>
      <c r="JW132" s="1"/>
      <c r="JX132" s="1"/>
      <c r="JY132" s="1"/>
      <c r="JZ132" s="1"/>
      <c r="KA132" s="1"/>
      <c r="KB132" s="1"/>
      <c r="KC132" s="1"/>
      <c r="KD132" s="1"/>
      <c r="KE132" s="1"/>
      <c r="KF132" s="1"/>
      <c r="KG132" s="1"/>
      <c r="KH132" s="1"/>
      <c r="KI132" s="1"/>
      <c r="KJ132" s="1"/>
      <c r="KK132" s="1"/>
      <c r="KL132" s="1"/>
      <c r="KM132" s="1"/>
      <c r="KN132" s="1"/>
      <c r="KO132" s="1"/>
      <c r="KP132" s="1"/>
      <c r="KQ132" s="1"/>
      <c r="KR132" s="1"/>
      <c r="KS132" s="1"/>
      <c r="KT132" s="1"/>
      <c r="KU132" s="1"/>
      <c r="KV132" s="1"/>
      <c r="KW132" s="1"/>
      <c r="KX132" s="1"/>
      <c r="KY132" s="1"/>
      <c r="KZ132" s="1"/>
      <c r="LA132" s="1"/>
      <c r="LB132" s="1"/>
      <c r="LC132" s="1"/>
      <c r="LD132" s="1"/>
      <c r="LE132" s="1"/>
      <c r="LF132" s="1"/>
      <c r="LG132" s="1"/>
      <c r="LH132" s="1"/>
      <c r="LI132" s="1"/>
      <c r="LJ132" s="1"/>
      <c r="LK132" s="1"/>
      <c r="LL132" s="1"/>
      <c r="LM132" s="1"/>
      <c r="LN132" s="1"/>
      <c r="LO132" s="1"/>
      <c r="LP132" s="1"/>
      <c r="LQ132" s="1"/>
      <c r="LR132" s="1"/>
      <c r="LS132" s="1"/>
    </row>
    <row r="133" spans="1:331" s="3" customFormat="1" x14ac:dyDescent="0.25">
      <c r="A133" s="3" t="s">
        <v>552</v>
      </c>
      <c r="B133" s="5" t="s">
        <v>553</v>
      </c>
      <c r="C133" s="13" t="s">
        <v>2072</v>
      </c>
      <c r="D133" s="3">
        <v>0</v>
      </c>
      <c r="H133" s="3" t="s">
        <v>554</v>
      </c>
      <c r="I133" s="3" t="s">
        <v>555</v>
      </c>
      <c r="J133" s="3" t="s">
        <v>554</v>
      </c>
      <c r="K133" s="3" t="s">
        <v>555</v>
      </c>
      <c r="L133" s="3">
        <v>1</v>
      </c>
      <c r="M133" s="3" t="s">
        <v>556</v>
      </c>
      <c r="O133" s="3">
        <v>0</v>
      </c>
      <c r="Q133" s="1" t="s">
        <v>554</v>
      </c>
      <c r="R133" s="1"/>
      <c r="T133" s="3">
        <v>19</v>
      </c>
      <c r="V133" s="3">
        <v>23</v>
      </c>
      <c r="W133" s="1">
        <v>19</v>
      </c>
      <c r="X133" s="1">
        <v>18</v>
      </c>
      <c r="Y133" s="1" t="s">
        <v>2278</v>
      </c>
      <c r="Z133" s="3">
        <v>1</v>
      </c>
      <c r="AA133" s="1" t="b">
        <v>1</v>
      </c>
      <c r="AB133" s="1"/>
      <c r="AC133" s="57" t="s">
        <v>1395</v>
      </c>
      <c r="AD133" s="1" t="b">
        <v>1</v>
      </c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  <c r="IY133" s="1"/>
      <c r="IZ133" s="1"/>
      <c r="JA133" s="1"/>
      <c r="JB133" s="1"/>
      <c r="JC133" s="1"/>
      <c r="JD133" s="1"/>
      <c r="JE133" s="1"/>
      <c r="JF133" s="1"/>
      <c r="JG133" s="1"/>
      <c r="JH133" s="1"/>
      <c r="JI133" s="1"/>
      <c r="JJ133" s="1"/>
      <c r="JK133" s="1"/>
      <c r="JL133" s="1"/>
      <c r="JM133" s="1"/>
      <c r="JN133" s="1"/>
      <c r="JO133" s="1"/>
      <c r="JP133" s="1"/>
      <c r="JQ133" s="1"/>
      <c r="JR133" s="1"/>
      <c r="JS133" s="1"/>
      <c r="JT133" s="1"/>
      <c r="JU133" s="1"/>
      <c r="JV133" s="1"/>
      <c r="JW133" s="1"/>
      <c r="JX133" s="1"/>
      <c r="JY133" s="1"/>
      <c r="JZ133" s="1"/>
      <c r="KA133" s="1"/>
      <c r="KB133" s="1"/>
      <c r="KC133" s="1"/>
      <c r="KD133" s="1"/>
      <c r="KE133" s="1"/>
      <c r="KF133" s="1"/>
      <c r="KG133" s="1"/>
      <c r="KH133" s="1"/>
      <c r="KI133" s="1"/>
      <c r="KJ133" s="1"/>
      <c r="KK133" s="1"/>
      <c r="KL133" s="1"/>
      <c r="KM133" s="1"/>
      <c r="KN133" s="1"/>
      <c r="KO133" s="1"/>
      <c r="KP133" s="1"/>
      <c r="KQ133" s="1"/>
      <c r="KR133" s="1"/>
      <c r="KS133" s="1"/>
      <c r="KT133" s="1"/>
      <c r="KU133" s="1"/>
      <c r="KV133" s="1"/>
      <c r="KW133" s="1"/>
      <c r="KX133" s="1"/>
      <c r="KY133" s="1"/>
      <c r="KZ133" s="1"/>
      <c r="LA133" s="1"/>
      <c r="LB133" s="1"/>
      <c r="LC133" s="1"/>
      <c r="LD133" s="1"/>
      <c r="LE133" s="1"/>
      <c r="LF133" s="1"/>
      <c r="LG133" s="1"/>
      <c r="LH133" s="1"/>
      <c r="LI133" s="1"/>
      <c r="LJ133" s="1"/>
      <c r="LK133" s="1"/>
      <c r="LL133" s="1"/>
      <c r="LM133" s="1"/>
      <c r="LN133" s="1"/>
      <c r="LO133" s="1"/>
      <c r="LP133" s="1"/>
      <c r="LQ133" s="1"/>
      <c r="LR133" s="1"/>
      <c r="LS133" s="1"/>
    </row>
    <row r="134" spans="1:331" s="30" customFormat="1" x14ac:dyDescent="0.25">
      <c r="A134" s="30" t="s">
        <v>557</v>
      </c>
      <c r="B134" s="30" t="s">
        <v>558</v>
      </c>
      <c r="C134" s="1" t="s">
        <v>2072</v>
      </c>
      <c r="D134" s="30">
        <v>1</v>
      </c>
      <c r="E134" s="30" t="s">
        <v>62</v>
      </c>
      <c r="H134" s="30" t="s">
        <v>559</v>
      </c>
      <c r="I134" s="30" t="s">
        <v>98</v>
      </c>
      <c r="J134" s="30" t="s">
        <v>560</v>
      </c>
      <c r="K134" s="30" t="s">
        <v>2103</v>
      </c>
      <c r="L134" s="30">
        <v>0</v>
      </c>
      <c r="O134" s="30">
        <v>1</v>
      </c>
      <c r="Q134" s="1" t="s">
        <v>1572</v>
      </c>
      <c r="R134" s="1"/>
      <c r="S134" s="30">
        <v>20</v>
      </c>
      <c r="W134" s="1">
        <v>20</v>
      </c>
      <c r="X134" s="1">
        <v>12</v>
      </c>
      <c r="Y134" s="1" t="s">
        <v>2279</v>
      </c>
      <c r="Z134" s="30">
        <v>6</v>
      </c>
      <c r="AA134" s="1" t="b">
        <v>1</v>
      </c>
      <c r="AB134" s="1"/>
      <c r="AC134" s="57" t="s">
        <v>1299</v>
      </c>
      <c r="AD134" s="1" t="b">
        <v>1</v>
      </c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  <c r="IY134" s="1"/>
      <c r="IZ134" s="1"/>
      <c r="JA134" s="1"/>
      <c r="JB134" s="1"/>
      <c r="JC134" s="1"/>
      <c r="JD134" s="1"/>
      <c r="JE134" s="1"/>
      <c r="JF134" s="1"/>
      <c r="JG134" s="1"/>
      <c r="JH134" s="1"/>
      <c r="JI134" s="1"/>
      <c r="JJ134" s="1"/>
      <c r="JK134" s="1"/>
      <c r="JL134" s="1"/>
      <c r="JM134" s="1"/>
      <c r="JN134" s="1"/>
      <c r="JO134" s="1"/>
      <c r="JP134" s="1"/>
      <c r="JQ134" s="1"/>
      <c r="JR134" s="1"/>
      <c r="JS134" s="1"/>
      <c r="JT134" s="1"/>
      <c r="JU134" s="1"/>
      <c r="JV134" s="1"/>
      <c r="JW134" s="1"/>
      <c r="JX134" s="1"/>
      <c r="JY134" s="1"/>
      <c r="JZ134" s="1"/>
      <c r="KA134" s="1"/>
      <c r="KB134" s="1"/>
      <c r="KC134" s="1"/>
      <c r="KD134" s="1"/>
      <c r="KE134" s="1"/>
      <c r="KF134" s="1"/>
      <c r="KG134" s="1"/>
      <c r="KH134" s="1"/>
      <c r="KI134" s="1"/>
      <c r="KJ134" s="1"/>
      <c r="KK134" s="1"/>
      <c r="KL134" s="1"/>
      <c r="KM134" s="1"/>
      <c r="KN134" s="1"/>
      <c r="KO134" s="1"/>
      <c r="KP134" s="1"/>
      <c r="KQ134" s="1"/>
      <c r="KR134" s="1"/>
      <c r="KS134" s="1"/>
      <c r="KT134" s="1"/>
      <c r="KU134" s="1"/>
      <c r="KV134" s="1"/>
      <c r="KW134" s="1"/>
      <c r="KX134" s="1"/>
      <c r="KY134" s="1"/>
      <c r="KZ134" s="1"/>
      <c r="LA134" s="1"/>
      <c r="LB134" s="1"/>
      <c r="LC134" s="1"/>
      <c r="LD134" s="1"/>
      <c r="LE134" s="1"/>
      <c r="LF134" s="1"/>
      <c r="LG134" s="1"/>
      <c r="LH134" s="1"/>
      <c r="LI134" s="1"/>
      <c r="LJ134" s="1"/>
      <c r="LK134" s="1"/>
      <c r="LL134" s="1"/>
      <c r="LM134" s="1"/>
      <c r="LN134" s="1"/>
      <c r="LO134" s="1"/>
      <c r="LP134" s="1"/>
      <c r="LQ134" s="1"/>
      <c r="LR134" s="1"/>
      <c r="LS134" s="1"/>
    </row>
    <row r="135" spans="1:331" s="25" customFormat="1" x14ac:dyDescent="0.25">
      <c r="A135" s="25" t="s">
        <v>561</v>
      </c>
      <c r="B135" s="29" t="s">
        <v>562</v>
      </c>
      <c r="C135" s="13" t="s">
        <v>2072</v>
      </c>
      <c r="D135" s="25">
        <v>0</v>
      </c>
      <c r="H135" s="25" t="s">
        <v>563</v>
      </c>
      <c r="I135" s="25" t="s">
        <v>564</v>
      </c>
      <c r="J135" s="25" t="s">
        <v>563</v>
      </c>
      <c r="K135" s="25" t="s">
        <v>564</v>
      </c>
      <c r="L135" s="25">
        <v>0</v>
      </c>
      <c r="O135" s="25">
        <v>1</v>
      </c>
      <c r="Q135" s="1" t="s">
        <v>654</v>
      </c>
      <c r="R135" s="1"/>
      <c r="T135" s="25">
        <v>19</v>
      </c>
      <c r="V135" s="25">
        <v>17</v>
      </c>
      <c r="W135" s="1">
        <v>19</v>
      </c>
      <c r="X135" s="1">
        <v>16</v>
      </c>
      <c r="Y135" s="1" t="s">
        <v>2280</v>
      </c>
      <c r="Z135" s="25">
        <v>5</v>
      </c>
      <c r="AA135" s="1" t="b">
        <v>1</v>
      </c>
      <c r="AB135" s="1"/>
      <c r="AC135" s="57" t="s">
        <v>1357</v>
      </c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  <c r="IY135" s="1"/>
      <c r="IZ135" s="1"/>
      <c r="JA135" s="1"/>
      <c r="JB135" s="1"/>
      <c r="JC135" s="1"/>
      <c r="JD135" s="1"/>
      <c r="JE135" s="1"/>
      <c r="JF135" s="1"/>
      <c r="JG135" s="1"/>
      <c r="JH135" s="1"/>
      <c r="JI135" s="1"/>
      <c r="JJ135" s="1"/>
      <c r="JK135" s="1"/>
      <c r="JL135" s="1"/>
      <c r="JM135" s="1"/>
      <c r="JN135" s="1"/>
      <c r="JO135" s="1"/>
      <c r="JP135" s="1"/>
      <c r="JQ135" s="1"/>
      <c r="JR135" s="1"/>
      <c r="JS135" s="1"/>
      <c r="JT135" s="1"/>
      <c r="JU135" s="1"/>
      <c r="JV135" s="1"/>
      <c r="JW135" s="1"/>
      <c r="JX135" s="1"/>
      <c r="JY135" s="1"/>
      <c r="JZ135" s="1"/>
      <c r="KA135" s="1"/>
      <c r="KB135" s="1"/>
      <c r="KC135" s="1"/>
      <c r="KD135" s="1"/>
      <c r="KE135" s="1"/>
      <c r="KF135" s="1"/>
      <c r="KG135" s="1"/>
      <c r="KH135" s="1"/>
      <c r="KI135" s="1"/>
      <c r="KJ135" s="1"/>
      <c r="KK135" s="1"/>
      <c r="KL135" s="1"/>
      <c r="KM135" s="1"/>
      <c r="KN135" s="1"/>
      <c r="KO135" s="1"/>
      <c r="KP135" s="1"/>
      <c r="KQ135" s="1"/>
      <c r="KR135" s="1"/>
      <c r="KS135" s="1"/>
      <c r="KT135" s="1"/>
      <c r="KU135" s="1"/>
      <c r="KV135" s="1"/>
      <c r="KW135" s="1"/>
      <c r="KX135" s="1"/>
      <c r="KY135" s="1"/>
      <c r="KZ135" s="1"/>
      <c r="LA135" s="1"/>
      <c r="LB135" s="1"/>
      <c r="LC135" s="1"/>
      <c r="LD135" s="1"/>
      <c r="LE135" s="1"/>
      <c r="LF135" s="1"/>
      <c r="LG135" s="1"/>
      <c r="LH135" s="1"/>
      <c r="LI135" s="1"/>
      <c r="LJ135" s="1"/>
      <c r="LK135" s="1"/>
      <c r="LL135" s="1"/>
      <c r="LM135" s="1"/>
      <c r="LN135" s="1"/>
      <c r="LO135" s="1"/>
      <c r="LP135" s="1"/>
      <c r="LQ135" s="1"/>
      <c r="LR135" s="1"/>
      <c r="LS135" s="1"/>
    </row>
    <row r="136" spans="1:331" s="35" customFormat="1" x14ac:dyDescent="0.25">
      <c r="A136" s="35" t="s">
        <v>565</v>
      </c>
      <c r="B136" s="39" t="s">
        <v>566</v>
      </c>
      <c r="C136" s="13" t="s">
        <v>2072</v>
      </c>
      <c r="D136" s="35">
        <v>1</v>
      </c>
      <c r="E136" s="35" t="s">
        <v>567</v>
      </c>
      <c r="H136" s="35" t="s">
        <v>568</v>
      </c>
      <c r="I136" s="35" t="s">
        <v>569</v>
      </c>
      <c r="J136" s="35" t="s">
        <v>568</v>
      </c>
      <c r="K136" s="35" t="s">
        <v>2104</v>
      </c>
      <c r="L136" s="35">
        <v>0</v>
      </c>
      <c r="O136" s="35">
        <v>1</v>
      </c>
      <c r="P136" s="35" t="s">
        <v>570</v>
      </c>
      <c r="Q136" s="1" t="s">
        <v>1573</v>
      </c>
      <c r="R136" s="1"/>
      <c r="S136" s="35">
        <v>10</v>
      </c>
      <c r="W136" s="1">
        <v>10</v>
      </c>
      <c r="X136" s="1">
        <v>16</v>
      </c>
      <c r="Y136" s="1" t="s">
        <v>2281</v>
      </c>
      <c r="Z136" s="35">
        <v>7</v>
      </c>
      <c r="AA136" s="1" t="b">
        <v>1</v>
      </c>
      <c r="AB136" s="1"/>
      <c r="AC136" s="57" t="s">
        <v>1292</v>
      </c>
      <c r="AD136" s="1" t="b">
        <v>1</v>
      </c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  <c r="IY136" s="1"/>
      <c r="IZ136" s="1"/>
      <c r="JA136" s="1"/>
      <c r="JB136" s="1"/>
      <c r="JC136" s="1"/>
      <c r="JD136" s="1"/>
      <c r="JE136" s="1"/>
      <c r="JF136" s="1"/>
      <c r="JG136" s="1"/>
      <c r="JH136" s="1"/>
      <c r="JI136" s="1"/>
      <c r="JJ136" s="1"/>
      <c r="JK136" s="1"/>
      <c r="JL136" s="1"/>
      <c r="JM136" s="1"/>
      <c r="JN136" s="1"/>
      <c r="JO136" s="1"/>
      <c r="JP136" s="1"/>
      <c r="JQ136" s="1"/>
      <c r="JR136" s="1"/>
      <c r="JS136" s="1"/>
      <c r="JT136" s="1"/>
      <c r="JU136" s="1"/>
      <c r="JV136" s="1"/>
      <c r="JW136" s="1"/>
      <c r="JX136" s="1"/>
      <c r="JY136" s="1"/>
      <c r="JZ136" s="1"/>
      <c r="KA136" s="1"/>
      <c r="KB136" s="1"/>
      <c r="KC136" s="1"/>
      <c r="KD136" s="1"/>
      <c r="KE136" s="1"/>
      <c r="KF136" s="1"/>
      <c r="KG136" s="1"/>
      <c r="KH136" s="1"/>
      <c r="KI136" s="1"/>
      <c r="KJ136" s="1"/>
      <c r="KK136" s="1"/>
      <c r="KL136" s="1"/>
      <c r="KM136" s="1"/>
      <c r="KN136" s="1"/>
      <c r="KO136" s="1"/>
      <c r="KP136" s="1"/>
      <c r="KQ136" s="1"/>
      <c r="KR136" s="1"/>
      <c r="KS136" s="1"/>
      <c r="KT136" s="1"/>
      <c r="KU136" s="1"/>
      <c r="KV136" s="1"/>
      <c r="KW136" s="1"/>
      <c r="KX136" s="1"/>
      <c r="KY136" s="1"/>
      <c r="KZ136" s="1"/>
      <c r="LA136" s="1"/>
      <c r="LB136" s="1"/>
      <c r="LC136" s="1"/>
      <c r="LD136" s="1"/>
      <c r="LE136" s="1"/>
      <c r="LF136" s="1"/>
      <c r="LG136" s="1"/>
      <c r="LH136" s="1"/>
      <c r="LI136" s="1"/>
      <c r="LJ136" s="1"/>
      <c r="LK136" s="1"/>
      <c r="LL136" s="1"/>
      <c r="LM136" s="1"/>
      <c r="LN136" s="1"/>
      <c r="LO136" s="1"/>
      <c r="LP136" s="1"/>
      <c r="LQ136" s="1"/>
      <c r="LR136" s="1"/>
      <c r="LS136" s="1"/>
    </row>
    <row r="137" spans="1:331" s="25" customFormat="1" x14ac:dyDescent="0.25">
      <c r="A137" s="25" t="s">
        <v>571</v>
      </c>
      <c r="B137" s="29" t="s">
        <v>572</v>
      </c>
      <c r="C137" s="13" t="s">
        <v>2072</v>
      </c>
      <c r="D137" s="25">
        <v>0</v>
      </c>
      <c r="H137" s="25" t="s">
        <v>353</v>
      </c>
      <c r="I137" s="25" t="s">
        <v>573</v>
      </c>
      <c r="J137" s="25" t="s">
        <v>353</v>
      </c>
      <c r="K137" s="25" t="s">
        <v>573</v>
      </c>
      <c r="L137" s="25">
        <v>0</v>
      </c>
      <c r="O137" s="25">
        <v>0</v>
      </c>
      <c r="Q137" s="1" t="s">
        <v>1574</v>
      </c>
      <c r="R137" s="1"/>
      <c r="U137" s="25">
        <v>6</v>
      </c>
      <c r="W137" s="1">
        <v>6</v>
      </c>
      <c r="X137" s="1">
        <v>11</v>
      </c>
      <c r="Y137" s="1" t="s">
        <v>2282</v>
      </c>
      <c r="Z137" s="25">
        <v>5</v>
      </c>
      <c r="AA137" s="1" t="b">
        <v>1</v>
      </c>
      <c r="AB137" s="1"/>
      <c r="AC137" s="57" t="s">
        <v>1358</v>
      </c>
      <c r="AD137" s="1" t="b">
        <v>1</v>
      </c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  <c r="IY137" s="1"/>
      <c r="IZ137" s="1"/>
      <c r="JA137" s="1"/>
      <c r="JB137" s="1"/>
      <c r="JC137" s="1"/>
      <c r="JD137" s="1"/>
      <c r="JE137" s="1"/>
      <c r="JF137" s="1"/>
      <c r="JG137" s="1"/>
      <c r="JH137" s="1"/>
      <c r="JI137" s="1"/>
      <c r="JJ137" s="1"/>
      <c r="JK137" s="1"/>
      <c r="JL137" s="1"/>
      <c r="JM137" s="1"/>
      <c r="JN137" s="1"/>
      <c r="JO137" s="1"/>
      <c r="JP137" s="1"/>
      <c r="JQ137" s="1"/>
      <c r="JR137" s="1"/>
      <c r="JS137" s="1"/>
      <c r="JT137" s="1"/>
      <c r="JU137" s="1"/>
      <c r="JV137" s="1"/>
      <c r="JW137" s="1"/>
      <c r="JX137" s="1"/>
      <c r="JY137" s="1"/>
      <c r="JZ137" s="1"/>
      <c r="KA137" s="1"/>
      <c r="KB137" s="1"/>
      <c r="KC137" s="1"/>
      <c r="KD137" s="1"/>
      <c r="KE137" s="1"/>
      <c r="KF137" s="1"/>
      <c r="KG137" s="1"/>
      <c r="KH137" s="1"/>
      <c r="KI137" s="1"/>
      <c r="KJ137" s="1"/>
      <c r="KK137" s="1"/>
      <c r="KL137" s="1"/>
      <c r="KM137" s="1"/>
      <c r="KN137" s="1"/>
      <c r="KO137" s="1"/>
      <c r="KP137" s="1"/>
      <c r="KQ137" s="1"/>
      <c r="KR137" s="1"/>
      <c r="KS137" s="1"/>
      <c r="KT137" s="1"/>
      <c r="KU137" s="1"/>
      <c r="KV137" s="1"/>
      <c r="KW137" s="1"/>
      <c r="KX137" s="1"/>
      <c r="KY137" s="1"/>
      <c r="KZ137" s="1"/>
      <c r="LA137" s="1"/>
      <c r="LB137" s="1"/>
      <c r="LC137" s="1"/>
      <c r="LD137" s="1"/>
      <c r="LE137" s="1"/>
      <c r="LF137" s="1"/>
      <c r="LG137" s="1"/>
      <c r="LH137" s="1"/>
      <c r="LI137" s="1"/>
      <c r="LJ137" s="1"/>
      <c r="LK137" s="1"/>
      <c r="LL137" s="1"/>
      <c r="LM137" s="1"/>
      <c r="LN137" s="1"/>
      <c r="LO137" s="1"/>
      <c r="LP137" s="1"/>
      <c r="LQ137" s="1"/>
      <c r="LR137" s="1"/>
      <c r="LS137" s="1"/>
    </row>
    <row r="138" spans="1:331" s="35" customFormat="1" x14ac:dyDescent="0.25">
      <c r="A138" s="35" t="s">
        <v>574</v>
      </c>
      <c r="B138" s="39" t="s">
        <v>575</v>
      </c>
      <c r="C138" s="13" t="s">
        <v>2072</v>
      </c>
      <c r="D138" s="35">
        <v>0</v>
      </c>
      <c r="H138" s="35" t="s">
        <v>353</v>
      </c>
      <c r="I138" s="35" t="s">
        <v>576</v>
      </c>
      <c r="J138" s="35" t="s">
        <v>353</v>
      </c>
      <c r="K138" s="35" t="s">
        <v>146</v>
      </c>
      <c r="L138" s="35">
        <v>0</v>
      </c>
      <c r="O138" s="35">
        <v>1</v>
      </c>
      <c r="Q138" s="1"/>
      <c r="R138" s="1" t="s">
        <v>577</v>
      </c>
      <c r="S138" s="35">
        <v>25</v>
      </c>
      <c r="W138" s="1">
        <v>25</v>
      </c>
      <c r="X138" s="1">
        <v>12</v>
      </c>
      <c r="Y138" s="1" t="s">
        <v>2283</v>
      </c>
      <c r="Z138" s="35">
        <v>7</v>
      </c>
      <c r="AA138" s="1" t="b">
        <v>1</v>
      </c>
      <c r="AB138" s="1"/>
      <c r="AC138" s="57" t="s">
        <v>1300</v>
      </c>
      <c r="AD138" s="1" t="b">
        <v>1</v>
      </c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  <c r="IY138" s="1"/>
      <c r="IZ138" s="1"/>
      <c r="JA138" s="1"/>
      <c r="JB138" s="1"/>
      <c r="JC138" s="1"/>
      <c r="JD138" s="1"/>
      <c r="JE138" s="1"/>
      <c r="JF138" s="1"/>
      <c r="JG138" s="1"/>
      <c r="JH138" s="1"/>
      <c r="JI138" s="1"/>
      <c r="JJ138" s="1"/>
      <c r="JK138" s="1"/>
      <c r="JL138" s="1"/>
      <c r="JM138" s="1"/>
      <c r="JN138" s="1"/>
      <c r="JO138" s="1"/>
      <c r="JP138" s="1"/>
      <c r="JQ138" s="1"/>
      <c r="JR138" s="1"/>
      <c r="JS138" s="1"/>
      <c r="JT138" s="1"/>
      <c r="JU138" s="1"/>
      <c r="JV138" s="1"/>
      <c r="JW138" s="1"/>
      <c r="JX138" s="1"/>
      <c r="JY138" s="1"/>
      <c r="JZ138" s="1"/>
      <c r="KA138" s="1"/>
      <c r="KB138" s="1"/>
      <c r="KC138" s="1"/>
      <c r="KD138" s="1"/>
      <c r="KE138" s="1"/>
      <c r="KF138" s="1"/>
      <c r="KG138" s="1"/>
      <c r="KH138" s="1"/>
      <c r="KI138" s="1"/>
      <c r="KJ138" s="1"/>
      <c r="KK138" s="1"/>
      <c r="KL138" s="1"/>
      <c r="KM138" s="1"/>
      <c r="KN138" s="1"/>
      <c r="KO138" s="1"/>
      <c r="KP138" s="1"/>
      <c r="KQ138" s="1"/>
      <c r="KR138" s="1"/>
      <c r="KS138" s="1"/>
      <c r="KT138" s="1"/>
      <c r="KU138" s="1"/>
      <c r="KV138" s="1"/>
      <c r="KW138" s="1"/>
      <c r="KX138" s="1"/>
      <c r="KY138" s="1"/>
      <c r="KZ138" s="1"/>
      <c r="LA138" s="1"/>
      <c r="LB138" s="1"/>
      <c r="LC138" s="1"/>
      <c r="LD138" s="1"/>
      <c r="LE138" s="1"/>
      <c r="LF138" s="1"/>
      <c r="LG138" s="1"/>
      <c r="LH138" s="1"/>
      <c r="LI138" s="1"/>
      <c r="LJ138" s="1"/>
      <c r="LK138" s="1"/>
      <c r="LL138" s="1"/>
      <c r="LM138" s="1"/>
      <c r="LN138" s="1"/>
      <c r="LO138" s="1"/>
      <c r="LP138" s="1"/>
      <c r="LQ138" s="1"/>
      <c r="LR138" s="1"/>
      <c r="LS138" s="1"/>
    </row>
    <row r="139" spans="1:331" s="25" customFormat="1" x14ac:dyDescent="0.25">
      <c r="A139" s="25" t="s">
        <v>578</v>
      </c>
      <c r="B139" s="29" t="s">
        <v>579</v>
      </c>
      <c r="C139" s="13" t="s">
        <v>2072</v>
      </c>
      <c r="D139" s="25">
        <v>0</v>
      </c>
      <c r="H139" s="25" t="s">
        <v>101</v>
      </c>
      <c r="I139" s="25" t="s">
        <v>476</v>
      </c>
      <c r="J139" s="25" t="s">
        <v>101</v>
      </c>
      <c r="K139" s="25" t="s">
        <v>101</v>
      </c>
      <c r="L139" s="25">
        <v>0</v>
      </c>
      <c r="O139" s="25">
        <v>0</v>
      </c>
      <c r="Q139" s="1" t="s">
        <v>85</v>
      </c>
      <c r="R139" s="1"/>
      <c r="S139" s="25">
        <v>8</v>
      </c>
      <c r="W139" s="1">
        <v>8</v>
      </c>
      <c r="X139" s="1">
        <v>9</v>
      </c>
      <c r="Y139" s="1" t="s">
        <v>2284</v>
      </c>
      <c r="Z139" s="25">
        <v>5</v>
      </c>
      <c r="AA139" s="1" t="b">
        <v>1</v>
      </c>
      <c r="AB139" s="1"/>
      <c r="AC139" s="57" t="s">
        <v>1359</v>
      </c>
      <c r="AD139" s="1" t="b">
        <v>1</v>
      </c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  <c r="IY139" s="1"/>
      <c r="IZ139" s="1"/>
      <c r="JA139" s="1"/>
      <c r="JB139" s="1"/>
      <c r="JC139" s="1"/>
      <c r="JD139" s="1"/>
      <c r="JE139" s="1"/>
      <c r="JF139" s="1"/>
      <c r="JG139" s="1"/>
      <c r="JH139" s="1"/>
      <c r="JI139" s="1"/>
      <c r="JJ139" s="1"/>
      <c r="JK139" s="1"/>
      <c r="JL139" s="1"/>
      <c r="JM139" s="1"/>
      <c r="JN139" s="1"/>
      <c r="JO139" s="1"/>
      <c r="JP139" s="1"/>
      <c r="JQ139" s="1"/>
      <c r="JR139" s="1"/>
      <c r="JS139" s="1"/>
      <c r="JT139" s="1"/>
      <c r="JU139" s="1"/>
      <c r="JV139" s="1"/>
      <c r="JW139" s="1"/>
      <c r="JX139" s="1"/>
      <c r="JY139" s="1"/>
      <c r="JZ139" s="1"/>
      <c r="KA139" s="1"/>
      <c r="KB139" s="1"/>
      <c r="KC139" s="1"/>
      <c r="KD139" s="1"/>
      <c r="KE139" s="1"/>
      <c r="KF139" s="1"/>
      <c r="KG139" s="1"/>
      <c r="KH139" s="1"/>
      <c r="KI139" s="1"/>
      <c r="KJ139" s="1"/>
      <c r="KK139" s="1"/>
      <c r="KL139" s="1"/>
      <c r="KM139" s="1"/>
      <c r="KN139" s="1"/>
      <c r="KO139" s="1"/>
      <c r="KP139" s="1"/>
      <c r="KQ139" s="1"/>
      <c r="KR139" s="1"/>
      <c r="KS139" s="1"/>
      <c r="KT139" s="1"/>
      <c r="KU139" s="1"/>
      <c r="KV139" s="1"/>
      <c r="KW139" s="1"/>
      <c r="KX139" s="1"/>
      <c r="KY139" s="1"/>
      <c r="KZ139" s="1"/>
      <c r="LA139" s="1"/>
      <c r="LB139" s="1"/>
      <c r="LC139" s="1"/>
      <c r="LD139" s="1"/>
      <c r="LE139" s="1"/>
      <c r="LF139" s="1"/>
      <c r="LG139" s="1"/>
      <c r="LH139" s="1"/>
      <c r="LI139" s="1"/>
      <c r="LJ139" s="1"/>
      <c r="LK139" s="1"/>
      <c r="LL139" s="1"/>
      <c r="LM139" s="1"/>
      <c r="LN139" s="1"/>
      <c r="LO139" s="1"/>
      <c r="LP139" s="1"/>
      <c r="LQ139" s="1"/>
      <c r="LR139" s="1"/>
      <c r="LS139" s="1"/>
    </row>
    <row r="140" spans="1:331" s="30" customFormat="1" x14ac:dyDescent="0.25">
      <c r="A140" s="30" t="s">
        <v>580</v>
      </c>
      <c r="B140" s="30" t="s">
        <v>581</v>
      </c>
      <c r="C140" s="1" t="s">
        <v>2072</v>
      </c>
      <c r="D140" s="30">
        <v>1</v>
      </c>
      <c r="E140" s="30" t="s">
        <v>582</v>
      </c>
      <c r="H140" s="30" t="s">
        <v>583</v>
      </c>
      <c r="I140" s="30" t="s">
        <v>584</v>
      </c>
      <c r="J140" s="30" t="s">
        <v>585</v>
      </c>
      <c r="K140" s="30" t="s">
        <v>583</v>
      </c>
      <c r="L140" s="30">
        <v>0</v>
      </c>
      <c r="O140" s="30">
        <v>1</v>
      </c>
      <c r="Q140" s="1" t="s">
        <v>1575</v>
      </c>
      <c r="R140" s="1"/>
      <c r="U140" s="30">
        <v>6</v>
      </c>
      <c r="W140" s="1">
        <v>6</v>
      </c>
      <c r="X140" s="1">
        <v>10</v>
      </c>
      <c r="Y140" s="1" t="s">
        <v>2285</v>
      </c>
      <c r="Z140" s="30">
        <v>6</v>
      </c>
      <c r="AA140" s="1" t="b">
        <v>1</v>
      </c>
      <c r="AB140" s="1"/>
      <c r="AC140" s="57" t="s">
        <v>1418</v>
      </c>
      <c r="AD140" s="1" t="b">
        <v>1</v>
      </c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  <c r="IY140" s="1"/>
      <c r="IZ140" s="1"/>
      <c r="JA140" s="1"/>
      <c r="JB140" s="1"/>
      <c r="JC140" s="1"/>
      <c r="JD140" s="1"/>
      <c r="JE140" s="1"/>
      <c r="JF140" s="1"/>
      <c r="JG140" s="1"/>
      <c r="JH140" s="1"/>
      <c r="JI140" s="1"/>
      <c r="JJ140" s="1"/>
      <c r="JK140" s="1"/>
      <c r="JL140" s="1"/>
      <c r="JM140" s="1"/>
      <c r="JN140" s="1"/>
      <c r="JO140" s="1"/>
      <c r="JP140" s="1"/>
      <c r="JQ140" s="1"/>
      <c r="JR140" s="1"/>
      <c r="JS140" s="1"/>
      <c r="JT140" s="1"/>
      <c r="JU140" s="1"/>
      <c r="JV140" s="1"/>
      <c r="JW140" s="1"/>
      <c r="JX140" s="1"/>
      <c r="JY140" s="1"/>
      <c r="JZ140" s="1"/>
      <c r="KA140" s="1"/>
      <c r="KB140" s="1"/>
      <c r="KC140" s="1"/>
      <c r="KD140" s="1"/>
      <c r="KE140" s="1"/>
      <c r="KF140" s="1"/>
      <c r="KG140" s="1"/>
      <c r="KH140" s="1"/>
      <c r="KI140" s="1"/>
      <c r="KJ140" s="1"/>
      <c r="KK140" s="1"/>
      <c r="KL140" s="1"/>
      <c r="KM140" s="1"/>
      <c r="KN140" s="1"/>
      <c r="KO140" s="1"/>
      <c r="KP140" s="1"/>
      <c r="KQ140" s="1"/>
      <c r="KR140" s="1"/>
      <c r="KS140" s="1"/>
      <c r="KT140" s="1"/>
      <c r="KU140" s="1"/>
      <c r="KV140" s="1"/>
      <c r="KW140" s="1"/>
      <c r="KX140" s="1"/>
      <c r="KY140" s="1"/>
      <c r="KZ140" s="1"/>
      <c r="LA140" s="1"/>
      <c r="LB140" s="1"/>
      <c r="LC140" s="1"/>
      <c r="LD140" s="1"/>
      <c r="LE140" s="1"/>
      <c r="LF140" s="1"/>
      <c r="LG140" s="1"/>
      <c r="LH140" s="1"/>
      <c r="LI140" s="1"/>
      <c r="LJ140" s="1"/>
      <c r="LK140" s="1"/>
      <c r="LL140" s="1"/>
      <c r="LM140" s="1"/>
      <c r="LN140" s="1"/>
      <c r="LO140" s="1"/>
      <c r="LP140" s="1"/>
      <c r="LQ140" s="1"/>
      <c r="LR140" s="1"/>
      <c r="LS140" s="1"/>
    </row>
    <row r="141" spans="1:331" s="3" customFormat="1" x14ac:dyDescent="0.25">
      <c r="A141" s="3" t="s">
        <v>586</v>
      </c>
      <c r="B141" s="5" t="s">
        <v>587</v>
      </c>
      <c r="C141" s="13" t="s">
        <v>2072</v>
      </c>
      <c r="D141" s="3">
        <v>0</v>
      </c>
      <c r="H141" s="3" t="s">
        <v>588</v>
      </c>
      <c r="I141" s="3" t="s">
        <v>589</v>
      </c>
      <c r="J141" s="3" t="s">
        <v>590</v>
      </c>
      <c r="K141" s="3" t="s">
        <v>2105</v>
      </c>
      <c r="L141" s="3">
        <v>1</v>
      </c>
      <c r="M141" s="3" t="s">
        <v>591</v>
      </c>
      <c r="O141" s="3">
        <v>0</v>
      </c>
      <c r="Q141" s="1" t="s">
        <v>1576</v>
      </c>
      <c r="R141" s="1"/>
      <c r="T141" s="3">
        <v>10</v>
      </c>
      <c r="V141" s="3">
        <v>11</v>
      </c>
      <c r="W141" s="1">
        <v>10</v>
      </c>
      <c r="X141" s="1">
        <v>11</v>
      </c>
      <c r="Y141" s="1" t="s">
        <v>2286</v>
      </c>
      <c r="Z141" s="3">
        <v>1</v>
      </c>
      <c r="AA141" s="1" t="b">
        <v>1</v>
      </c>
      <c r="AB141" s="1"/>
      <c r="AC141" s="57" t="s">
        <v>1382</v>
      </c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  <c r="IY141" s="1"/>
      <c r="IZ141" s="1"/>
      <c r="JA141" s="1"/>
      <c r="JB141" s="1"/>
      <c r="JC141" s="1"/>
      <c r="JD141" s="1"/>
      <c r="JE141" s="1"/>
      <c r="JF141" s="1"/>
      <c r="JG141" s="1"/>
      <c r="JH141" s="1"/>
      <c r="JI141" s="1"/>
      <c r="JJ141" s="1"/>
      <c r="JK141" s="1"/>
      <c r="JL141" s="1"/>
      <c r="JM141" s="1"/>
      <c r="JN141" s="1"/>
      <c r="JO141" s="1"/>
      <c r="JP141" s="1"/>
      <c r="JQ141" s="1"/>
      <c r="JR141" s="1"/>
      <c r="JS141" s="1"/>
      <c r="JT141" s="1"/>
      <c r="JU141" s="1"/>
      <c r="JV141" s="1"/>
      <c r="JW141" s="1"/>
      <c r="JX141" s="1"/>
      <c r="JY141" s="1"/>
      <c r="JZ141" s="1"/>
      <c r="KA141" s="1"/>
      <c r="KB141" s="1"/>
      <c r="KC141" s="1"/>
      <c r="KD141" s="1"/>
      <c r="KE141" s="1"/>
      <c r="KF141" s="1"/>
      <c r="KG141" s="1"/>
      <c r="KH141" s="1"/>
      <c r="KI141" s="1"/>
      <c r="KJ141" s="1"/>
      <c r="KK141" s="1"/>
      <c r="KL141" s="1"/>
      <c r="KM141" s="1"/>
      <c r="KN141" s="1"/>
      <c r="KO141" s="1"/>
      <c r="KP141" s="1"/>
      <c r="KQ141" s="1"/>
      <c r="KR141" s="1"/>
      <c r="KS141" s="1"/>
      <c r="KT141" s="1"/>
      <c r="KU141" s="1"/>
      <c r="KV141" s="1"/>
      <c r="KW141" s="1"/>
      <c r="KX141" s="1"/>
      <c r="KY141" s="1"/>
      <c r="KZ141" s="1"/>
      <c r="LA141" s="1"/>
      <c r="LB141" s="1"/>
      <c r="LC141" s="1"/>
      <c r="LD141" s="1"/>
      <c r="LE141" s="1"/>
      <c r="LF141" s="1"/>
      <c r="LG141" s="1"/>
      <c r="LH141" s="1"/>
      <c r="LI141" s="1"/>
      <c r="LJ141" s="1"/>
      <c r="LK141" s="1"/>
      <c r="LL141" s="1"/>
      <c r="LM141" s="1"/>
      <c r="LN141" s="1"/>
      <c r="LO141" s="1"/>
      <c r="LP141" s="1"/>
      <c r="LQ141" s="1"/>
      <c r="LR141" s="1"/>
      <c r="LS141" s="1"/>
    </row>
    <row r="142" spans="1:331" s="49" customFormat="1" x14ac:dyDescent="0.25">
      <c r="A142" s="49" t="s">
        <v>592</v>
      </c>
      <c r="B142" s="49" t="s">
        <v>593</v>
      </c>
      <c r="C142" s="1" t="s">
        <v>2072</v>
      </c>
      <c r="D142" s="49">
        <v>0</v>
      </c>
      <c r="H142" s="49" t="s">
        <v>594</v>
      </c>
      <c r="I142" s="49" t="s">
        <v>595</v>
      </c>
      <c r="J142" s="49" t="s">
        <v>596</v>
      </c>
      <c r="K142" s="49" t="s">
        <v>594</v>
      </c>
      <c r="L142" s="49">
        <v>0</v>
      </c>
      <c r="O142" s="49">
        <v>1</v>
      </c>
      <c r="Q142" s="1"/>
      <c r="R142" s="1" t="s">
        <v>597</v>
      </c>
      <c r="S142" s="49">
        <v>13</v>
      </c>
      <c r="W142" s="1">
        <v>13</v>
      </c>
      <c r="X142" s="1">
        <v>18</v>
      </c>
      <c r="Y142" s="1" t="s">
        <v>2287</v>
      </c>
      <c r="Z142" s="49">
        <v>9</v>
      </c>
      <c r="AA142" s="1" t="b">
        <v>1</v>
      </c>
      <c r="AB142" s="1"/>
      <c r="AC142" s="57" t="s">
        <v>1443</v>
      </c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  <c r="IY142" s="1"/>
      <c r="IZ142" s="1"/>
      <c r="JA142" s="1"/>
      <c r="JB142" s="1"/>
      <c r="JC142" s="1"/>
      <c r="JD142" s="1"/>
      <c r="JE142" s="1"/>
      <c r="JF142" s="1"/>
      <c r="JG142" s="1"/>
      <c r="JH142" s="1"/>
      <c r="JI142" s="1"/>
      <c r="JJ142" s="1"/>
      <c r="JK142" s="1"/>
      <c r="JL142" s="1"/>
      <c r="JM142" s="1"/>
      <c r="JN142" s="1"/>
      <c r="JO142" s="1"/>
      <c r="JP142" s="1"/>
      <c r="JQ142" s="1"/>
      <c r="JR142" s="1"/>
      <c r="JS142" s="1"/>
      <c r="JT142" s="1"/>
      <c r="JU142" s="1"/>
      <c r="JV142" s="1"/>
      <c r="JW142" s="1"/>
      <c r="JX142" s="1"/>
      <c r="JY142" s="1"/>
      <c r="JZ142" s="1"/>
      <c r="KA142" s="1"/>
      <c r="KB142" s="1"/>
      <c r="KC142" s="1"/>
      <c r="KD142" s="1"/>
      <c r="KE142" s="1"/>
      <c r="KF142" s="1"/>
      <c r="KG142" s="1"/>
      <c r="KH142" s="1"/>
      <c r="KI142" s="1"/>
      <c r="KJ142" s="1"/>
      <c r="KK142" s="1"/>
      <c r="KL142" s="1"/>
      <c r="KM142" s="1"/>
      <c r="KN142" s="1"/>
      <c r="KO142" s="1"/>
      <c r="KP142" s="1"/>
      <c r="KQ142" s="1"/>
      <c r="KR142" s="1"/>
      <c r="KS142" s="1"/>
      <c r="KT142" s="1"/>
      <c r="KU142" s="1"/>
      <c r="KV142" s="1"/>
      <c r="KW142" s="1"/>
      <c r="KX142" s="1"/>
      <c r="KY142" s="1"/>
      <c r="KZ142" s="1"/>
      <c r="LA142" s="1"/>
      <c r="LB142" s="1"/>
      <c r="LC142" s="1"/>
      <c r="LD142" s="1"/>
      <c r="LE142" s="1"/>
      <c r="LF142" s="1"/>
      <c r="LG142" s="1"/>
      <c r="LH142" s="1"/>
      <c r="LI142" s="1"/>
      <c r="LJ142" s="1"/>
      <c r="LK142" s="1"/>
      <c r="LL142" s="1"/>
      <c r="LM142" s="1"/>
      <c r="LN142" s="1"/>
      <c r="LO142" s="1"/>
      <c r="LP142" s="1"/>
      <c r="LQ142" s="1"/>
      <c r="LR142" s="1"/>
      <c r="LS142" s="1"/>
    </row>
    <row r="143" spans="1:331" s="3" customFormat="1" x14ac:dyDescent="0.25">
      <c r="A143" s="3" t="s">
        <v>598</v>
      </c>
      <c r="B143" s="5" t="s">
        <v>599</v>
      </c>
      <c r="C143" s="13" t="s">
        <v>2072</v>
      </c>
      <c r="D143" s="3">
        <v>0</v>
      </c>
      <c r="H143" s="3" t="s">
        <v>600</v>
      </c>
      <c r="I143" s="3" t="s">
        <v>601</v>
      </c>
      <c r="J143" s="3" t="s">
        <v>600</v>
      </c>
      <c r="K143" s="3" t="s">
        <v>2006</v>
      </c>
      <c r="L143" s="3">
        <v>2</v>
      </c>
      <c r="M143" s="3" t="s">
        <v>602</v>
      </c>
      <c r="N143" s="3" t="s">
        <v>602</v>
      </c>
      <c r="O143" s="3">
        <v>1</v>
      </c>
      <c r="P143" s="3" t="s">
        <v>603</v>
      </c>
      <c r="Q143" s="1" t="s">
        <v>1577</v>
      </c>
      <c r="R143" s="1"/>
      <c r="T143" s="3">
        <v>7</v>
      </c>
      <c r="V143" s="3">
        <v>8</v>
      </c>
      <c r="W143" s="1">
        <v>7</v>
      </c>
      <c r="X143" s="1">
        <v>15</v>
      </c>
      <c r="Y143" s="1" t="s">
        <v>2288</v>
      </c>
      <c r="Z143" s="3">
        <v>1</v>
      </c>
      <c r="AA143" s="1" t="b">
        <v>1</v>
      </c>
      <c r="AB143" s="1"/>
      <c r="AC143" s="57" t="s">
        <v>1237</v>
      </c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  <c r="IY143" s="1"/>
      <c r="IZ143" s="1"/>
      <c r="JA143" s="1"/>
      <c r="JB143" s="1"/>
      <c r="JC143" s="1"/>
      <c r="JD143" s="1"/>
      <c r="JE143" s="1"/>
      <c r="JF143" s="1"/>
      <c r="JG143" s="1"/>
      <c r="JH143" s="1"/>
      <c r="JI143" s="1"/>
      <c r="JJ143" s="1"/>
      <c r="JK143" s="1"/>
      <c r="JL143" s="1"/>
      <c r="JM143" s="1"/>
      <c r="JN143" s="1"/>
      <c r="JO143" s="1"/>
      <c r="JP143" s="1"/>
      <c r="JQ143" s="1"/>
      <c r="JR143" s="1"/>
      <c r="JS143" s="1"/>
      <c r="JT143" s="1"/>
      <c r="JU143" s="1"/>
      <c r="JV143" s="1"/>
      <c r="JW143" s="1"/>
      <c r="JX143" s="1"/>
      <c r="JY143" s="1"/>
      <c r="JZ143" s="1"/>
      <c r="KA143" s="1"/>
      <c r="KB143" s="1"/>
      <c r="KC143" s="1"/>
      <c r="KD143" s="1"/>
      <c r="KE143" s="1"/>
      <c r="KF143" s="1"/>
      <c r="KG143" s="1"/>
      <c r="KH143" s="1"/>
      <c r="KI143" s="1"/>
      <c r="KJ143" s="1"/>
      <c r="KK143" s="1"/>
      <c r="KL143" s="1"/>
      <c r="KM143" s="1"/>
      <c r="KN143" s="1"/>
      <c r="KO143" s="1"/>
      <c r="KP143" s="1"/>
      <c r="KQ143" s="1"/>
      <c r="KR143" s="1"/>
      <c r="KS143" s="1"/>
      <c r="KT143" s="1"/>
      <c r="KU143" s="1"/>
      <c r="KV143" s="1"/>
      <c r="KW143" s="1"/>
      <c r="KX143" s="1"/>
      <c r="KY143" s="1"/>
      <c r="KZ143" s="1"/>
      <c r="LA143" s="1"/>
      <c r="LB143" s="1"/>
      <c r="LC143" s="1"/>
      <c r="LD143" s="1"/>
      <c r="LE143" s="1"/>
      <c r="LF143" s="1"/>
      <c r="LG143" s="1"/>
      <c r="LH143" s="1"/>
      <c r="LI143" s="1"/>
      <c r="LJ143" s="1"/>
      <c r="LK143" s="1"/>
      <c r="LL143" s="1"/>
      <c r="LM143" s="1"/>
      <c r="LN143" s="1"/>
      <c r="LO143" s="1"/>
      <c r="LP143" s="1"/>
      <c r="LQ143" s="1"/>
      <c r="LR143" s="1"/>
      <c r="LS143" s="1"/>
    </row>
    <row r="144" spans="1:331" s="40" customFormat="1" x14ac:dyDescent="0.25">
      <c r="A144" s="40" t="s">
        <v>604</v>
      </c>
      <c r="B144" s="40" t="s">
        <v>605</v>
      </c>
      <c r="C144" s="1" t="s">
        <v>2072</v>
      </c>
      <c r="D144" s="40">
        <v>0</v>
      </c>
      <c r="H144" s="40" t="s">
        <v>606</v>
      </c>
      <c r="I144" s="40" t="s">
        <v>607</v>
      </c>
      <c r="J144" s="40" t="s">
        <v>608</v>
      </c>
      <c r="K144" s="40" t="s">
        <v>2106</v>
      </c>
      <c r="L144" s="40">
        <v>0</v>
      </c>
      <c r="O144" s="40">
        <v>1</v>
      </c>
      <c r="P144" s="40" t="s">
        <v>609</v>
      </c>
      <c r="Q144" s="1" t="s">
        <v>1578</v>
      </c>
      <c r="R144" s="1"/>
      <c r="S144" s="40">
        <v>18</v>
      </c>
      <c r="W144" s="1">
        <v>18</v>
      </c>
      <c r="X144" s="1">
        <v>13</v>
      </c>
      <c r="Y144" s="1" t="s">
        <v>2289</v>
      </c>
      <c r="Z144" s="40">
        <v>8</v>
      </c>
      <c r="AA144" s="1" t="b">
        <v>1</v>
      </c>
      <c r="AB144" s="1"/>
      <c r="AC144" s="57" t="s">
        <v>1444</v>
      </c>
      <c r="AD144" s="1" t="b">
        <v>1</v>
      </c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  <c r="IY144" s="1"/>
      <c r="IZ144" s="1"/>
      <c r="JA144" s="1"/>
      <c r="JB144" s="1"/>
      <c r="JC144" s="1"/>
      <c r="JD144" s="1"/>
      <c r="JE144" s="1"/>
      <c r="JF144" s="1"/>
      <c r="JG144" s="1"/>
      <c r="JH144" s="1"/>
      <c r="JI144" s="1"/>
      <c r="JJ144" s="1"/>
      <c r="JK144" s="1"/>
      <c r="JL144" s="1"/>
      <c r="JM144" s="1"/>
      <c r="JN144" s="1"/>
      <c r="JO144" s="1"/>
      <c r="JP144" s="1"/>
      <c r="JQ144" s="1"/>
      <c r="JR144" s="1"/>
      <c r="JS144" s="1"/>
      <c r="JT144" s="1"/>
      <c r="JU144" s="1"/>
      <c r="JV144" s="1"/>
      <c r="JW144" s="1"/>
      <c r="JX144" s="1"/>
      <c r="JY144" s="1"/>
      <c r="JZ144" s="1"/>
      <c r="KA144" s="1"/>
      <c r="KB144" s="1"/>
      <c r="KC144" s="1"/>
      <c r="KD144" s="1"/>
      <c r="KE144" s="1"/>
      <c r="KF144" s="1"/>
      <c r="KG144" s="1"/>
      <c r="KH144" s="1"/>
      <c r="KI144" s="1"/>
      <c r="KJ144" s="1"/>
      <c r="KK144" s="1"/>
      <c r="KL144" s="1"/>
      <c r="KM144" s="1"/>
      <c r="KN144" s="1"/>
      <c r="KO144" s="1"/>
      <c r="KP144" s="1"/>
      <c r="KQ144" s="1"/>
      <c r="KR144" s="1"/>
      <c r="KS144" s="1"/>
      <c r="KT144" s="1"/>
      <c r="KU144" s="1"/>
      <c r="KV144" s="1"/>
      <c r="KW144" s="1"/>
      <c r="KX144" s="1"/>
      <c r="KY144" s="1"/>
      <c r="KZ144" s="1"/>
      <c r="LA144" s="1"/>
      <c r="LB144" s="1"/>
      <c r="LC144" s="1"/>
      <c r="LD144" s="1"/>
      <c r="LE144" s="1"/>
      <c r="LF144" s="1"/>
      <c r="LG144" s="1"/>
      <c r="LH144" s="1"/>
      <c r="LI144" s="1"/>
      <c r="LJ144" s="1"/>
      <c r="LK144" s="1"/>
      <c r="LL144" s="1"/>
      <c r="LM144" s="1"/>
      <c r="LN144" s="1"/>
      <c r="LO144" s="1"/>
      <c r="LP144" s="1"/>
      <c r="LQ144" s="1"/>
      <c r="LR144" s="1"/>
      <c r="LS144" s="1"/>
    </row>
    <row r="145" spans="1:331" s="40" customFormat="1" x14ac:dyDescent="0.25">
      <c r="A145" s="40" t="s">
        <v>610</v>
      </c>
      <c r="B145" s="40" t="s">
        <v>611</v>
      </c>
      <c r="C145" s="1" t="s">
        <v>2072</v>
      </c>
      <c r="D145" s="40">
        <v>0</v>
      </c>
      <c r="H145" s="40" t="s">
        <v>109</v>
      </c>
      <c r="I145" s="40" t="s">
        <v>112</v>
      </c>
      <c r="J145" s="40" t="s">
        <v>612</v>
      </c>
      <c r="K145" s="40" t="s">
        <v>112</v>
      </c>
      <c r="L145" s="40">
        <v>0</v>
      </c>
      <c r="O145" s="40">
        <v>1</v>
      </c>
      <c r="P145" s="40" t="s">
        <v>613</v>
      </c>
      <c r="Q145" s="1" t="s">
        <v>1579</v>
      </c>
      <c r="R145" s="1"/>
      <c r="V145" s="40">
        <v>15</v>
      </c>
      <c r="W145" s="1">
        <v>15</v>
      </c>
      <c r="X145" s="1">
        <v>20</v>
      </c>
      <c r="Y145" s="1" t="s">
        <v>2290</v>
      </c>
      <c r="Z145" s="40">
        <v>8</v>
      </c>
      <c r="AA145" s="1" t="b">
        <v>0</v>
      </c>
      <c r="AB145" s="1"/>
      <c r="AC145" s="57" t="s">
        <v>1944</v>
      </c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  <c r="IY145" s="1"/>
      <c r="IZ145" s="1"/>
      <c r="JA145" s="1"/>
      <c r="JB145" s="1"/>
      <c r="JC145" s="1"/>
      <c r="JD145" s="1"/>
      <c r="JE145" s="1"/>
      <c r="JF145" s="1"/>
      <c r="JG145" s="1"/>
      <c r="JH145" s="1"/>
      <c r="JI145" s="1"/>
      <c r="JJ145" s="1"/>
      <c r="JK145" s="1"/>
      <c r="JL145" s="1"/>
      <c r="JM145" s="1"/>
      <c r="JN145" s="1"/>
      <c r="JO145" s="1"/>
      <c r="JP145" s="1"/>
      <c r="JQ145" s="1"/>
      <c r="JR145" s="1"/>
      <c r="JS145" s="1"/>
      <c r="JT145" s="1"/>
      <c r="JU145" s="1"/>
      <c r="JV145" s="1"/>
      <c r="JW145" s="1"/>
      <c r="JX145" s="1"/>
      <c r="JY145" s="1"/>
      <c r="JZ145" s="1"/>
      <c r="KA145" s="1"/>
      <c r="KB145" s="1"/>
      <c r="KC145" s="1"/>
      <c r="KD145" s="1"/>
      <c r="KE145" s="1"/>
      <c r="KF145" s="1"/>
      <c r="KG145" s="1"/>
      <c r="KH145" s="1"/>
      <c r="KI145" s="1"/>
      <c r="KJ145" s="1"/>
      <c r="KK145" s="1"/>
      <c r="KL145" s="1"/>
      <c r="KM145" s="1"/>
      <c r="KN145" s="1"/>
      <c r="KO145" s="1"/>
      <c r="KP145" s="1"/>
      <c r="KQ145" s="1"/>
      <c r="KR145" s="1"/>
      <c r="KS145" s="1"/>
      <c r="KT145" s="1"/>
      <c r="KU145" s="1"/>
      <c r="KV145" s="1"/>
      <c r="KW145" s="1"/>
      <c r="KX145" s="1"/>
      <c r="KY145" s="1"/>
      <c r="KZ145" s="1"/>
      <c r="LA145" s="1"/>
      <c r="LB145" s="1"/>
      <c r="LC145" s="1"/>
      <c r="LD145" s="1"/>
      <c r="LE145" s="1"/>
      <c r="LF145" s="1"/>
      <c r="LG145" s="1"/>
      <c r="LH145" s="1"/>
      <c r="LI145" s="1"/>
      <c r="LJ145" s="1"/>
      <c r="LK145" s="1"/>
      <c r="LL145" s="1"/>
      <c r="LM145" s="1"/>
      <c r="LN145" s="1"/>
      <c r="LO145" s="1"/>
      <c r="LP145" s="1"/>
      <c r="LQ145" s="1"/>
      <c r="LR145" s="1"/>
      <c r="LS145" s="1"/>
    </row>
    <row r="146" spans="1:331" s="25" customFormat="1" x14ac:dyDescent="0.25">
      <c r="A146" s="25" t="s">
        <v>614</v>
      </c>
      <c r="B146" s="29" t="s">
        <v>615</v>
      </c>
      <c r="C146" s="13" t="s">
        <v>2072</v>
      </c>
      <c r="D146" s="25">
        <v>0</v>
      </c>
      <c r="H146" s="25" t="s">
        <v>313</v>
      </c>
      <c r="I146" s="25" t="s">
        <v>616</v>
      </c>
      <c r="J146" s="25" t="s">
        <v>617</v>
      </c>
      <c r="L146" s="25">
        <v>0</v>
      </c>
      <c r="O146" s="25">
        <v>1</v>
      </c>
      <c r="Q146" s="1" t="s">
        <v>1580</v>
      </c>
      <c r="R146" s="1"/>
      <c r="S146" s="25">
        <v>7</v>
      </c>
      <c r="U146" s="25">
        <v>9</v>
      </c>
      <c r="W146" s="1">
        <v>7</v>
      </c>
      <c r="X146" s="1">
        <v>19</v>
      </c>
      <c r="Y146" s="1" t="s">
        <v>2291</v>
      </c>
      <c r="Z146" s="25">
        <v>5</v>
      </c>
      <c r="AA146" s="1" t="b">
        <v>1</v>
      </c>
      <c r="AB146" s="1"/>
      <c r="AC146" s="57" t="s">
        <v>1311</v>
      </c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  <c r="IY146" s="1"/>
      <c r="IZ146" s="1"/>
      <c r="JA146" s="1"/>
      <c r="JB146" s="1"/>
      <c r="JC146" s="1"/>
      <c r="JD146" s="1"/>
      <c r="JE146" s="1"/>
      <c r="JF146" s="1"/>
      <c r="JG146" s="1"/>
      <c r="JH146" s="1"/>
      <c r="JI146" s="1"/>
      <c r="JJ146" s="1"/>
      <c r="JK146" s="1"/>
      <c r="JL146" s="1"/>
      <c r="JM146" s="1"/>
      <c r="JN146" s="1"/>
      <c r="JO146" s="1"/>
      <c r="JP146" s="1"/>
      <c r="JQ146" s="1"/>
      <c r="JR146" s="1"/>
      <c r="JS146" s="1"/>
      <c r="JT146" s="1"/>
      <c r="JU146" s="1"/>
      <c r="JV146" s="1"/>
      <c r="JW146" s="1"/>
      <c r="JX146" s="1"/>
      <c r="JY146" s="1"/>
      <c r="JZ146" s="1"/>
      <c r="KA146" s="1"/>
      <c r="KB146" s="1"/>
      <c r="KC146" s="1"/>
      <c r="KD146" s="1"/>
      <c r="KE146" s="1"/>
      <c r="KF146" s="1"/>
      <c r="KG146" s="1"/>
      <c r="KH146" s="1"/>
      <c r="KI146" s="1"/>
      <c r="KJ146" s="1"/>
      <c r="KK146" s="1"/>
      <c r="KL146" s="1"/>
      <c r="KM146" s="1"/>
      <c r="KN146" s="1"/>
      <c r="KO146" s="1"/>
      <c r="KP146" s="1"/>
      <c r="KQ146" s="1"/>
      <c r="KR146" s="1"/>
      <c r="KS146" s="1"/>
      <c r="KT146" s="1"/>
      <c r="KU146" s="1"/>
      <c r="KV146" s="1"/>
      <c r="KW146" s="1"/>
      <c r="KX146" s="1"/>
      <c r="KY146" s="1"/>
      <c r="KZ146" s="1"/>
      <c r="LA146" s="1"/>
      <c r="LB146" s="1"/>
      <c r="LC146" s="1"/>
      <c r="LD146" s="1"/>
      <c r="LE146" s="1"/>
      <c r="LF146" s="1"/>
      <c r="LG146" s="1"/>
      <c r="LH146" s="1"/>
      <c r="LI146" s="1"/>
      <c r="LJ146" s="1"/>
      <c r="LK146" s="1"/>
      <c r="LL146" s="1"/>
      <c r="LM146" s="1"/>
      <c r="LN146" s="1"/>
      <c r="LO146" s="1"/>
      <c r="LP146" s="1"/>
      <c r="LQ146" s="1"/>
      <c r="LR146" s="1"/>
      <c r="LS146" s="1"/>
    </row>
    <row r="147" spans="1:331" s="25" customFormat="1" x14ac:dyDescent="0.25">
      <c r="A147" s="25" t="s">
        <v>618</v>
      </c>
      <c r="B147" s="29" t="s">
        <v>619</v>
      </c>
      <c r="C147" s="13" t="s">
        <v>2072</v>
      </c>
      <c r="D147" s="25">
        <v>0</v>
      </c>
      <c r="H147" s="25" t="s">
        <v>620</v>
      </c>
      <c r="I147" s="25" t="s">
        <v>621</v>
      </c>
      <c r="J147" s="25" t="s">
        <v>620</v>
      </c>
      <c r="K147" s="25" t="s">
        <v>621</v>
      </c>
      <c r="L147" s="25">
        <v>0</v>
      </c>
      <c r="O147" s="25">
        <v>0</v>
      </c>
      <c r="Q147" s="1" t="s">
        <v>1581</v>
      </c>
      <c r="R147" s="1"/>
      <c r="S147" s="25">
        <v>6</v>
      </c>
      <c r="T147" s="25">
        <v>6</v>
      </c>
      <c r="U147" s="25">
        <v>7</v>
      </c>
      <c r="V147" s="25">
        <v>7</v>
      </c>
      <c r="W147" s="1">
        <v>6</v>
      </c>
      <c r="X147" s="1">
        <v>25</v>
      </c>
      <c r="Y147" s="1" t="s">
        <v>2292</v>
      </c>
      <c r="Z147" s="25">
        <v>5</v>
      </c>
      <c r="AA147" s="1" t="b">
        <v>1</v>
      </c>
      <c r="AB147" s="1"/>
      <c r="AC147" s="57" t="s">
        <v>1362</v>
      </c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  <c r="IY147" s="1"/>
      <c r="IZ147" s="1"/>
      <c r="JA147" s="1"/>
      <c r="JB147" s="1"/>
      <c r="JC147" s="1"/>
      <c r="JD147" s="1"/>
      <c r="JE147" s="1"/>
      <c r="JF147" s="1"/>
      <c r="JG147" s="1"/>
      <c r="JH147" s="1"/>
      <c r="JI147" s="1"/>
      <c r="JJ147" s="1"/>
      <c r="JK147" s="1"/>
      <c r="JL147" s="1"/>
      <c r="JM147" s="1"/>
      <c r="JN147" s="1"/>
      <c r="JO147" s="1"/>
      <c r="JP147" s="1"/>
      <c r="JQ147" s="1"/>
      <c r="JR147" s="1"/>
      <c r="JS147" s="1"/>
      <c r="JT147" s="1"/>
      <c r="JU147" s="1"/>
      <c r="JV147" s="1"/>
      <c r="JW147" s="1"/>
      <c r="JX147" s="1"/>
      <c r="JY147" s="1"/>
      <c r="JZ147" s="1"/>
      <c r="KA147" s="1"/>
      <c r="KB147" s="1"/>
      <c r="KC147" s="1"/>
      <c r="KD147" s="1"/>
      <c r="KE147" s="1"/>
      <c r="KF147" s="1"/>
      <c r="KG147" s="1"/>
      <c r="KH147" s="1"/>
      <c r="KI147" s="1"/>
      <c r="KJ147" s="1"/>
      <c r="KK147" s="1"/>
      <c r="KL147" s="1"/>
      <c r="KM147" s="1"/>
      <c r="KN147" s="1"/>
      <c r="KO147" s="1"/>
      <c r="KP147" s="1"/>
      <c r="KQ147" s="1"/>
      <c r="KR147" s="1"/>
      <c r="KS147" s="1"/>
      <c r="KT147" s="1"/>
      <c r="KU147" s="1"/>
      <c r="KV147" s="1"/>
      <c r="KW147" s="1"/>
      <c r="KX147" s="1"/>
      <c r="KY147" s="1"/>
      <c r="KZ147" s="1"/>
      <c r="LA147" s="1"/>
      <c r="LB147" s="1"/>
      <c r="LC147" s="1"/>
      <c r="LD147" s="1"/>
      <c r="LE147" s="1"/>
      <c r="LF147" s="1"/>
      <c r="LG147" s="1"/>
      <c r="LH147" s="1"/>
      <c r="LI147" s="1"/>
      <c r="LJ147" s="1"/>
      <c r="LK147" s="1"/>
      <c r="LL147" s="1"/>
      <c r="LM147" s="1"/>
      <c r="LN147" s="1"/>
      <c r="LO147" s="1"/>
      <c r="LP147" s="1"/>
      <c r="LQ147" s="1"/>
      <c r="LR147" s="1"/>
      <c r="LS147" s="1"/>
    </row>
    <row r="148" spans="1:331" s="45" customFormat="1" x14ac:dyDescent="0.25">
      <c r="A148" s="45" t="s">
        <v>622</v>
      </c>
      <c r="C148" s="1" t="s">
        <v>2072</v>
      </c>
      <c r="D148" s="45">
        <v>0</v>
      </c>
      <c r="H148" s="45" t="s">
        <v>600</v>
      </c>
      <c r="I148" s="45" t="s">
        <v>601</v>
      </c>
      <c r="J148" s="45" t="s">
        <v>600</v>
      </c>
      <c r="K148" s="45" t="s">
        <v>2006</v>
      </c>
      <c r="L148" s="45">
        <v>0</v>
      </c>
      <c r="O148" s="45">
        <v>1</v>
      </c>
      <c r="P148" s="45" t="s">
        <v>603</v>
      </c>
      <c r="Q148" s="1" t="s">
        <v>1577</v>
      </c>
      <c r="R148" s="1"/>
      <c r="T148" s="45">
        <v>6</v>
      </c>
      <c r="W148" s="1"/>
      <c r="X148" s="1"/>
      <c r="Y148" s="1"/>
      <c r="Z148" s="45">
        <v>-1</v>
      </c>
      <c r="AA148" s="1" t="b">
        <v>0</v>
      </c>
      <c r="AB148" s="1"/>
      <c r="AC148" s="57" t="s">
        <v>1236</v>
      </c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  <c r="IY148" s="1"/>
      <c r="IZ148" s="1"/>
      <c r="JA148" s="1"/>
      <c r="JB148" s="1"/>
      <c r="JC148" s="1"/>
      <c r="JD148" s="1"/>
      <c r="JE148" s="1"/>
      <c r="JF148" s="1"/>
      <c r="JG148" s="1"/>
      <c r="JH148" s="1"/>
      <c r="JI148" s="1"/>
      <c r="JJ148" s="1"/>
      <c r="JK148" s="1"/>
      <c r="JL148" s="1"/>
      <c r="JM148" s="1"/>
      <c r="JN148" s="1"/>
      <c r="JO148" s="1"/>
      <c r="JP148" s="1"/>
      <c r="JQ148" s="1"/>
      <c r="JR148" s="1"/>
      <c r="JS148" s="1"/>
      <c r="JT148" s="1"/>
      <c r="JU148" s="1"/>
      <c r="JV148" s="1"/>
      <c r="JW148" s="1"/>
      <c r="JX148" s="1"/>
      <c r="JY148" s="1"/>
      <c r="JZ148" s="1"/>
      <c r="KA148" s="1"/>
      <c r="KB148" s="1"/>
      <c r="KC148" s="1"/>
      <c r="KD148" s="1"/>
      <c r="KE148" s="1"/>
      <c r="KF148" s="1"/>
      <c r="KG148" s="1"/>
      <c r="KH148" s="1"/>
      <c r="KI148" s="1"/>
      <c r="KJ148" s="1"/>
      <c r="KK148" s="1"/>
      <c r="KL148" s="1"/>
      <c r="KM148" s="1"/>
      <c r="KN148" s="1"/>
      <c r="KO148" s="1"/>
      <c r="KP148" s="1"/>
      <c r="KQ148" s="1"/>
      <c r="KR148" s="1"/>
      <c r="KS148" s="1"/>
      <c r="KT148" s="1"/>
      <c r="KU148" s="1"/>
      <c r="KV148" s="1"/>
      <c r="KW148" s="1"/>
      <c r="KX148" s="1"/>
      <c r="KY148" s="1"/>
      <c r="KZ148" s="1"/>
      <c r="LA148" s="1"/>
      <c r="LB148" s="1"/>
      <c r="LC148" s="1"/>
      <c r="LD148" s="1"/>
      <c r="LE148" s="1"/>
      <c r="LF148" s="1"/>
      <c r="LG148" s="1"/>
      <c r="LH148" s="1"/>
      <c r="LI148" s="1"/>
      <c r="LJ148" s="1"/>
      <c r="LK148" s="1"/>
      <c r="LL148" s="1"/>
      <c r="LM148" s="1"/>
      <c r="LN148" s="1"/>
      <c r="LO148" s="1"/>
      <c r="LP148" s="1"/>
      <c r="LQ148" s="1"/>
      <c r="LR148" s="1"/>
      <c r="LS148" s="1"/>
    </row>
    <row r="149" spans="1:331" s="30" customFormat="1" x14ac:dyDescent="0.25">
      <c r="A149" s="30" t="s">
        <v>623</v>
      </c>
      <c r="B149" s="30" t="s">
        <v>624</v>
      </c>
      <c r="C149" s="1" t="s">
        <v>2072</v>
      </c>
      <c r="D149" s="30">
        <v>1</v>
      </c>
      <c r="E149" s="30" t="s">
        <v>625</v>
      </c>
      <c r="H149" s="30" t="s">
        <v>626</v>
      </c>
      <c r="I149" s="30" t="s">
        <v>627</v>
      </c>
      <c r="J149" s="30" t="s">
        <v>628</v>
      </c>
      <c r="K149" s="30" t="s">
        <v>2107</v>
      </c>
      <c r="L149" s="30">
        <v>0</v>
      </c>
      <c r="O149" s="30">
        <v>0</v>
      </c>
      <c r="Q149" s="1" t="s">
        <v>1582</v>
      </c>
      <c r="R149" s="1"/>
      <c r="W149" s="1"/>
      <c r="X149" s="1"/>
      <c r="Y149" s="1"/>
      <c r="Z149" s="30">
        <v>6</v>
      </c>
      <c r="AA149" s="1" t="b">
        <v>0</v>
      </c>
      <c r="AB149" s="1"/>
      <c r="AC149" s="57" t="s">
        <v>1301</v>
      </c>
      <c r="AD149" s="1" t="b">
        <v>1</v>
      </c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  <c r="IY149" s="1"/>
      <c r="IZ149" s="1"/>
      <c r="JA149" s="1"/>
      <c r="JB149" s="1"/>
      <c r="JC149" s="1"/>
      <c r="JD149" s="1"/>
      <c r="JE149" s="1"/>
      <c r="JF149" s="1"/>
      <c r="JG149" s="1"/>
      <c r="JH149" s="1"/>
      <c r="JI149" s="1"/>
      <c r="JJ149" s="1"/>
      <c r="JK149" s="1"/>
      <c r="JL149" s="1"/>
      <c r="JM149" s="1"/>
      <c r="JN149" s="1"/>
      <c r="JO149" s="1"/>
      <c r="JP149" s="1"/>
      <c r="JQ149" s="1"/>
      <c r="JR149" s="1"/>
      <c r="JS149" s="1"/>
      <c r="JT149" s="1"/>
      <c r="JU149" s="1"/>
      <c r="JV149" s="1"/>
      <c r="JW149" s="1"/>
      <c r="JX149" s="1"/>
      <c r="JY149" s="1"/>
      <c r="JZ149" s="1"/>
      <c r="KA149" s="1"/>
      <c r="KB149" s="1"/>
      <c r="KC149" s="1"/>
      <c r="KD149" s="1"/>
      <c r="KE149" s="1"/>
      <c r="KF149" s="1"/>
      <c r="KG149" s="1"/>
      <c r="KH149" s="1"/>
      <c r="KI149" s="1"/>
      <c r="KJ149" s="1"/>
      <c r="KK149" s="1"/>
      <c r="KL149" s="1"/>
      <c r="KM149" s="1"/>
      <c r="KN149" s="1"/>
      <c r="KO149" s="1"/>
      <c r="KP149" s="1"/>
      <c r="KQ149" s="1"/>
      <c r="KR149" s="1"/>
      <c r="KS149" s="1"/>
      <c r="KT149" s="1"/>
      <c r="KU149" s="1"/>
      <c r="KV149" s="1"/>
      <c r="KW149" s="1"/>
      <c r="KX149" s="1"/>
      <c r="KY149" s="1"/>
      <c r="KZ149" s="1"/>
      <c r="LA149" s="1"/>
      <c r="LB149" s="1"/>
      <c r="LC149" s="1"/>
      <c r="LD149" s="1"/>
      <c r="LE149" s="1"/>
      <c r="LF149" s="1"/>
      <c r="LG149" s="1"/>
      <c r="LH149" s="1"/>
      <c r="LI149" s="1"/>
      <c r="LJ149" s="1"/>
      <c r="LK149" s="1"/>
      <c r="LL149" s="1"/>
      <c r="LM149" s="1"/>
      <c r="LN149" s="1"/>
      <c r="LO149" s="1"/>
      <c r="LP149" s="1"/>
      <c r="LQ149" s="1"/>
      <c r="LR149" s="1"/>
      <c r="LS149" s="1"/>
    </row>
    <row r="150" spans="1:331" s="40" customFormat="1" x14ac:dyDescent="0.25">
      <c r="A150" s="40" t="s">
        <v>629</v>
      </c>
      <c r="B150" s="44" t="s">
        <v>630</v>
      </c>
      <c r="C150" s="13" t="s">
        <v>2072</v>
      </c>
      <c r="D150" s="40">
        <v>0</v>
      </c>
      <c r="H150" s="40" t="s">
        <v>631</v>
      </c>
      <c r="I150" s="40" t="s">
        <v>632</v>
      </c>
      <c r="J150" s="40" t="s">
        <v>633</v>
      </c>
      <c r="K150" s="40" t="s">
        <v>632</v>
      </c>
      <c r="L150" s="40">
        <v>0</v>
      </c>
      <c r="O150" s="40">
        <v>1</v>
      </c>
      <c r="P150" s="40" t="s">
        <v>602</v>
      </c>
      <c r="Q150" s="1" t="s">
        <v>856</v>
      </c>
      <c r="R150" s="1"/>
      <c r="U150" s="40">
        <v>8</v>
      </c>
      <c r="W150" s="1">
        <v>8</v>
      </c>
      <c r="X150" s="1">
        <v>15</v>
      </c>
      <c r="Y150" s="1" t="s">
        <v>2293</v>
      </c>
      <c r="Z150" s="40">
        <v>8</v>
      </c>
      <c r="AA150" s="1" t="b">
        <v>1</v>
      </c>
      <c r="AB150" s="1"/>
      <c r="AC150" s="57" t="s">
        <v>1302</v>
      </c>
      <c r="AD150" s="1" t="b">
        <v>1</v>
      </c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  <c r="IY150" s="1"/>
      <c r="IZ150" s="1"/>
      <c r="JA150" s="1"/>
      <c r="JB150" s="1"/>
      <c r="JC150" s="1"/>
      <c r="JD150" s="1"/>
      <c r="JE150" s="1"/>
      <c r="JF150" s="1"/>
      <c r="JG150" s="1"/>
      <c r="JH150" s="1"/>
      <c r="JI150" s="1"/>
      <c r="JJ150" s="1"/>
      <c r="JK150" s="1"/>
      <c r="JL150" s="1"/>
      <c r="JM150" s="1"/>
      <c r="JN150" s="1"/>
      <c r="JO150" s="1"/>
      <c r="JP150" s="1"/>
      <c r="JQ150" s="1"/>
      <c r="JR150" s="1"/>
      <c r="JS150" s="1"/>
      <c r="JT150" s="1"/>
      <c r="JU150" s="1"/>
      <c r="JV150" s="1"/>
      <c r="JW150" s="1"/>
      <c r="JX150" s="1"/>
      <c r="JY150" s="1"/>
      <c r="JZ150" s="1"/>
      <c r="KA150" s="1"/>
      <c r="KB150" s="1"/>
      <c r="KC150" s="1"/>
      <c r="KD150" s="1"/>
      <c r="KE150" s="1"/>
      <c r="KF150" s="1"/>
      <c r="KG150" s="1"/>
      <c r="KH150" s="1"/>
      <c r="KI150" s="1"/>
      <c r="KJ150" s="1"/>
      <c r="KK150" s="1"/>
      <c r="KL150" s="1"/>
      <c r="KM150" s="1"/>
      <c r="KN150" s="1"/>
      <c r="KO150" s="1"/>
      <c r="KP150" s="1"/>
      <c r="KQ150" s="1"/>
      <c r="KR150" s="1"/>
      <c r="KS150" s="1"/>
      <c r="KT150" s="1"/>
      <c r="KU150" s="1"/>
      <c r="KV150" s="1"/>
      <c r="KW150" s="1"/>
      <c r="KX150" s="1"/>
      <c r="KY150" s="1"/>
      <c r="KZ150" s="1"/>
      <c r="LA150" s="1"/>
      <c r="LB150" s="1"/>
      <c r="LC150" s="1"/>
      <c r="LD150" s="1"/>
      <c r="LE150" s="1"/>
      <c r="LF150" s="1"/>
      <c r="LG150" s="1"/>
      <c r="LH150" s="1"/>
      <c r="LI150" s="1"/>
      <c r="LJ150" s="1"/>
      <c r="LK150" s="1"/>
      <c r="LL150" s="1"/>
      <c r="LM150" s="1"/>
      <c r="LN150" s="1"/>
      <c r="LO150" s="1"/>
      <c r="LP150" s="1"/>
      <c r="LQ150" s="1"/>
      <c r="LR150" s="1"/>
      <c r="LS150" s="1"/>
    </row>
    <row r="151" spans="1:331" s="3" customFormat="1" x14ac:dyDescent="0.25">
      <c r="A151" s="3" t="s">
        <v>634</v>
      </c>
      <c r="B151" s="5" t="s">
        <v>635</v>
      </c>
      <c r="C151" s="13" t="s">
        <v>2072</v>
      </c>
      <c r="D151" s="3">
        <v>0</v>
      </c>
      <c r="H151" s="3" t="s">
        <v>636</v>
      </c>
      <c r="I151" s="3" t="s">
        <v>637</v>
      </c>
      <c r="J151" s="3" t="s">
        <v>638</v>
      </c>
      <c r="K151" s="3" t="s">
        <v>2108</v>
      </c>
      <c r="L151" s="3">
        <v>1</v>
      </c>
      <c r="M151" s="3" t="s">
        <v>639</v>
      </c>
      <c r="O151" s="3">
        <v>0</v>
      </c>
      <c r="Q151" s="1" t="s">
        <v>1583</v>
      </c>
      <c r="R151" s="1"/>
      <c r="U151" s="3">
        <v>8</v>
      </c>
      <c r="W151" s="1">
        <v>8</v>
      </c>
      <c r="X151" s="1">
        <v>12</v>
      </c>
      <c r="Y151" s="1" t="s">
        <v>2294</v>
      </c>
      <c r="Z151" s="3">
        <v>1</v>
      </c>
      <c r="AA151" s="1" t="b">
        <v>1</v>
      </c>
      <c r="AB151" s="1"/>
      <c r="AC151" s="57" t="s">
        <v>1303</v>
      </c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  <c r="IY151" s="1"/>
      <c r="IZ151" s="1"/>
      <c r="JA151" s="1"/>
      <c r="JB151" s="1"/>
      <c r="JC151" s="1"/>
      <c r="JD151" s="1"/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O151" s="1"/>
      <c r="JP151" s="1"/>
      <c r="JQ151" s="1"/>
      <c r="JR151" s="1"/>
      <c r="JS151" s="1"/>
      <c r="JT151" s="1"/>
      <c r="JU151" s="1"/>
      <c r="JV151" s="1"/>
      <c r="JW151" s="1"/>
      <c r="JX151" s="1"/>
      <c r="JY151" s="1"/>
      <c r="JZ151" s="1"/>
      <c r="KA151" s="1"/>
      <c r="KB151" s="1"/>
      <c r="KC151" s="1"/>
      <c r="KD151" s="1"/>
      <c r="KE151" s="1"/>
      <c r="KF151" s="1"/>
      <c r="KG151" s="1"/>
      <c r="KH151" s="1"/>
      <c r="KI151" s="1"/>
      <c r="KJ151" s="1"/>
      <c r="KK151" s="1"/>
      <c r="KL151" s="1"/>
      <c r="KM151" s="1"/>
      <c r="KN151" s="1"/>
      <c r="KO151" s="1"/>
      <c r="KP151" s="1"/>
      <c r="KQ151" s="1"/>
      <c r="KR151" s="1"/>
      <c r="KS151" s="1"/>
      <c r="KT151" s="1"/>
      <c r="KU151" s="1"/>
      <c r="KV151" s="1"/>
      <c r="KW151" s="1"/>
      <c r="KX151" s="1"/>
      <c r="KY151" s="1"/>
      <c r="KZ151" s="1"/>
      <c r="LA151" s="1"/>
      <c r="LB151" s="1"/>
      <c r="LC151" s="1"/>
      <c r="LD151" s="1"/>
      <c r="LE151" s="1"/>
      <c r="LF151" s="1"/>
      <c r="LG151" s="1"/>
      <c r="LH151" s="1"/>
      <c r="LI151" s="1"/>
      <c r="LJ151" s="1"/>
      <c r="LK151" s="1"/>
      <c r="LL151" s="1"/>
      <c r="LM151" s="1"/>
      <c r="LN151" s="1"/>
      <c r="LO151" s="1"/>
      <c r="LP151" s="1"/>
      <c r="LQ151" s="1"/>
      <c r="LR151" s="1"/>
      <c r="LS151" s="1"/>
    </row>
    <row r="152" spans="1:331" s="25" customFormat="1" x14ac:dyDescent="0.25">
      <c r="A152" s="25" t="s">
        <v>640</v>
      </c>
      <c r="B152" s="29" t="s">
        <v>641</v>
      </c>
      <c r="C152" s="13" t="s">
        <v>2072</v>
      </c>
      <c r="D152" s="25">
        <v>0</v>
      </c>
      <c r="H152" s="25" t="s">
        <v>642</v>
      </c>
      <c r="I152" s="25" t="s">
        <v>643</v>
      </c>
      <c r="J152" s="25" t="s">
        <v>642</v>
      </c>
      <c r="K152" s="25" t="s">
        <v>2109</v>
      </c>
      <c r="L152" s="25">
        <v>0</v>
      </c>
      <c r="O152" s="25">
        <v>0</v>
      </c>
      <c r="Q152" s="1" t="s">
        <v>1584</v>
      </c>
      <c r="R152" s="1"/>
      <c r="T152" s="25">
        <v>3</v>
      </c>
      <c r="V152" s="25">
        <v>3</v>
      </c>
      <c r="W152" s="1">
        <v>3</v>
      </c>
      <c r="X152" s="1">
        <v>16</v>
      </c>
      <c r="Y152" s="1" t="s">
        <v>2295</v>
      </c>
      <c r="Z152" s="25">
        <v>5</v>
      </c>
      <c r="AA152" s="1" t="b">
        <v>1</v>
      </c>
      <c r="AB152" s="1"/>
      <c r="AC152" s="57" t="s">
        <v>1363</v>
      </c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  <c r="IY152" s="1"/>
      <c r="IZ152" s="1"/>
      <c r="JA152" s="1"/>
      <c r="JB152" s="1"/>
      <c r="JC152" s="1"/>
      <c r="JD152" s="1"/>
      <c r="JE152" s="1"/>
      <c r="JF152" s="1"/>
      <c r="JG152" s="1"/>
      <c r="JH152" s="1"/>
      <c r="JI152" s="1"/>
      <c r="JJ152" s="1"/>
      <c r="JK152" s="1"/>
      <c r="JL152" s="1"/>
      <c r="JM152" s="1"/>
      <c r="JN152" s="1"/>
      <c r="JO152" s="1"/>
      <c r="JP152" s="1"/>
      <c r="JQ152" s="1"/>
      <c r="JR152" s="1"/>
      <c r="JS152" s="1"/>
      <c r="JT152" s="1"/>
      <c r="JU152" s="1"/>
      <c r="JV152" s="1"/>
      <c r="JW152" s="1"/>
      <c r="JX152" s="1"/>
      <c r="JY152" s="1"/>
      <c r="JZ152" s="1"/>
      <c r="KA152" s="1"/>
      <c r="KB152" s="1"/>
      <c r="KC152" s="1"/>
      <c r="KD152" s="1"/>
      <c r="KE152" s="1"/>
      <c r="KF152" s="1"/>
      <c r="KG152" s="1"/>
      <c r="KH152" s="1"/>
      <c r="KI152" s="1"/>
      <c r="KJ152" s="1"/>
      <c r="KK152" s="1"/>
      <c r="KL152" s="1"/>
      <c r="KM152" s="1"/>
      <c r="KN152" s="1"/>
      <c r="KO152" s="1"/>
      <c r="KP152" s="1"/>
      <c r="KQ152" s="1"/>
      <c r="KR152" s="1"/>
      <c r="KS152" s="1"/>
      <c r="KT152" s="1"/>
      <c r="KU152" s="1"/>
      <c r="KV152" s="1"/>
      <c r="KW152" s="1"/>
      <c r="KX152" s="1"/>
      <c r="KY152" s="1"/>
      <c r="KZ152" s="1"/>
      <c r="LA152" s="1"/>
      <c r="LB152" s="1"/>
      <c r="LC152" s="1"/>
      <c r="LD152" s="1"/>
      <c r="LE152" s="1"/>
      <c r="LF152" s="1"/>
      <c r="LG152" s="1"/>
      <c r="LH152" s="1"/>
      <c r="LI152" s="1"/>
      <c r="LJ152" s="1"/>
      <c r="LK152" s="1"/>
      <c r="LL152" s="1"/>
      <c r="LM152" s="1"/>
      <c r="LN152" s="1"/>
      <c r="LO152" s="1"/>
      <c r="LP152" s="1"/>
      <c r="LQ152" s="1"/>
      <c r="LR152" s="1"/>
      <c r="LS152" s="1"/>
    </row>
    <row r="153" spans="1:331" s="35" customFormat="1" x14ac:dyDescent="0.25">
      <c r="A153" s="35" t="s">
        <v>644</v>
      </c>
      <c r="B153" s="39" t="s">
        <v>645</v>
      </c>
      <c r="C153" s="13" t="s">
        <v>2072</v>
      </c>
      <c r="D153" s="35">
        <v>1</v>
      </c>
      <c r="E153" s="35" t="s">
        <v>646</v>
      </c>
      <c r="H153" s="35" t="s">
        <v>647</v>
      </c>
      <c r="I153" s="35" t="s">
        <v>431</v>
      </c>
      <c r="J153" s="35" t="s">
        <v>648</v>
      </c>
      <c r="K153" s="35" t="s">
        <v>431</v>
      </c>
      <c r="L153" s="35">
        <v>0</v>
      </c>
      <c r="O153" s="35">
        <v>1</v>
      </c>
      <c r="Q153" s="1"/>
      <c r="R153" s="1" t="s">
        <v>649</v>
      </c>
      <c r="T153" s="35">
        <v>12</v>
      </c>
      <c r="V153" s="35">
        <v>12</v>
      </c>
      <c r="W153" s="1">
        <v>12</v>
      </c>
      <c r="X153" s="1">
        <v>14</v>
      </c>
      <c r="Y153" s="1" t="s">
        <v>2296</v>
      </c>
      <c r="Z153" s="35">
        <v>7</v>
      </c>
      <c r="AA153" s="1" t="b">
        <v>1</v>
      </c>
      <c r="AB153" s="1"/>
      <c r="AC153" s="57" t="s">
        <v>1304</v>
      </c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  <c r="IY153" s="1"/>
      <c r="IZ153" s="1"/>
      <c r="JA153" s="1"/>
      <c r="JB153" s="1"/>
      <c r="JC153" s="1"/>
      <c r="JD153" s="1"/>
      <c r="JE153" s="1"/>
      <c r="JF153" s="1"/>
      <c r="JG153" s="1"/>
      <c r="JH153" s="1"/>
      <c r="JI153" s="1"/>
      <c r="JJ153" s="1"/>
      <c r="JK153" s="1"/>
      <c r="JL153" s="1"/>
      <c r="JM153" s="1"/>
      <c r="JN153" s="1"/>
      <c r="JO153" s="1"/>
      <c r="JP153" s="1"/>
      <c r="JQ153" s="1"/>
      <c r="JR153" s="1"/>
      <c r="JS153" s="1"/>
      <c r="JT153" s="1"/>
      <c r="JU153" s="1"/>
      <c r="JV153" s="1"/>
      <c r="JW153" s="1"/>
      <c r="JX153" s="1"/>
      <c r="JY153" s="1"/>
      <c r="JZ153" s="1"/>
      <c r="KA153" s="1"/>
      <c r="KB153" s="1"/>
      <c r="KC153" s="1"/>
      <c r="KD153" s="1"/>
      <c r="KE153" s="1"/>
      <c r="KF153" s="1"/>
      <c r="KG153" s="1"/>
      <c r="KH153" s="1"/>
      <c r="KI153" s="1"/>
      <c r="KJ153" s="1"/>
      <c r="KK153" s="1"/>
      <c r="KL153" s="1"/>
      <c r="KM153" s="1"/>
      <c r="KN153" s="1"/>
      <c r="KO153" s="1"/>
      <c r="KP153" s="1"/>
      <c r="KQ153" s="1"/>
      <c r="KR153" s="1"/>
      <c r="KS153" s="1"/>
      <c r="KT153" s="1"/>
      <c r="KU153" s="1"/>
      <c r="KV153" s="1"/>
      <c r="KW153" s="1"/>
      <c r="KX153" s="1"/>
      <c r="KY153" s="1"/>
      <c r="KZ153" s="1"/>
      <c r="LA153" s="1"/>
      <c r="LB153" s="1"/>
      <c r="LC153" s="1"/>
      <c r="LD153" s="1"/>
      <c r="LE153" s="1"/>
      <c r="LF153" s="1"/>
      <c r="LG153" s="1"/>
      <c r="LH153" s="1"/>
      <c r="LI153" s="1"/>
      <c r="LJ153" s="1"/>
      <c r="LK153" s="1"/>
      <c r="LL153" s="1"/>
      <c r="LM153" s="1"/>
      <c r="LN153" s="1"/>
      <c r="LO153" s="1"/>
      <c r="LP153" s="1"/>
      <c r="LQ153" s="1"/>
      <c r="LR153" s="1"/>
      <c r="LS153" s="1"/>
    </row>
    <row r="154" spans="1:331" s="75" customFormat="1" x14ac:dyDescent="0.25">
      <c r="A154" s="75" t="s">
        <v>650</v>
      </c>
      <c r="B154" s="79" t="s">
        <v>651</v>
      </c>
      <c r="C154" s="13" t="s">
        <v>2072</v>
      </c>
      <c r="D154" s="75">
        <v>0</v>
      </c>
      <c r="H154" s="75" t="s">
        <v>652</v>
      </c>
      <c r="I154" s="75" t="s">
        <v>653</v>
      </c>
      <c r="J154" s="75" t="s">
        <v>436</v>
      </c>
      <c r="K154" s="75" t="s">
        <v>653</v>
      </c>
      <c r="L154" s="75">
        <v>0</v>
      </c>
      <c r="O154" s="75">
        <v>1</v>
      </c>
      <c r="P154" s="75" t="s">
        <v>654</v>
      </c>
      <c r="Q154" s="1"/>
      <c r="R154" s="1" t="s">
        <v>655</v>
      </c>
      <c r="S154" s="75">
        <v>14</v>
      </c>
      <c r="U154" s="75">
        <v>12</v>
      </c>
      <c r="W154" s="75">
        <v>14</v>
      </c>
      <c r="X154" s="1">
        <v>12</v>
      </c>
      <c r="Y154" s="1" t="s">
        <v>2297</v>
      </c>
      <c r="Z154" s="75">
        <v>14</v>
      </c>
      <c r="AA154" s="75" t="b">
        <v>1</v>
      </c>
      <c r="AC154" s="78" t="s">
        <v>1413</v>
      </c>
    </row>
    <row r="155" spans="1:331" s="25" customFormat="1" x14ac:dyDescent="0.25">
      <c r="A155" s="25" t="s">
        <v>656</v>
      </c>
      <c r="B155" s="29" t="s">
        <v>657</v>
      </c>
      <c r="C155" s="13" t="s">
        <v>2072</v>
      </c>
      <c r="D155" s="25">
        <v>0</v>
      </c>
      <c r="H155" s="25" t="s">
        <v>443</v>
      </c>
      <c r="I155" s="25" t="s">
        <v>436</v>
      </c>
      <c r="J155" s="25" t="s">
        <v>443</v>
      </c>
      <c r="K155" s="25" t="s">
        <v>436</v>
      </c>
      <c r="L155" s="25">
        <v>0</v>
      </c>
      <c r="O155" s="25">
        <v>0</v>
      </c>
      <c r="Q155" s="1" t="s">
        <v>1553</v>
      </c>
      <c r="R155" s="1"/>
      <c r="S155" s="25">
        <v>8</v>
      </c>
      <c r="U155" s="25">
        <v>8</v>
      </c>
      <c r="W155" s="1">
        <v>8</v>
      </c>
      <c r="X155" s="1">
        <v>9</v>
      </c>
      <c r="Y155" s="1" t="s">
        <v>2298</v>
      </c>
      <c r="Z155" s="25">
        <v>5</v>
      </c>
      <c r="AA155" s="1" t="b">
        <v>1</v>
      </c>
      <c r="AB155" s="1"/>
      <c r="AC155" s="57" t="s">
        <v>1380</v>
      </c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R155" s="1"/>
      <c r="JS155" s="1"/>
      <c r="JT155" s="1"/>
      <c r="JU155" s="1"/>
      <c r="JV155" s="1"/>
      <c r="JW155" s="1"/>
      <c r="JX155" s="1"/>
      <c r="JY155" s="1"/>
      <c r="JZ155" s="1"/>
      <c r="KA155" s="1"/>
      <c r="KB155" s="1"/>
      <c r="KC155" s="1"/>
      <c r="KD155" s="1"/>
      <c r="KE155" s="1"/>
      <c r="KF155" s="1"/>
      <c r="KG155" s="1"/>
      <c r="KH155" s="1"/>
      <c r="KI155" s="1"/>
      <c r="KJ155" s="1"/>
      <c r="KK155" s="1"/>
      <c r="KL155" s="1"/>
      <c r="KM155" s="1"/>
      <c r="KN155" s="1"/>
      <c r="KO155" s="1"/>
      <c r="KP155" s="1"/>
      <c r="KQ155" s="1"/>
      <c r="KR155" s="1"/>
      <c r="KS155" s="1"/>
      <c r="KT155" s="1"/>
      <c r="KU155" s="1"/>
      <c r="KV155" s="1"/>
      <c r="KW155" s="1"/>
      <c r="KX155" s="1"/>
      <c r="KY155" s="1"/>
      <c r="KZ155" s="1"/>
      <c r="LA155" s="1"/>
      <c r="LB155" s="1"/>
      <c r="LC155" s="1"/>
      <c r="LD155" s="1"/>
      <c r="LE155" s="1"/>
      <c r="LF155" s="1"/>
      <c r="LG155" s="1"/>
      <c r="LH155" s="1"/>
      <c r="LI155" s="1"/>
      <c r="LJ155" s="1"/>
      <c r="LK155" s="1"/>
      <c r="LL155" s="1"/>
      <c r="LM155" s="1"/>
      <c r="LN155" s="1"/>
      <c r="LO155" s="1"/>
      <c r="LP155" s="1"/>
      <c r="LQ155" s="1"/>
      <c r="LR155" s="1"/>
      <c r="LS155" s="1"/>
    </row>
    <row r="156" spans="1:331" s="25" customFormat="1" x14ac:dyDescent="0.25">
      <c r="A156" s="25" t="s">
        <v>658</v>
      </c>
      <c r="B156" s="29" t="s">
        <v>659</v>
      </c>
      <c r="C156" s="13" t="s">
        <v>2072</v>
      </c>
      <c r="D156" s="25">
        <v>0</v>
      </c>
      <c r="H156" s="25" t="s">
        <v>652</v>
      </c>
      <c r="I156" s="25" t="s">
        <v>647</v>
      </c>
      <c r="J156" s="25" t="s">
        <v>436</v>
      </c>
      <c r="K156" s="25" t="s">
        <v>2110</v>
      </c>
      <c r="L156" s="25">
        <v>0</v>
      </c>
      <c r="O156" s="25">
        <v>0</v>
      </c>
      <c r="Q156" s="1" t="s">
        <v>1585</v>
      </c>
      <c r="R156" s="1"/>
      <c r="S156" s="25">
        <v>7</v>
      </c>
      <c r="U156" s="25">
        <v>6</v>
      </c>
      <c r="W156" s="1">
        <v>7</v>
      </c>
      <c r="X156" s="1">
        <v>13</v>
      </c>
      <c r="Y156" s="1" t="s">
        <v>2299</v>
      </c>
      <c r="Z156" s="25">
        <v>5</v>
      </c>
      <c r="AA156" s="1" t="b">
        <v>1</v>
      </c>
      <c r="AB156" s="1"/>
      <c r="AC156" s="57" t="s">
        <v>1382</v>
      </c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  <c r="IY156" s="1"/>
      <c r="IZ156" s="1"/>
      <c r="JA156" s="1"/>
      <c r="JB156" s="1"/>
      <c r="JC156" s="1"/>
      <c r="JD156" s="1"/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O156" s="1"/>
      <c r="JP156" s="1"/>
      <c r="JQ156" s="1"/>
      <c r="JR156" s="1"/>
      <c r="JS156" s="1"/>
      <c r="JT156" s="1"/>
      <c r="JU156" s="1"/>
      <c r="JV156" s="1"/>
      <c r="JW156" s="1"/>
      <c r="JX156" s="1"/>
      <c r="JY156" s="1"/>
      <c r="JZ156" s="1"/>
      <c r="KA156" s="1"/>
      <c r="KB156" s="1"/>
      <c r="KC156" s="1"/>
      <c r="KD156" s="1"/>
      <c r="KE156" s="1"/>
      <c r="KF156" s="1"/>
      <c r="KG156" s="1"/>
      <c r="KH156" s="1"/>
      <c r="KI156" s="1"/>
      <c r="KJ156" s="1"/>
      <c r="KK156" s="1"/>
      <c r="KL156" s="1"/>
      <c r="KM156" s="1"/>
      <c r="KN156" s="1"/>
      <c r="KO156" s="1"/>
      <c r="KP156" s="1"/>
      <c r="KQ156" s="1"/>
      <c r="KR156" s="1"/>
      <c r="KS156" s="1"/>
      <c r="KT156" s="1"/>
      <c r="KU156" s="1"/>
      <c r="KV156" s="1"/>
      <c r="KW156" s="1"/>
      <c r="KX156" s="1"/>
      <c r="KY156" s="1"/>
      <c r="KZ156" s="1"/>
      <c r="LA156" s="1"/>
      <c r="LB156" s="1"/>
      <c r="LC156" s="1"/>
      <c r="LD156" s="1"/>
      <c r="LE156" s="1"/>
      <c r="LF156" s="1"/>
      <c r="LG156" s="1"/>
      <c r="LH156" s="1"/>
      <c r="LI156" s="1"/>
      <c r="LJ156" s="1"/>
      <c r="LK156" s="1"/>
      <c r="LL156" s="1"/>
      <c r="LM156" s="1"/>
      <c r="LN156" s="1"/>
      <c r="LO156" s="1"/>
      <c r="LP156" s="1"/>
      <c r="LQ156" s="1"/>
      <c r="LR156" s="1"/>
      <c r="LS156" s="1"/>
    </row>
    <row r="157" spans="1:331" s="59" customFormat="1" x14ac:dyDescent="0.25">
      <c r="A157" s="59" t="s">
        <v>660</v>
      </c>
      <c r="B157" s="61" t="s">
        <v>661</v>
      </c>
      <c r="C157" s="13" t="s">
        <v>2072</v>
      </c>
      <c r="D157" s="59">
        <v>0</v>
      </c>
      <c r="H157" s="59" t="s">
        <v>662</v>
      </c>
      <c r="I157" s="59" t="s">
        <v>663</v>
      </c>
      <c r="J157" s="59" t="s">
        <v>662</v>
      </c>
      <c r="K157" s="59" t="s">
        <v>2111</v>
      </c>
      <c r="L157" s="59">
        <v>1</v>
      </c>
      <c r="M157" s="59" t="s">
        <v>664</v>
      </c>
      <c r="O157" s="59">
        <v>1</v>
      </c>
      <c r="Q157" s="1"/>
      <c r="R157" s="1" t="s">
        <v>665</v>
      </c>
      <c r="T157" s="59">
        <v>22</v>
      </c>
      <c r="V157" s="59">
        <v>20</v>
      </c>
      <c r="W157" s="1">
        <v>22</v>
      </c>
      <c r="X157" s="1">
        <v>18</v>
      </c>
      <c r="Y157" s="1" t="s">
        <v>2300</v>
      </c>
      <c r="Z157" s="59">
        <v>11</v>
      </c>
      <c r="AA157" s="1" t="b">
        <v>1</v>
      </c>
      <c r="AB157" s="1"/>
      <c r="AC157" s="57" t="s">
        <v>1396</v>
      </c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O157" s="1"/>
      <c r="JP157" s="1"/>
      <c r="JQ157" s="1"/>
      <c r="JR157" s="1"/>
      <c r="JS157" s="1"/>
      <c r="JT157" s="1"/>
      <c r="JU157" s="1"/>
      <c r="JV157" s="1"/>
      <c r="JW157" s="1"/>
      <c r="JX157" s="1"/>
      <c r="JY157" s="1"/>
      <c r="JZ157" s="1"/>
      <c r="KA157" s="1"/>
      <c r="KB157" s="1"/>
      <c r="KC157" s="1"/>
      <c r="KD157" s="1"/>
      <c r="KE157" s="1"/>
      <c r="KF157" s="1"/>
      <c r="KG157" s="1"/>
      <c r="KH157" s="1"/>
      <c r="KI157" s="1"/>
      <c r="KJ157" s="1"/>
      <c r="KK157" s="1"/>
      <c r="KL157" s="1"/>
      <c r="KM157" s="1"/>
      <c r="KN157" s="1"/>
      <c r="KO157" s="1"/>
      <c r="KP157" s="1"/>
      <c r="KQ157" s="1"/>
      <c r="KR157" s="1"/>
      <c r="KS157" s="1"/>
      <c r="KT157" s="1"/>
      <c r="KU157" s="1"/>
      <c r="KV157" s="1"/>
      <c r="KW157" s="1"/>
      <c r="KX157" s="1"/>
      <c r="KY157" s="1"/>
      <c r="KZ157" s="1"/>
      <c r="LA157" s="1"/>
      <c r="LB157" s="1"/>
      <c r="LC157" s="1"/>
      <c r="LD157" s="1"/>
      <c r="LE157" s="1"/>
      <c r="LF157" s="1"/>
      <c r="LG157" s="1"/>
      <c r="LH157" s="1"/>
      <c r="LI157" s="1"/>
      <c r="LJ157" s="1"/>
      <c r="LK157" s="1"/>
      <c r="LL157" s="1"/>
      <c r="LM157" s="1"/>
      <c r="LN157" s="1"/>
      <c r="LO157" s="1"/>
      <c r="LP157" s="1"/>
      <c r="LQ157" s="1"/>
      <c r="LR157" s="1"/>
      <c r="LS157" s="1"/>
    </row>
    <row r="158" spans="1:331" s="25" customFormat="1" x14ac:dyDescent="0.25">
      <c r="A158" s="25" t="s">
        <v>666</v>
      </c>
      <c r="B158" s="29" t="s">
        <v>667</v>
      </c>
      <c r="C158" s="13" t="s">
        <v>2072</v>
      </c>
      <c r="D158" s="25">
        <v>0</v>
      </c>
      <c r="H158" s="25" t="s">
        <v>668</v>
      </c>
      <c r="I158" s="25" t="s">
        <v>230</v>
      </c>
      <c r="J158" s="25" t="s">
        <v>668</v>
      </c>
      <c r="K158" s="25" t="s">
        <v>230</v>
      </c>
      <c r="L158" s="25">
        <v>0</v>
      </c>
      <c r="O158" s="25">
        <v>1</v>
      </c>
      <c r="Q158" s="1" t="s">
        <v>229</v>
      </c>
      <c r="R158" s="1"/>
      <c r="T158" s="25">
        <v>11</v>
      </c>
      <c r="V158" s="25">
        <v>11</v>
      </c>
      <c r="W158" s="1">
        <v>11</v>
      </c>
      <c r="X158" s="1">
        <v>13</v>
      </c>
      <c r="Y158" s="1" t="s">
        <v>2301</v>
      </c>
      <c r="Z158" s="25">
        <v>5</v>
      </c>
      <c r="AA158" s="1" t="b">
        <v>1</v>
      </c>
      <c r="AB158" s="1"/>
      <c r="AC158" s="57" t="s">
        <v>1378</v>
      </c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  <c r="IY158" s="1"/>
      <c r="IZ158" s="1"/>
      <c r="JA158" s="1"/>
      <c r="JB158" s="1"/>
      <c r="JC158" s="1"/>
      <c r="JD158" s="1"/>
      <c r="JE158" s="1"/>
      <c r="JF158" s="1"/>
      <c r="JG158" s="1"/>
      <c r="JH158" s="1"/>
      <c r="JI158" s="1"/>
      <c r="JJ158" s="1"/>
      <c r="JK158" s="1"/>
      <c r="JL158" s="1"/>
      <c r="JM158" s="1"/>
      <c r="JN158" s="1"/>
      <c r="JO158" s="1"/>
      <c r="JP158" s="1"/>
      <c r="JQ158" s="1"/>
      <c r="JR158" s="1"/>
      <c r="JS158" s="1"/>
      <c r="JT158" s="1"/>
      <c r="JU158" s="1"/>
      <c r="JV158" s="1"/>
      <c r="JW158" s="1"/>
      <c r="JX158" s="1"/>
      <c r="JY158" s="1"/>
      <c r="JZ158" s="1"/>
      <c r="KA158" s="1"/>
      <c r="KB158" s="1"/>
      <c r="KC158" s="1"/>
      <c r="KD158" s="1"/>
      <c r="KE158" s="1"/>
      <c r="KF158" s="1"/>
      <c r="KG158" s="1"/>
      <c r="KH158" s="1"/>
      <c r="KI158" s="1"/>
      <c r="KJ158" s="1"/>
      <c r="KK158" s="1"/>
      <c r="KL158" s="1"/>
      <c r="KM158" s="1"/>
      <c r="KN158" s="1"/>
      <c r="KO158" s="1"/>
      <c r="KP158" s="1"/>
      <c r="KQ158" s="1"/>
      <c r="KR158" s="1"/>
      <c r="KS158" s="1"/>
      <c r="KT158" s="1"/>
      <c r="KU158" s="1"/>
      <c r="KV158" s="1"/>
      <c r="KW158" s="1"/>
      <c r="KX158" s="1"/>
      <c r="KY158" s="1"/>
      <c r="KZ158" s="1"/>
      <c r="LA158" s="1"/>
      <c r="LB158" s="1"/>
      <c r="LC158" s="1"/>
      <c r="LD158" s="1"/>
      <c r="LE158" s="1"/>
      <c r="LF158" s="1"/>
      <c r="LG158" s="1"/>
      <c r="LH158" s="1"/>
      <c r="LI158" s="1"/>
      <c r="LJ158" s="1"/>
      <c r="LK158" s="1"/>
      <c r="LL158" s="1"/>
      <c r="LM158" s="1"/>
      <c r="LN158" s="1"/>
      <c r="LO158" s="1"/>
      <c r="LP158" s="1"/>
      <c r="LQ158" s="1"/>
      <c r="LR158" s="1"/>
      <c r="LS158" s="1"/>
    </row>
    <row r="159" spans="1:331" s="35" customFormat="1" x14ac:dyDescent="0.25">
      <c r="A159" s="35" t="s">
        <v>669</v>
      </c>
      <c r="B159" s="39" t="s">
        <v>670</v>
      </c>
      <c r="C159" s="13" t="s">
        <v>2072</v>
      </c>
      <c r="D159" s="35">
        <v>1</v>
      </c>
      <c r="E159" s="35" t="s">
        <v>449</v>
      </c>
      <c r="H159" s="35" t="s">
        <v>671</v>
      </c>
      <c r="I159" s="35" t="s">
        <v>449</v>
      </c>
      <c r="J159" s="35" t="s">
        <v>672</v>
      </c>
      <c r="K159" s="35" t="s">
        <v>2112</v>
      </c>
      <c r="L159" s="35">
        <v>0</v>
      </c>
      <c r="O159" s="35">
        <v>1</v>
      </c>
      <c r="Q159" s="1"/>
      <c r="R159" s="1" t="s">
        <v>673</v>
      </c>
      <c r="S159" s="35">
        <v>9</v>
      </c>
      <c r="U159" s="35">
        <v>8</v>
      </c>
      <c r="W159" s="1">
        <v>9</v>
      </c>
      <c r="X159" s="1">
        <v>17</v>
      </c>
      <c r="Y159" s="1" t="s">
        <v>2302</v>
      </c>
      <c r="Z159" s="35">
        <v>7</v>
      </c>
      <c r="AA159" s="1" t="b">
        <v>1</v>
      </c>
      <c r="AB159" s="1"/>
      <c r="AC159" s="57" t="s">
        <v>1447</v>
      </c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  <c r="IY159" s="1"/>
      <c r="IZ159" s="1"/>
      <c r="JA159" s="1"/>
      <c r="JB159" s="1"/>
      <c r="JC159" s="1"/>
      <c r="JD159" s="1"/>
      <c r="JE159" s="1"/>
      <c r="JF159" s="1"/>
      <c r="JG159" s="1"/>
      <c r="JH159" s="1"/>
      <c r="JI159" s="1"/>
      <c r="JJ159" s="1"/>
      <c r="JK159" s="1"/>
      <c r="JL159" s="1"/>
      <c r="JM159" s="1"/>
      <c r="JN159" s="1"/>
      <c r="JO159" s="1"/>
      <c r="JP159" s="1"/>
      <c r="JQ159" s="1"/>
      <c r="JR159" s="1"/>
      <c r="JS159" s="1"/>
      <c r="JT159" s="1"/>
      <c r="JU159" s="1"/>
      <c r="JV159" s="1"/>
      <c r="JW159" s="1"/>
      <c r="JX159" s="1"/>
      <c r="JY159" s="1"/>
      <c r="JZ159" s="1"/>
      <c r="KA159" s="1"/>
      <c r="KB159" s="1"/>
      <c r="KC159" s="1"/>
      <c r="KD159" s="1"/>
      <c r="KE159" s="1"/>
      <c r="KF159" s="1"/>
      <c r="KG159" s="1"/>
      <c r="KH159" s="1"/>
      <c r="KI159" s="1"/>
      <c r="KJ159" s="1"/>
      <c r="KK159" s="1"/>
      <c r="KL159" s="1"/>
      <c r="KM159" s="1"/>
      <c r="KN159" s="1"/>
      <c r="KO159" s="1"/>
      <c r="KP159" s="1"/>
      <c r="KQ159" s="1"/>
      <c r="KR159" s="1"/>
      <c r="KS159" s="1"/>
      <c r="KT159" s="1"/>
      <c r="KU159" s="1"/>
      <c r="KV159" s="1"/>
      <c r="KW159" s="1"/>
      <c r="KX159" s="1"/>
      <c r="KY159" s="1"/>
      <c r="KZ159" s="1"/>
      <c r="LA159" s="1"/>
      <c r="LB159" s="1"/>
      <c r="LC159" s="1"/>
      <c r="LD159" s="1"/>
      <c r="LE159" s="1"/>
      <c r="LF159" s="1"/>
      <c r="LG159" s="1"/>
      <c r="LH159" s="1"/>
      <c r="LI159" s="1"/>
      <c r="LJ159" s="1"/>
      <c r="LK159" s="1"/>
      <c r="LL159" s="1"/>
      <c r="LM159" s="1"/>
      <c r="LN159" s="1"/>
      <c r="LO159" s="1"/>
      <c r="LP159" s="1"/>
      <c r="LQ159" s="1"/>
      <c r="LR159" s="1"/>
      <c r="LS159" s="1"/>
    </row>
    <row r="160" spans="1:331" s="45" customFormat="1" x14ac:dyDescent="0.25">
      <c r="A160" s="45" t="s">
        <v>674</v>
      </c>
      <c r="C160" s="1" t="s">
        <v>2072</v>
      </c>
      <c r="D160" s="45">
        <v>0</v>
      </c>
      <c r="H160" s="45" t="s">
        <v>563</v>
      </c>
      <c r="I160" s="45" t="s">
        <v>564</v>
      </c>
      <c r="J160" s="45" t="s">
        <v>563</v>
      </c>
      <c r="K160" s="45" t="s">
        <v>564</v>
      </c>
      <c r="L160" s="45">
        <v>0</v>
      </c>
      <c r="O160" s="45">
        <v>1</v>
      </c>
      <c r="Q160" s="1" t="s">
        <v>654</v>
      </c>
      <c r="R160" s="1"/>
      <c r="T160" s="45">
        <v>19</v>
      </c>
      <c r="W160" s="1"/>
      <c r="X160" s="1"/>
      <c r="Y160" s="1"/>
      <c r="Z160" s="45">
        <v>-1</v>
      </c>
      <c r="AA160" s="1" t="b">
        <v>0</v>
      </c>
      <c r="AB160" s="1"/>
      <c r="AC160" s="57" t="s">
        <v>1239</v>
      </c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  <c r="IY160" s="1"/>
      <c r="IZ160" s="1"/>
      <c r="JA160" s="1"/>
      <c r="JB160" s="1"/>
      <c r="JC160" s="1"/>
      <c r="JD160" s="1"/>
      <c r="JE160" s="1"/>
      <c r="JF160" s="1"/>
      <c r="JG160" s="1"/>
      <c r="JH160" s="1"/>
      <c r="JI160" s="1"/>
      <c r="JJ160" s="1"/>
      <c r="JK160" s="1"/>
      <c r="JL160" s="1"/>
      <c r="JM160" s="1"/>
      <c r="JN160" s="1"/>
      <c r="JO160" s="1"/>
      <c r="JP160" s="1"/>
      <c r="JQ160" s="1"/>
      <c r="JR160" s="1"/>
      <c r="JS160" s="1"/>
      <c r="JT160" s="1"/>
      <c r="JU160" s="1"/>
      <c r="JV160" s="1"/>
      <c r="JW160" s="1"/>
      <c r="JX160" s="1"/>
      <c r="JY160" s="1"/>
      <c r="JZ160" s="1"/>
      <c r="KA160" s="1"/>
      <c r="KB160" s="1"/>
      <c r="KC160" s="1"/>
      <c r="KD160" s="1"/>
      <c r="KE160" s="1"/>
      <c r="KF160" s="1"/>
      <c r="KG160" s="1"/>
      <c r="KH160" s="1"/>
      <c r="KI160" s="1"/>
      <c r="KJ160" s="1"/>
      <c r="KK160" s="1"/>
      <c r="KL160" s="1"/>
      <c r="KM160" s="1"/>
      <c r="KN160" s="1"/>
      <c r="KO160" s="1"/>
      <c r="KP160" s="1"/>
      <c r="KQ160" s="1"/>
      <c r="KR160" s="1"/>
      <c r="KS160" s="1"/>
      <c r="KT160" s="1"/>
      <c r="KU160" s="1"/>
      <c r="KV160" s="1"/>
      <c r="KW160" s="1"/>
      <c r="KX160" s="1"/>
      <c r="KY160" s="1"/>
      <c r="KZ160" s="1"/>
      <c r="LA160" s="1"/>
      <c r="LB160" s="1"/>
      <c r="LC160" s="1"/>
      <c r="LD160" s="1"/>
      <c r="LE160" s="1"/>
      <c r="LF160" s="1"/>
      <c r="LG160" s="1"/>
      <c r="LH160" s="1"/>
      <c r="LI160" s="1"/>
      <c r="LJ160" s="1"/>
      <c r="LK160" s="1"/>
      <c r="LL160" s="1"/>
      <c r="LM160" s="1"/>
      <c r="LN160" s="1"/>
      <c r="LO160" s="1"/>
      <c r="LP160" s="1"/>
      <c r="LQ160" s="1"/>
      <c r="LR160" s="1"/>
      <c r="LS160" s="1"/>
    </row>
    <row r="161" spans="1:331" s="25" customFormat="1" x14ac:dyDescent="0.25">
      <c r="A161" s="25" t="s">
        <v>675</v>
      </c>
      <c r="B161" s="29" t="s">
        <v>676</v>
      </c>
      <c r="C161" s="13" t="s">
        <v>2072</v>
      </c>
      <c r="D161" s="25">
        <v>0</v>
      </c>
      <c r="H161" s="25" t="s">
        <v>677</v>
      </c>
      <c r="I161" s="25" t="s">
        <v>678</v>
      </c>
      <c r="J161" s="25" t="s">
        <v>679</v>
      </c>
      <c r="K161" s="25" t="s">
        <v>2113</v>
      </c>
      <c r="L161" s="25">
        <v>0</v>
      </c>
      <c r="O161" s="25">
        <v>1</v>
      </c>
      <c r="Q161" s="1" t="s">
        <v>684</v>
      </c>
      <c r="R161" s="1"/>
      <c r="S161" s="25">
        <v>5</v>
      </c>
      <c r="W161" s="1">
        <v>5</v>
      </c>
      <c r="X161" s="1">
        <v>22</v>
      </c>
      <c r="Y161" s="1" t="s">
        <v>2303</v>
      </c>
      <c r="Z161" s="25">
        <v>5</v>
      </c>
      <c r="AA161" s="1" t="b">
        <v>1</v>
      </c>
      <c r="AB161" s="1"/>
      <c r="AC161" s="57" t="s">
        <v>2593</v>
      </c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  <c r="IY161" s="1"/>
      <c r="IZ161" s="1"/>
      <c r="JA161" s="1"/>
      <c r="JB161" s="1"/>
      <c r="JC161" s="1"/>
      <c r="JD161" s="1"/>
      <c r="JE161" s="1"/>
      <c r="JF161" s="1"/>
      <c r="JG161" s="1"/>
      <c r="JH161" s="1"/>
      <c r="JI161" s="1"/>
      <c r="JJ161" s="1"/>
      <c r="JK161" s="1"/>
      <c r="JL161" s="1"/>
      <c r="JM161" s="1"/>
      <c r="JN161" s="1"/>
      <c r="JO161" s="1"/>
      <c r="JP161" s="1"/>
      <c r="JQ161" s="1"/>
      <c r="JR161" s="1"/>
      <c r="JS161" s="1"/>
      <c r="JT161" s="1"/>
      <c r="JU161" s="1"/>
      <c r="JV161" s="1"/>
      <c r="JW161" s="1"/>
      <c r="JX161" s="1"/>
      <c r="JY161" s="1"/>
      <c r="JZ161" s="1"/>
      <c r="KA161" s="1"/>
      <c r="KB161" s="1"/>
      <c r="KC161" s="1"/>
      <c r="KD161" s="1"/>
      <c r="KE161" s="1"/>
      <c r="KF161" s="1"/>
      <c r="KG161" s="1"/>
      <c r="KH161" s="1"/>
      <c r="KI161" s="1"/>
      <c r="KJ161" s="1"/>
      <c r="KK161" s="1"/>
      <c r="KL161" s="1"/>
      <c r="KM161" s="1"/>
      <c r="KN161" s="1"/>
      <c r="KO161" s="1"/>
      <c r="KP161" s="1"/>
      <c r="KQ161" s="1"/>
      <c r="KR161" s="1"/>
      <c r="KS161" s="1"/>
      <c r="KT161" s="1"/>
      <c r="KU161" s="1"/>
      <c r="KV161" s="1"/>
      <c r="KW161" s="1"/>
      <c r="KX161" s="1"/>
      <c r="KY161" s="1"/>
      <c r="KZ161" s="1"/>
      <c r="LA161" s="1"/>
      <c r="LB161" s="1"/>
      <c r="LC161" s="1"/>
      <c r="LD161" s="1"/>
      <c r="LE161" s="1"/>
      <c r="LF161" s="1"/>
      <c r="LG161" s="1"/>
      <c r="LH161" s="1"/>
      <c r="LI161" s="1"/>
      <c r="LJ161" s="1"/>
      <c r="LK161" s="1"/>
      <c r="LL161" s="1"/>
      <c r="LM161" s="1"/>
      <c r="LN161" s="1"/>
      <c r="LO161" s="1"/>
      <c r="LP161" s="1"/>
      <c r="LQ161" s="1"/>
      <c r="LR161" s="1"/>
      <c r="LS161" s="1"/>
    </row>
    <row r="162" spans="1:331" s="40" customFormat="1" x14ac:dyDescent="0.25">
      <c r="A162" s="40" t="s">
        <v>680</v>
      </c>
      <c r="B162" s="44" t="s">
        <v>681</v>
      </c>
      <c r="C162" s="13" t="s">
        <v>2072</v>
      </c>
      <c r="D162" s="40">
        <v>0</v>
      </c>
      <c r="H162" s="40" t="s">
        <v>682</v>
      </c>
      <c r="I162" s="40" t="s">
        <v>683</v>
      </c>
      <c r="J162" s="40" t="s">
        <v>461</v>
      </c>
      <c r="K162" s="40" t="s">
        <v>2114</v>
      </c>
      <c r="L162" s="40">
        <v>0</v>
      </c>
      <c r="O162" s="40">
        <v>1</v>
      </c>
      <c r="P162" s="40" t="s">
        <v>684</v>
      </c>
      <c r="Q162" s="1" t="s">
        <v>1586</v>
      </c>
      <c r="R162" s="1"/>
      <c r="T162" s="40">
        <v>16</v>
      </c>
      <c r="V162" s="40">
        <v>17</v>
      </c>
      <c r="W162" s="1">
        <v>16</v>
      </c>
      <c r="X162" s="1">
        <v>20</v>
      </c>
      <c r="Y162" s="1" t="s">
        <v>2304</v>
      </c>
      <c r="Z162" s="40">
        <v>8</v>
      </c>
      <c r="AA162" s="1" t="b">
        <v>1</v>
      </c>
      <c r="AB162" s="1"/>
      <c r="AC162" s="57" t="s">
        <v>1450</v>
      </c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O162" s="1"/>
      <c r="JP162" s="1"/>
      <c r="JQ162" s="1"/>
      <c r="JR162" s="1"/>
      <c r="JS162" s="1"/>
      <c r="JT162" s="1"/>
      <c r="JU162" s="1"/>
      <c r="JV162" s="1"/>
      <c r="JW162" s="1"/>
      <c r="JX162" s="1"/>
      <c r="JY162" s="1"/>
      <c r="JZ162" s="1"/>
      <c r="KA162" s="1"/>
      <c r="KB162" s="1"/>
      <c r="KC162" s="1"/>
      <c r="KD162" s="1"/>
      <c r="KE162" s="1"/>
      <c r="KF162" s="1"/>
      <c r="KG162" s="1"/>
      <c r="KH162" s="1"/>
      <c r="KI162" s="1"/>
      <c r="KJ162" s="1"/>
      <c r="KK162" s="1"/>
      <c r="KL162" s="1"/>
      <c r="KM162" s="1"/>
      <c r="KN162" s="1"/>
      <c r="KO162" s="1"/>
      <c r="KP162" s="1"/>
      <c r="KQ162" s="1"/>
      <c r="KR162" s="1"/>
      <c r="KS162" s="1"/>
      <c r="KT162" s="1"/>
      <c r="KU162" s="1"/>
      <c r="KV162" s="1"/>
      <c r="KW162" s="1"/>
      <c r="KX162" s="1"/>
      <c r="KY162" s="1"/>
      <c r="KZ162" s="1"/>
      <c r="LA162" s="1"/>
      <c r="LB162" s="1"/>
      <c r="LC162" s="1"/>
      <c r="LD162" s="1"/>
      <c r="LE162" s="1"/>
      <c r="LF162" s="1"/>
      <c r="LG162" s="1"/>
      <c r="LH162" s="1"/>
      <c r="LI162" s="1"/>
      <c r="LJ162" s="1"/>
      <c r="LK162" s="1"/>
      <c r="LL162" s="1"/>
      <c r="LM162" s="1"/>
      <c r="LN162" s="1"/>
      <c r="LO162" s="1"/>
      <c r="LP162" s="1"/>
      <c r="LQ162" s="1"/>
      <c r="LR162" s="1"/>
      <c r="LS162" s="1"/>
    </row>
    <row r="163" spans="1:331" s="25" customFormat="1" x14ac:dyDescent="0.25">
      <c r="A163" s="25" t="s">
        <v>685</v>
      </c>
      <c r="B163" s="29" t="s">
        <v>686</v>
      </c>
      <c r="C163" s="13" t="s">
        <v>2072</v>
      </c>
      <c r="D163" s="25">
        <v>0</v>
      </c>
      <c r="H163" s="25" t="s">
        <v>687</v>
      </c>
      <c r="I163" s="25" t="s">
        <v>688</v>
      </c>
      <c r="J163" s="25" t="s">
        <v>687</v>
      </c>
      <c r="K163" s="25" t="s">
        <v>688</v>
      </c>
      <c r="L163" s="25">
        <v>0</v>
      </c>
      <c r="O163" s="25">
        <v>0</v>
      </c>
      <c r="Q163" s="1" t="s">
        <v>1587</v>
      </c>
      <c r="R163" s="1"/>
      <c r="T163" s="25">
        <v>6</v>
      </c>
      <c r="V163" s="25">
        <v>6</v>
      </c>
      <c r="W163" s="1">
        <v>6</v>
      </c>
      <c r="X163" s="1">
        <v>13</v>
      </c>
      <c r="Y163" s="1" t="s">
        <v>2305</v>
      </c>
      <c r="Z163" s="25">
        <v>5</v>
      </c>
      <c r="AA163" s="1" t="b">
        <v>1</v>
      </c>
      <c r="AB163" s="1"/>
      <c r="AC163" s="57" t="s">
        <v>1379</v>
      </c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  <c r="IY163" s="1"/>
      <c r="IZ163" s="1"/>
      <c r="JA163" s="1"/>
      <c r="JB163" s="1"/>
      <c r="JC163" s="1"/>
      <c r="JD163" s="1"/>
      <c r="JE163" s="1"/>
      <c r="JF163" s="1"/>
      <c r="JG163" s="1"/>
      <c r="JH163" s="1"/>
      <c r="JI163" s="1"/>
      <c r="JJ163" s="1"/>
      <c r="JK163" s="1"/>
      <c r="JL163" s="1"/>
      <c r="JM163" s="1"/>
      <c r="JN163" s="1"/>
      <c r="JO163" s="1"/>
      <c r="JP163" s="1"/>
      <c r="JQ163" s="1"/>
      <c r="JR163" s="1"/>
      <c r="JS163" s="1"/>
      <c r="JT163" s="1"/>
      <c r="JU163" s="1"/>
      <c r="JV163" s="1"/>
      <c r="JW163" s="1"/>
      <c r="JX163" s="1"/>
      <c r="JY163" s="1"/>
      <c r="JZ163" s="1"/>
      <c r="KA163" s="1"/>
      <c r="KB163" s="1"/>
      <c r="KC163" s="1"/>
      <c r="KD163" s="1"/>
      <c r="KE163" s="1"/>
      <c r="KF163" s="1"/>
      <c r="KG163" s="1"/>
      <c r="KH163" s="1"/>
      <c r="KI163" s="1"/>
      <c r="KJ163" s="1"/>
      <c r="KK163" s="1"/>
      <c r="KL163" s="1"/>
      <c r="KM163" s="1"/>
      <c r="KN163" s="1"/>
      <c r="KO163" s="1"/>
      <c r="KP163" s="1"/>
      <c r="KQ163" s="1"/>
      <c r="KR163" s="1"/>
      <c r="KS163" s="1"/>
      <c r="KT163" s="1"/>
      <c r="KU163" s="1"/>
      <c r="KV163" s="1"/>
      <c r="KW163" s="1"/>
      <c r="KX163" s="1"/>
      <c r="KY163" s="1"/>
      <c r="KZ163" s="1"/>
      <c r="LA163" s="1"/>
      <c r="LB163" s="1"/>
      <c r="LC163" s="1"/>
      <c r="LD163" s="1"/>
      <c r="LE163" s="1"/>
      <c r="LF163" s="1"/>
      <c r="LG163" s="1"/>
      <c r="LH163" s="1"/>
      <c r="LI163" s="1"/>
      <c r="LJ163" s="1"/>
      <c r="LK163" s="1"/>
      <c r="LL163" s="1"/>
      <c r="LM163" s="1"/>
      <c r="LN163" s="1"/>
      <c r="LO163" s="1"/>
      <c r="LP163" s="1"/>
      <c r="LQ163" s="1"/>
      <c r="LR163" s="1"/>
      <c r="LS163" s="1"/>
    </row>
    <row r="164" spans="1:331" s="40" customFormat="1" x14ac:dyDescent="0.25">
      <c r="A164" s="40" t="s">
        <v>689</v>
      </c>
      <c r="B164" s="44" t="s">
        <v>690</v>
      </c>
      <c r="C164" s="13" t="s">
        <v>2072</v>
      </c>
      <c r="D164" s="40">
        <v>0</v>
      </c>
      <c r="H164" s="40" t="s">
        <v>691</v>
      </c>
      <c r="I164" s="40" t="s">
        <v>692</v>
      </c>
      <c r="J164" s="40" t="s">
        <v>693</v>
      </c>
      <c r="K164" s="40" t="s">
        <v>692</v>
      </c>
      <c r="L164" s="40">
        <v>0</v>
      </c>
      <c r="O164" s="40">
        <v>1</v>
      </c>
      <c r="P164" s="40" t="s">
        <v>141</v>
      </c>
      <c r="Q164" s="1" t="s">
        <v>1588</v>
      </c>
      <c r="R164" s="1"/>
      <c r="T164" s="40">
        <v>12</v>
      </c>
      <c r="W164" s="1">
        <v>12</v>
      </c>
      <c r="X164" s="1">
        <v>16</v>
      </c>
      <c r="Y164" s="1" t="s">
        <v>2306</v>
      </c>
      <c r="Z164" s="40">
        <v>8</v>
      </c>
      <c r="AA164" s="1" t="b">
        <v>1</v>
      </c>
      <c r="AB164" s="1"/>
      <c r="AC164" s="57" t="s">
        <v>2592</v>
      </c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  <c r="IY164" s="1"/>
      <c r="IZ164" s="1"/>
      <c r="JA164" s="1"/>
      <c r="JB164" s="1"/>
      <c r="JC164" s="1"/>
      <c r="JD164" s="1"/>
      <c r="JE164" s="1"/>
      <c r="JF164" s="1"/>
      <c r="JG164" s="1"/>
      <c r="JH164" s="1"/>
      <c r="JI164" s="1"/>
      <c r="JJ164" s="1"/>
      <c r="JK164" s="1"/>
      <c r="JL164" s="1"/>
      <c r="JM164" s="1"/>
      <c r="JN164" s="1"/>
      <c r="JO164" s="1"/>
      <c r="JP164" s="1"/>
      <c r="JQ164" s="1"/>
      <c r="JR164" s="1"/>
      <c r="JS164" s="1"/>
      <c r="JT164" s="1"/>
      <c r="JU164" s="1"/>
      <c r="JV164" s="1"/>
      <c r="JW164" s="1"/>
      <c r="JX164" s="1"/>
      <c r="JY164" s="1"/>
      <c r="JZ164" s="1"/>
      <c r="KA164" s="1"/>
      <c r="KB164" s="1"/>
      <c r="KC164" s="1"/>
      <c r="KD164" s="1"/>
      <c r="KE164" s="1"/>
      <c r="KF164" s="1"/>
      <c r="KG164" s="1"/>
      <c r="KH164" s="1"/>
      <c r="KI164" s="1"/>
      <c r="KJ164" s="1"/>
      <c r="KK164" s="1"/>
      <c r="KL164" s="1"/>
      <c r="KM164" s="1"/>
      <c r="KN164" s="1"/>
      <c r="KO164" s="1"/>
      <c r="KP164" s="1"/>
      <c r="KQ164" s="1"/>
      <c r="KR164" s="1"/>
      <c r="KS164" s="1"/>
      <c r="KT164" s="1"/>
      <c r="KU164" s="1"/>
      <c r="KV164" s="1"/>
      <c r="KW164" s="1"/>
      <c r="KX164" s="1"/>
      <c r="KY164" s="1"/>
      <c r="KZ164" s="1"/>
      <c r="LA164" s="1"/>
      <c r="LB164" s="1"/>
      <c r="LC164" s="1"/>
      <c r="LD164" s="1"/>
      <c r="LE164" s="1"/>
      <c r="LF164" s="1"/>
      <c r="LG164" s="1"/>
      <c r="LH164" s="1"/>
      <c r="LI164" s="1"/>
      <c r="LJ164" s="1"/>
      <c r="LK164" s="1"/>
      <c r="LL164" s="1"/>
      <c r="LM164" s="1"/>
      <c r="LN164" s="1"/>
      <c r="LO164" s="1"/>
      <c r="LP164" s="1"/>
      <c r="LQ164" s="1"/>
      <c r="LR164" s="1"/>
      <c r="LS164" s="1"/>
    </row>
    <row r="165" spans="1:331" s="25" customFormat="1" x14ac:dyDescent="0.25">
      <c r="A165" s="25" t="s">
        <v>694</v>
      </c>
      <c r="B165" s="29">
        <v>2607532</v>
      </c>
      <c r="C165" s="13" t="s">
        <v>2072</v>
      </c>
      <c r="D165" s="25">
        <v>0</v>
      </c>
      <c r="H165" s="25" t="s">
        <v>695</v>
      </c>
      <c r="I165" s="25" t="s">
        <v>696</v>
      </c>
      <c r="J165" s="25" t="s">
        <v>695</v>
      </c>
      <c r="K165" s="25" t="s">
        <v>2115</v>
      </c>
      <c r="L165" s="25">
        <v>0</v>
      </c>
      <c r="O165" s="25">
        <v>1</v>
      </c>
      <c r="Q165" s="1" t="s">
        <v>1588</v>
      </c>
      <c r="R165" s="1"/>
      <c r="V165" s="25">
        <v>20</v>
      </c>
      <c r="W165" s="1">
        <v>20</v>
      </c>
      <c r="X165" s="1">
        <v>19</v>
      </c>
      <c r="Y165" s="1" t="s">
        <v>2307</v>
      </c>
      <c r="Z165" s="25">
        <v>5</v>
      </c>
      <c r="AA165" s="1" t="b">
        <v>1</v>
      </c>
      <c r="AB165" s="1"/>
      <c r="AC165" s="57" t="s">
        <v>1305</v>
      </c>
      <c r="AD165" s="1" t="b">
        <v>1</v>
      </c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  <c r="IY165" s="1"/>
      <c r="IZ165" s="1"/>
      <c r="JA165" s="1"/>
      <c r="JB165" s="1"/>
      <c r="JC165" s="1"/>
      <c r="JD165" s="1"/>
      <c r="JE165" s="1"/>
      <c r="JF165" s="1"/>
      <c r="JG165" s="1"/>
      <c r="JH165" s="1"/>
      <c r="JI165" s="1"/>
      <c r="JJ165" s="1"/>
      <c r="JK165" s="1"/>
      <c r="JL165" s="1"/>
      <c r="JM165" s="1"/>
      <c r="JN165" s="1"/>
      <c r="JO165" s="1"/>
      <c r="JP165" s="1"/>
      <c r="JQ165" s="1"/>
      <c r="JR165" s="1"/>
      <c r="JS165" s="1"/>
      <c r="JT165" s="1"/>
      <c r="JU165" s="1"/>
      <c r="JV165" s="1"/>
      <c r="JW165" s="1"/>
      <c r="JX165" s="1"/>
      <c r="JY165" s="1"/>
      <c r="JZ165" s="1"/>
      <c r="KA165" s="1"/>
      <c r="KB165" s="1"/>
      <c r="KC165" s="1"/>
      <c r="KD165" s="1"/>
      <c r="KE165" s="1"/>
      <c r="KF165" s="1"/>
      <c r="KG165" s="1"/>
      <c r="KH165" s="1"/>
      <c r="KI165" s="1"/>
      <c r="KJ165" s="1"/>
      <c r="KK165" s="1"/>
      <c r="KL165" s="1"/>
      <c r="KM165" s="1"/>
      <c r="KN165" s="1"/>
      <c r="KO165" s="1"/>
      <c r="KP165" s="1"/>
      <c r="KQ165" s="1"/>
      <c r="KR165" s="1"/>
      <c r="KS165" s="1"/>
      <c r="KT165" s="1"/>
      <c r="KU165" s="1"/>
      <c r="KV165" s="1"/>
      <c r="KW165" s="1"/>
      <c r="KX165" s="1"/>
      <c r="KY165" s="1"/>
      <c r="KZ165" s="1"/>
      <c r="LA165" s="1"/>
      <c r="LB165" s="1"/>
      <c r="LC165" s="1"/>
      <c r="LD165" s="1"/>
      <c r="LE165" s="1"/>
      <c r="LF165" s="1"/>
      <c r="LG165" s="1"/>
      <c r="LH165" s="1"/>
      <c r="LI165" s="1"/>
      <c r="LJ165" s="1"/>
      <c r="LK165" s="1"/>
      <c r="LL165" s="1"/>
      <c r="LM165" s="1"/>
      <c r="LN165" s="1"/>
      <c r="LO165" s="1"/>
      <c r="LP165" s="1"/>
      <c r="LQ165" s="1"/>
      <c r="LR165" s="1"/>
      <c r="LS165" s="1"/>
    </row>
    <row r="166" spans="1:331" s="45" customFormat="1" x14ac:dyDescent="0.25">
      <c r="A166" s="45" t="s">
        <v>697</v>
      </c>
      <c r="B166" s="45" t="s">
        <v>1383</v>
      </c>
      <c r="C166" s="1" t="s">
        <v>2072</v>
      </c>
      <c r="D166" s="45">
        <v>0</v>
      </c>
      <c r="H166" s="45" t="s">
        <v>695</v>
      </c>
      <c r="I166" s="45" t="s">
        <v>457</v>
      </c>
      <c r="J166" s="45" t="s">
        <v>695</v>
      </c>
      <c r="K166" s="45" t="s">
        <v>1587</v>
      </c>
      <c r="L166" s="45">
        <v>0</v>
      </c>
      <c r="O166" s="45">
        <v>0</v>
      </c>
      <c r="Q166" s="1" t="s">
        <v>1589</v>
      </c>
      <c r="R166" s="1"/>
      <c r="S166" s="45">
        <v>5</v>
      </c>
      <c r="W166" s="1"/>
      <c r="X166" s="1">
        <v>16</v>
      </c>
      <c r="Y166" s="1" t="s">
        <v>2308</v>
      </c>
      <c r="Z166" s="45">
        <v>-1</v>
      </c>
      <c r="AA166" s="1" t="b">
        <v>0</v>
      </c>
      <c r="AB166" s="1"/>
      <c r="AC166" s="57" t="s">
        <v>1384</v>
      </c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  <c r="JM166" s="1"/>
      <c r="JN166" s="1"/>
      <c r="JO166" s="1"/>
      <c r="JP166" s="1"/>
      <c r="JQ166" s="1"/>
      <c r="JR166" s="1"/>
      <c r="JS166" s="1"/>
      <c r="JT166" s="1"/>
      <c r="JU166" s="1"/>
      <c r="JV166" s="1"/>
      <c r="JW166" s="1"/>
      <c r="JX166" s="1"/>
      <c r="JY166" s="1"/>
      <c r="JZ166" s="1"/>
      <c r="KA166" s="1"/>
      <c r="KB166" s="1"/>
      <c r="KC166" s="1"/>
      <c r="KD166" s="1"/>
      <c r="KE166" s="1"/>
      <c r="KF166" s="1"/>
      <c r="KG166" s="1"/>
      <c r="KH166" s="1"/>
      <c r="KI166" s="1"/>
      <c r="KJ166" s="1"/>
      <c r="KK166" s="1"/>
      <c r="KL166" s="1"/>
      <c r="KM166" s="1"/>
      <c r="KN166" s="1"/>
      <c r="KO166" s="1"/>
      <c r="KP166" s="1"/>
      <c r="KQ166" s="1"/>
      <c r="KR166" s="1"/>
      <c r="KS166" s="1"/>
      <c r="KT166" s="1"/>
      <c r="KU166" s="1"/>
      <c r="KV166" s="1"/>
      <c r="KW166" s="1"/>
      <c r="KX166" s="1"/>
      <c r="KY166" s="1"/>
      <c r="KZ166" s="1"/>
      <c r="LA166" s="1"/>
      <c r="LB166" s="1"/>
      <c r="LC166" s="1"/>
      <c r="LD166" s="1"/>
      <c r="LE166" s="1"/>
      <c r="LF166" s="1"/>
      <c r="LG166" s="1"/>
      <c r="LH166" s="1"/>
      <c r="LI166" s="1"/>
      <c r="LJ166" s="1"/>
      <c r="LK166" s="1"/>
      <c r="LL166" s="1"/>
      <c r="LM166" s="1"/>
      <c r="LN166" s="1"/>
      <c r="LO166" s="1"/>
      <c r="LP166" s="1"/>
      <c r="LQ166" s="1"/>
      <c r="LR166" s="1"/>
      <c r="LS166" s="1"/>
    </row>
    <row r="167" spans="1:331" s="25" customFormat="1" x14ac:dyDescent="0.25">
      <c r="A167" s="25" t="s">
        <v>698</v>
      </c>
      <c r="B167" s="29" t="s">
        <v>676</v>
      </c>
      <c r="C167" s="13" t="s">
        <v>2072</v>
      </c>
      <c r="D167" s="25">
        <v>0</v>
      </c>
      <c r="H167" s="25" t="s">
        <v>699</v>
      </c>
      <c r="I167" s="25" t="s">
        <v>700</v>
      </c>
      <c r="J167" s="25" t="s">
        <v>699</v>
      </c>
      <c r="K167" s="25" t="s">
        <v>700</v>
      </c>
      <c r="L167" s="25">
        <v>0</v>
      </c>
      <c r="O167" s="25">
        <v>1</v>
      </c>
      <c r="Q167" s="1" t="s">
        <v>1342</v>
      </c>
      <c r="R167" s="1"/>
      <c r="S167" s="25">
        <v>8</v>
      </c>
      <c r="U167" s="25">
        <v>5</v>
      </c>
      <c r="W167" s="1">
        <v>8</v>
      </c>
      <c r="X167" s="1">
        <v>22</v>
      </c>
      <c r="Y167" s="1" t="s">
        <v>2303</v>
      </c>
      <c r="Z167" s="25">
        <v>-1</v>
      </c>
      <c r="AA167" s="1" t="b">
        <v>1</v>
      </c>
      <c r="AB167" s="1"/>
      <c r="AC167" s="57" t="s">
        <v>1385</v>
      </c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  <c r="IY167" s="1"/>
      <c r="IZ167" s="1"/>
      <c r="JA167" s="1"/>
      <c r="JB167" s="1"/>
      <c r="JC167" s="1"/>
      <c r="JD167" s="1"/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O167" s="1"/>
      <c r="JP167" s="1"/>
      <c r="JQ167" s="1"/>
      <c r="JR167" s="1"/>
      <c r="JS167" s="1"/>
      <c r="JT167" s="1"/>
      <c r="JU167" s="1"/>
      <c r="JV167" s="1"/>
      <c r="JW167" s="1"/>
      <c r="JX167" s="1"/>
      <c r="JY167" s="1"/>
      <c r="JZ167" s="1"/>
      <c r="KA167" s="1"/>
      <c r="KB167" s="1"/>
      <c r="KC167" s="1"/>
      <c r="KD167" s="1"/>
      <c r="KE167" s="1"/>
      <c r="KF167" s="1"/>
      <c r="KG167" s="1"/>
      <c r="KH167" s="1"/>
      <c r="KI167" s="1"/>
      <c r="KJ167" s="1"/>
      <c r="KK167" s="1"/>
      <c r="KL167" s="1"/>
      <c r="KM167" s="1"/>
      <c r="KN167" s="1"/>
      <c r="KO167" s="1"/>
      <c r="KP167" s="1"/>
      <c r="KQ167" s="1"/>
      <c r="KR167" s="1"/>
      <c r="KS167" s="1"/>
      <c r="KT167" s="1"/>
      <c r="KU167" s="1"/>
      <c r="KV167" s="1"/>
      <c r="KW167" s="1"/>
      <c r="KX167" s="1"/>
      <c r="KY167" s="1"/>
      <c r="KZ167" s="1"/>
      <c r="LA167" s="1"/>
      <c r="LB167" s="1"/>
      <c r="LC167" s="1"/>
      <c r="LD167" s="1"/>
      <c r="LE167" s="1"/>
      <c r="LF167" s="1"/>
      <c r="LG167" s="1"/>
      <c r="LH167" s="1"/>
      <c r="LI167" s="1"/>
      <c r="LJ167" s="1"/>
      <c r="LK167" s="1"/>
      <c r="LL167" s="1"/>
      <c r="LM167" s="1"/>
      <c r="LN167" s="1"/>
      <c r="LO167" s="1"/>
      <c r="LP167" s="1"/>
      <c r="LQ167" s="1"/>
      <c r="LR167" s="1"/>
      <c r="LS167" s="1"/>
    </row>
    <row r="168" spans="1:331" s="40" customFormat="1" x14ac:dyDescent="0.25">
      <c r="A168" s="40" t="s">
        <v>701</v>
      </c>
      <c r="B168" s="44">
        <v>2854623</v>
      </c>
      <c r="C168" s="13" t="s">
        <v>2072</v>
      </c>
      <c r="D168" s="40">
        <v>0</v>
      </c>
      <c r="H168" s="40" t="s">
        <v>702</v>
      </c>
      <c r="I168" s="40" t="s">
        <v>703</v>
      </c>
      <c r="J168" s="40" t="s">
        <v>702</v>
      </c>
      <c r="K168" s="40" t="s">
        <v>703</v>
      </c>
      <c r="L168" s="40">
        <v>0</v>
      </c>
      <c r="O168" s="40">
        <v>1</v>
      </c>
      <c r="P168" s="40" t="s">
        <v>704</v>
      </c>
      <c r="Q168" s="1" t="s">
        <v>1590</v>
      </c>
      <c r="R168" s="1"/>
      <c r="S168" s="40">
        <v>16</v>
      </c>
      <c r="U168" s="40">
        <v>14</v>
      </c>
      <c r="W168" s="1">
        <v>16</v>
      </c>
      <c r="X168" s="1">
        <v>16</v>
      </c>
      <c r="Y168" s="1" t="s">
        <v>2309</v>
      </c>
      <c r="Z168" s="40">
        <v>8</v>
      </c>
      <c r="AA168" s="1" t="b">
        <v>1</v>
      </c>
      <c r="AB168" s="1"/>
      <c r="AC168" s="57" t="s">
        <v>1451</v>
      </c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  <c r="IY168" s="1"/>
      <c r="IZ168" s="1"/>
      <c r="JA168" s="1"/>
      <c r="JB168" s="1"/>
      <c r="JC168" s="1"/>
      <c r="JD168" s="1"/>
      <c r="JE168" s="1"/>
      <c r="JF168" s="1"/>
      <c r="JG168" s="1"/>
      <c r="JH168" s="1"/>
      <c r="JI168" s="1"/>
      <c r="JJ168" s="1"/>
      <c r="JK168" s="1"/>
      <c r="JL168" s="1"/>
      <c r="JM168" s="1"/>
      <c r="JN168" s="1"/>
      <c r="JO168" s="1"/>
      <c r="JP168" s="1"/>
      <c r="JQ168" s="1"/>
      <c r="JR168" s="1"/>
      <c r="JS168" s="1"/>
      <c r="JT168" s="1"/>
      <c r="JU168" s="1"/>
      <c r="JV168" s="1"/>
      <c r="JW168" s="1"/>
      <c r="JX168" s="1"/>
      <c r="JY168" s="1"/>
      <c r="JZ168" s="1"/>
      <c r="KA168" s="1"/>
      <c r="KB168" s="1"/>
      <c r="KC168" s="1"/>
      <c r="KD168" s="1"/>
      <c r="KE168" s="1"/>
      <c r="KF168" s="1"/>
      <c r="KG168" s="1"/>
      <c r="KH168" s="1"/>
      <c r="KI168" s="1"/>
      <c r="KJ168" s="1"/>
      <c r="KK168" s="1"/>
      <c r="KL168" s="1"/>
      <c r="KM168" s="1"/>
      <c r="KN168" s="1"/>
      <c r="KO168" s="1"/>
      <c r="KP168" s="1"/>
      <c r="KQ168" s="1"/>
      <c r="KR168" s="1"/>
      <c r="KS168" s="1"/>
      <c r="KT168" s="1"/>
      <c r="KU168" s="1"/>
      <c r="KV168" s="1"/>
      <c r="KW168" s="1"/>
      <c r="KX168" s="1"/>
      <c r="KY168" s="1"/>
      <c r="KZ168" s="1"/>
      <c r="LA168" s="1"/>
      <c r="LB168" s="1"/>
      <c r="LC168" s="1"/>
      <c r="LD168" s="1"/>
      <c r="LE168" s="1"/>
      <c r="LF168" s="1"/>
      <c r="LG168" s="1"/>
      <c r="LH168" s="1"/>
      <c r="LI168" s="1"/>
      <c r="LJ168" s="1"/>
      <c r="LK168" s="1"/>
      <c r="LL168" s="1"/>
      <c r="LM168" s="1"/>
      <c r="LN168" s="1"/>
      <c r="LO168" s="1"/>
      <c r="LP168" s="1"/>
      <c r="LQ168" s="1"/>
      <c r="LR168" s="1"/>
      <c r="LS168" s="1"/>
    </row>
    <row r="169" spans="1:331" s="25" customFormat="1" x14ac:dyDescent="0.25">
      <c r="A169" s="25" t="s">
        <v>705</v>
      </c>
      <c r="B169" s="29" t="s">
        <v>1389</v>
      </c>
      <c r="C169" s="13" t="s">
        <v>2072</v>
      </c>
      <c r="D169" s="25">
        <v>0</v>
      </c>
      <c r="H169" s="25" t="s">
        <v>706</v>
      </c>
      <c r="I169" s="25" t="s">
        <v>707</v>
      </c>
      <c r="J169" s="25" t="s">
        <v>706</v>
      </c>
      <c r="K169" s="25" t="s">
        <v>700</v>
      </c>
      <c r="L169" s="25">
        <v>0</v>
      </c>
      <c r="O169" s="25">
        <v>0</v>
      </c>
      <c r="Q169" s="1" t="s">
        <v>1591</v>
      </c>
      <c r="R169" s="1"/>
      <c r="T169" s="25">
        <v>10</v>
      </c>
      <c r="V169" s="25">
        <v>9</v>
      </c>
      <c r="W169" s="1">
        <v>10</v>
      </c>
      <c r="X169" s="1">
        <v>11</v>
      </c>
      <c r="Y169" s="1" t="s">
        <v>2310</v>
      </c>
      <c r="Z169" s="25">
        <v>5</v>
      </c>
      <c r="AA169" s="1" t="b">
        <v>1</v>
      </c>
      <c r="AB169" s="1"/>
      <c r="AC169" s="57" t="s">
        <v>1390</v>
      </c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  <c r="IY169" s="1"/>
      <c r="IZ169" s="1"/>
      <c r="JA169" s="1"/>
      <c r="JB169" s="1"/>
      <c r="JC169" s="1"/>
      <c r="JD169" s="1"/>
      <c r="JE169" s="1"/>
      <c r="JF169" s="1"/>
      <c r="JG169" s="1"/>
      <c r="JH169" s="1"/>
      <c r="JI169" s="1"/>
      <c r="JJ169" s="1"/>
      <c r="JK169" s="1"/>
      <c r="JL169" s="1"/>
      <c r="JM169" s="1"/>
      <c r="JN169" s="1"/>
      <c r="JO169" s="1"/>
      <c r="JP169" s="1"/>
      <c r="JQ169" s="1"/>
      <c r="JR169" s="1"/>
      <c r="JS169" s="1"/>
      <c r="JT169" s="1"/>
      <c r="JU169" s="1"/>
      <c r="JV169" s="1"/>
      <c r="JW169" s="1"/>
      <c r="JX169" s="1"/>
      <c r="JY169" s="1"/>
      <c r="JZ169" s="1"/>
      <c r="KA169" s="1"/>
      <c r="KB169" s="1"/>
      <c r="KC169" s="1"/>
      <c r="KD169" s="1"/>
      <c r="KE169" s="1"/>
      <c r="KF169" s="1"/>
      <c r="KG169" s="1"/>
      <c r="KH169" s="1"/>
      <c r="KI169" s="1"/>
      <c r="KJ169" s="1"/>
      <c r="KK169" s="1"/>
      <c r="KL169" s="1"/>
      <c r="KM169" s="1"/>
      <c r="KN169" s="1"/>
      <c r="KO169" s="1"/>
      <c r="KP169" s="1"/>
      <c r="KQ169" s="1"/>
      <c r="KR169" s="1"/>
      <c r="KS169" s="1"/>
      <c r="KT169" s="1"/>
      <c r="KU169" s="1"/>
      <c r="KV169" s="1"/>
      <c r="KW169" s="1"/>
      <c r="KX169" s="1"/>
      <c r="KY169" s="1"/>
      <c r="KZ169" s="1"/>
      <c r="LA169" s="1"/>
      <c r="LB169" s="1"/>
      <c r="LC169" s="1"/>
      <c r="LD169" s="1"/>
      <c r="LE169" s="1"/>
      <c r="LF169" s="1"/>
      <c r="LG169" s="1"/>
      <c r="LH169" s="1"/>
      <c r="LI169" s="1"/>
      <c r="LJ169" s="1"/>
      <c r="LK169" s="1"/>
      <c r="LL169" s="1"/>
      <c r="LM169" s="1"/>
      <c r="LN169" s="1"/>
      <c r="LO169" s="1"/>
      <c r="LP169" s="1"/>
      <c r="LQ169" s="1"/>
      <c r="LR169" s="1"/>
      <c r="LS169" s="1"/>
    </row>
    <row r="170" spans="1:331" s="25" customFormat="1" x14ac:dyDescent="0.25">
      <c r="A170" s="25" t="s">
        <v>708</v>
      </c>
      <c r="B170" s="29">
        <v>2062611</v>
      </c>
      <c r="C170" s="13" t="s">
        <v>2072</v>
      </c>
      <c r="D170" s="25">
        <v>0</v>
      </c>
      <c r="H170" s="25" t="s">
        <v>700</v>
      </c>
      <c r="I170" s="25" t="s">
        <v>700</v>
      </c>
      <c r="J170" s="25" t="s">
        <v>700</v>
      </c>
      <c r="K170" s="25" t="s">
        <v>700</v>
      </c>
      <c r="L170" s="25">
        <v>0</v>
      </c>
      <c r="O170" s="25">
        <v>0</v>
      </c>
      <c r="Q170" s="1" t="s">
        <v>1592</v>
      </c>
      <c r="R170" s="1"/>
      <c r="S170" s="25">
        <v>3</v>
      </c>
      <c r="W170" s="1">
        <v>3</v>
      </c>
      <c r="X170" s="1"/>
      <c r="Y170" s="1"/>
      <c r="Z170" s="25">
        <v>5</v>
      </c>
      <c r="AA170" s="1" t="b">
        <v>1</v>
      </c>
      <c r="AB170" s="1"/>
      <c r="AC170" s="57" t="s">
        <v>1388</v>
      </c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  <c r="IY170" s="1"/>
      <c r="IZ170" s="1"/>
      <c r="JA170" s="1"/>
      <c r="JB170" s="1"/>
      <c r="JC170" s="1"/>
      <c r="JD170" s="1"/>
      <c r="JE170" s="1"/>
      <c r="JF170" s="1"/>
      <c r="JG170" s="1"/>
      <c r="JH170" s="1"/>
      <c r="JI170" s="1"/>
      <c r="JJ170" s="1"/>
      <c r="JK170" s="1"/>
      <c r="JL170" s="1"/>
      <c r="JM170" s="1"/>
      <c r="JN170" s="1"/>
      <c r="JO170" s="1"/>
      <c r="JP170" s="1"/>
      <c r="JQ170" s="1"/>
      <c r="JR170" s="1"/>
      <c r="JS170" s="1"/>
      <c r="JT170" s="1"/>
      <c r="JU170" s="1"/>
      <c r="JV170" s="1"/>
      <c r="JW170" s="1"/>
      <c r="JX170" s="1"/>
      <c r="JY170" s="1"/>
      <c r="JZ170" s="1"/>
      <c r="KA170" s="1"/>
      <c r="KB170" s="1"/>
      <c r="KC170" s="1"/>
      <c r="KD170" s="1"/>
      <c r="KE170" s="1"/>
      <c r="KF170" s="1"/>
      <c r="KG170" s="1"/>
      <c r="KH170" s="1"/>
      <c r="KI170" s="1"/>
      <c r="KJ170" s="1"/>
      <c r="KK170" s="1"/>
      <c r="KL170" s="1"/>
      <c r="KM170" s="1"/>
      <c r="KN170" s="1"/>
      <c r="KO170" s="1"/>
      <c r="KP170" s="1"/>
      <c r="KQ170" s="1"/>
      <c r="KR170" s="1"/>
      <c r="KS170" s="1"/>
      <c r="KT170" s="1"/>
      <c r="KU170" s="1"/>
      <c r="KV170" s="1"/>
      <c r="KW170" s="1"/>
      <c r="KX170" s="1"/>
      <c r="KY170" s="1"/>
      <c r="KZ170" s="1"/>
      <c r="LA170" s="1"/>
      <c r="LB170" s="1"/>
      <c r="LC170" s="1"/>
      <c r="LD170" s="1"/>
      <c r="LE170" s="1"/>
      <c r="LF170" s="1"/>
      <c r="LG170" s="1"/>
      <c r="LH170" s="1"/>
      <c r="LI170" s="1"/>
      <c r="LJ170" s="1"/>
      <c r="LK170" s="1"/>
      <c r="LL170" s="1"/>
      <c r="LM170" s="1"/>
      <c r="LN170" s="1"/>
      <c r="LO170" s="1"/>
      <c r="LP170" s="1"/>
      <c r="LQ170" s="1"/>
      <c r="LR170" s="1"/>
      <c r="LS170" s="1"/>
    </row>
    <row r="171" spans="1:331" s="25" customFormat="1" x14ac:dyDescent="0.25">
      <c r="A171" s="25" t="s">
        <v>709</v>
      </c>
      <c r="B171" s="29">
        <v>2765503</v>
      </c>
      <c r="C171" s="13" t="s">
        <v>2072</v>
      </c>
      <c r="D171" s="25">
        <v>0</v>
      </c>
      <c r="H171" s="25" t="s">
        <v>700</v>
      </c>
      <c r="I171" s="25" t="s">
        <v>710</v>
      </c>
      <c r="J171" s="25" t="s">
        <v>700</v>
      </c>
      <c r="K171" s="25" t="s">
        <v>2116</v>
      </c>
      <c r="L171" s="25">
        <v>0</v>
      </c>
      <c r="O171" s="25">
        <v>0</v>
      </c>
      <c r="Q171" s="1" t="s">
        <v>702</v>
      </c>
      <c r="R171" s="1"/>
      <c r="S171" s="25">
        <v>9</v>
      </c>
      <c r="W171" s="1">
        <v>9</v>
      </c>
      <c r="X171" s="1">
        <v>16</v>
      </c>
      <c r="Y171" s="1" t="s">
        <v>2306</v>
      </c>
      <c r="Z171" s="25">
        <v>5</v>
      </c>
      <c r="AA171" s="1" t="b">
        <v>1</v>
      </c>
      <c r="AB171" s="1"/>
      <c r="AC171" s="57" t="s">
        <v>1234</v>
      </c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  <c r="IY171" s="1"/>
      <c r="IZ171" s="1"/>
      <c r="JA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O171" s="1"/>
      <c r="JP171" s="1"/>
      <c r="JQ171" s="1"/>
      <c r="JR171" s="1"/>
      <c r="JS171" s="1"/>
      <c r="JT171" s="1"/>
      <c r="JU171" s="1"/>
      <c r="JV171" s="1"/>
      <c r="JW171" s="1"/>
      <c r="JX171" s="1"/>
      <c r="JY171" s="1"/>
      <c r="JZ171" s="1"/>
      <c r="KA171" s="1"/>
      <c r="KB171" s="1"/>
      <c r="KC171" s="1"/>
      <c r="KD171" s="1"/>
      <c r="KE171" s="1"/>
      <c r="KF171" s="1"/>
      <c r="KG171" s="1"/>
      <c r="KH171" s="1"/>
      <c r="KI171" s="1"/>
      <c r="KJ171" s="1"/>
      <c r="KK171" s="1"/>
      <c r="KL171" s="1"/>
      <c r="KM171" s="1"/>
      <c r="KN171" s="1"/>
      <c r="KO171" s="1"/>
      <c r="KP171" s="1"/>
      <c r="KQ171" s="1"/>
      <c r="KR171" s="1"/>
      <c r="KS171" s="1"/>
      <c r="KT171" s="1"/>
      <c r="KU171" s="1"/>
      <c r="KV171" s="1"/>
      <c r="KW171" s="1"/>
      <c r="KX171" s="1"/>
      <c r="KY171" s="1"/>
      <c r="KZ171" s="1"/>
      <c r="LA171" s="1"/>
      <c r="LB171" s="1"/>
      <c r="LC171" s="1"/>
      <c r="LD171" s="1"/>
      <c r="LE171" s="1"/>
      <c r="LF171" s="1"/>
      <c r="LG171" s="1"/>
      <c r="LH171" s="1"/>
      <c r="LI171" s="1"/>
      <c r="LJ171" s="1"/>
      <c r="LK171" s="1"/>
      <c r="LL171" s="1"/>
      <c r="LM171" s="1"/>
      <c r="LN171" s="1"/>
      <c r="LO171" s="1"/>
      <c r="LP171" s="1"/>
      <c r="LQ171" s="1"/>
      <c r="LR171" s="1"/>
      <c r="LS171" s="1"/>
    </row>
    <row r="172" spans="1:331" s="30" customFormat="1" x14ac:dyDescent="0.25">
      <c r="A172" s="30" t="s">
        <v>711</v>
      </c>
      <c r="B172" s="34">
        <v>2223317</v>
      </c>
      <c r="C172" s="13" t="s">
        <v>2072</v>
      </c>
      <c r="D172" s="30">
        <v>1</v>
      </c>
      <c r="E172" s="30" t="s">
        <v>707</v>
      </c>
      <c r="H172" s="30" t="s">
        <v>710</v>
      </c>
      <c r="I172" s="30" t="s">
        <v>712</v>
      </c>
      <c r="J172" s="30" t="s">
        <v>710</v>
      </c>
      <c r="K172" s="30" t="s">
        <v>714</v>
      </c>
      <c r="L172" s="30">
        <v>0</v>
      </c>
      <c r="O172" s="30">
        <v>0</v>
      </c>
      <c r="Q172" s="1" t="s">
        <v>1593</v>
      </c>
      <c r="R172" s="1"/>
      <c r="T172" s="30">
        <v>8</v>
      </c>
      <c r="V172" s="30">
        <v>8</v>
      </c>
      <c r="W172" s="1">
        <v>8</v>
      </c>
      <c r="X172" s="1">
        <v>15</v>
      </c>
      <c r="Y172" s="1" t="s">
        <v>2311</v>
      </c>
      <c r="Z172" s="30">
        <v>6</v>
      </c>
      <c r="AA172" s="1" t="b">
        <v>1</v>
      </c>
      <c r="AB172" s="1"/>
      <c r="AC172" s="57" t="s">
        <v>1308</v>
      </c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  <c r="IY172" s="1"/>
      <c r="IZ172" s="1"/>
      <c r="JA172" s="1"/>
      <c r="JB172" s="1"/>
      <c r="JC172" s="1"/>
      <c r="JD172" s="1"/>
      <c r="JE172" s="1"/>
      <c r="JF172" s="1"/>
      <c r="JG172" s="1"/>
      <c r="JH172" s="1"/>
      <c r="JI172" s="1"/>
      <c r="JJ172" s="1"/>
      <c r="JK172" s="1"/>
      <c r="JL172" s="1"/>
      <c r="JM172" s="1"/>
      <c r="JN172" s="1"/>
      <c r="JO172" s="1"/>
      <c r="JP172" s="1"/>
      <c r="JQ172" s="1"/>
      <c r="JR172" s="1"/>
      <c r="JS172" s="1"/>
      <c r="JT172" s="1"/>
      <c r="JU172" s="1"/>
      <c r="JV172" s="1"/>
      <c r="JW172" s="1"/>
      <c r="JX172" s="1"/>
      <c r="JY172" s="1"/>
      <c r="JZ172" s="1"/>
      <c r="KA172" s="1"/>
      <c r="KB172" s="1"/>
      <c r="KC172" s="1"/>
      <c r="KD172" s="1"/>
      <c r="KE172" s="1"/>
      <c r="KF172" s="1"/>
      <c r="KG172" s="1"/>
      <c r="KH172" s="1"/>
      <c r="KI172" s="1"/>
      <c r="KJ172" s="1"/>
      <c r="KK172" s="1"/>
      <c r="KL172" s="1"/>
      <c r="KM172" s="1"/>
      <c r="KN172" s="1"/>
      <c r="KO172" s="1"/>
      <c r="KP172" s="1"/>
      <c r="KQ172" s="1"/>
      <c r="KR172" s="1"/>
      <c r="KS172" s="1"/>
      <c r="KT172" s="1"/>
      <c r="KU172" s="1"/>
      <c r="KV172" s="1"/>
      <c r="KW172" s="1"/>
      <c r="KX172" s="1"/>
      <c r="KY172" s="1"/>
      <c r="KZ172" s="1"/>
      <c r="LA172" s="1"/>
      <c r="LB172" s="1"/>
      <c r="LC172" s="1"/>
      <c r="LD172" s="1"/>
      <c r="LE172" s="1"/>
      <c r="LF172" s="1"/>
      <c r="LG172" s="1"/>
      <c r="LH172" s="1"/>
      <c r="LI172" s="1"/>
      <c r="LJ172" s="1"/>
      <c r="LK172" s="1"/>
      <c r="LL172" s="1"/>
      <c r="LM172" s="1"/>
      <c r="LN172" s="1"/>
      <c r="LO172" s="1"/>
      <c r="LP172" s="1"/>
      <c r="LQ172" s="1"/>
      <c r="LR172" s="1"/>
      <c r="LS172" s="1"/>
    </row>
    <row r="173" spans="1:331" s="25" customFormat="1" x14ac:dyDescent="0.25">
      <c r="A173" s="25" t="s">
        <v>713</v>
      </c>
      <c r="B173" s="29">
        <v>2313159</v>
      </c>
      <c r="C173" s="13" t="s">
        <v>2072</v>
      </c>
      <c r="D173" s="25">
        <v>0</v>
      </c>
      <c r="H173" s="25" t="s">
        <v>714</v>
      </c>
      <c r="I173" s="25" t="s">
        <v>715</v>
      </c>
      <c r="J173" s="25" t="s">
        <v>714</v>
      </c>
      <c r="K173" s="25" t="s">
        <v>715</v>
      </c>
      <c r="L173" s="25">
        <v>0</v>
      </c>
      <c r="O173" s="25">
        <v>0</v>
      </c>
      <c r="Q173" s="1" t="s">
        <v>729</v>
      </c>
      <c r="R173" s="1"/>
      <c r="S173" s="25">
        <v>3</v>
      </c>
      <c r="U173" s="25">
        <v>4</v>
      </c>
      <c r="W173" s="1">
        <v>3</v>
      </c>
      <c r="X173" s="1">
        <v>16</v>
      </c>
      <c r="Y173" s="1" t="s">
        <v>2312</v>
      </c>
      <c r="Z173" s="25">
        <v>5</v>
      </c>
      <c r="AA173" s="1" t="b">
        <v>1</v>
      </c>
      <c r="AB173" s="1"/>
      <c r="AC173" s="57" t="s">
        <v>1311</v>
      </c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  <c r="JR173" s="1"/>
      <c r="JS173" s="1"/>
      <c r="JT173" s="1"/>
      <c r="JU173" s="1"/>
      <c r="JV173" s="1"/>
      <c r="JW173" s="1"/>
      <c r="JX173" s="1"/>
      <c r="JY173" s="1"/>
      <c r="JZ173" s="1"/>
      <c r="KA173" s="1"/>
      <c r="KB173" s="1"/>
      <c r="KC173" s="1"/>
      <c r="KD173" s="1"/>
      <c r="KE173" s="1"/>
      <c r="KF173" s="1"/>
      <c r="KG173" s="1"/>
      <c r="KH173" s="1"/>
      <c r="KI173" s="1"/>
      <c r="KJ173" s="1"/>
      <c r="KK173" s="1"/>
      <c r="KL173" s="1"/>
      <c r="KM173" s="1"/>
      <c r="KN173" s="1"/>
      <c r="KO173" s="1"/>
      <c r="KP173" s="1"/>
      <c r="KQ173" s="1"/>
      <c r="KR173" s="1"/>
      <c r="KS173" s="1"/>
      <c r="KT173" s="1"/>
      <c r="KU173" s="1"/>
      <c r="KV173" s="1"/>
      <c r="KW173" s="1"/>
      <c r="KX173" s="1"/>
      <c r="KY173" s="1"/>
      <c r="KZ173" s="1"/>
      <c r="LA173" s="1"/>
      <c r="LB173" s="1"/>
      <c r="LC173" s="1"/>
      <c r="LD173" s="1"/>
      <c r="LE173" s="1"/>
      <c r="LF173" s="1"/>
      <c r="LG173" s="1"/>
      <c r="LH173" s="1"/>
      <c r="LI173" s="1"/>
      <c r="LJ173" s="1"/>
      <c r="LK173" s="1"/>
      <c r="LL173" s="1"/>
      <c r="LM173" s="1"/>
      <c r="LN173" s="1"/>
      <c r="LO173" s="1"/>
      <c r="LP173" s="1"/>
      <c r="LQ173" s="1"/>
      <c r="LR173" s="1"/>
      <c r="LS173" s="1"/>
    </row>
    <row r="174" spans="1:331" s="2" customFormat="1" x14ac:dyDescent="0.25">
      <c r="A174" s="2" t="s">
        <v>716</v>
      </c>
      <c r="B174" s="6">
        <v>2079248</v>
      </c>
      <c r="C174" s="13" t="s">
        <v>2072</v>
      </c>
      <c r="D174" s="2">
        <v>0</v>
      </c>
      <c r="H174" s="2" t="s">
        <v>715</v>
      </c>
      <c r="I174" s="2" t="s">
        <v>717</v>
      </c>
      <c r="J174" s="2" t="s">
        <v>715</v>
      </c>
      <c r="K174" s="2" t="s">
        <v>715</v>
      </c>
      <c r="L174" s="2">
        <v>1</v>
      </c>
      <c r="M174" s="2" t="s">
        <v>715</v>
      </c>
      <c r="O174" s="2">
        <v>1</v>
      </c>
      <c r="Q174" s="1" t="s">
        <v>1594</v>
      </c>
      <c r="R174" s="1"/>
      <c r="T174" s="2">
        <v>12</v>
      </c>
      <c r="V174" s="2">
        <v>14</v>
      </c>
      <c r="W174" s="1">
        <v>12</v>
      </c>
      <c r="X174" s="1">
        <v>14</v>
      </c>
      <c r="Y174" s="1" t="s">
        <v>2313</v>
      </c>
      <c r="Z174" s="2">
        <v>2</v>
      </c>
      <c r="AA174" s="1" t="b">
        <v>1</v>
      </c>
      <c r="AB174" s="1"/>
      <c r="AC174" s="57" t="s">
        <v>1410</v>
      </c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  <c r="IY174" s="1"/>
      <c r="IZ174" s="1"/>
      <c r="JA174" s="1"/>
      <c r="JB174" s="1"/>
      <c r="JC174" s="1"/>
      <c r="JD174" s="1"/>
      <c r="JE174" s="1"/>
      <c r="JF174" s="1"/>
      <c r="JG174" s="1"/>
      <c r="JH174" s="1"/>
      <c r="JI174" s="1"/>
      <c r="JJ174" s="1"/>
      <c r="JK174" s="1"/>
      <c r="JL174" s="1"/>
      <c r="JM174" s="1"/>
      <c r="JN174" s="1"/>
      <c r="JO174" s="1"/>
      <c r="JP174" s="1"/>
      <c r="JQ174" s="1"/>
      <c r="JR174" s="1"/>
      <c r="JS174" s="1"/>
      <c r="JT174" s="1"/>
      <c r="JU174" s="1"/>
      <c r="JV174" s="1"/>
      <c r="JW174" s="1"/>
      <c r="JX174" s="1"/>
      <c r="JY174" s="1"/>
      <c r="JZ174" s="1"/>
      <c r="KA174" s="1"/>
      <c r="KB174" s="1"/>
      <c r="KC174" s="1"/>
      <c r="KD174" s="1"/>
      <c r="KE174" s="1"/>
      <c r="KF174" s="1"/>
      <c r="KG174" s="1"/>
      <c r="KH174" s="1"/>
      <c r="KI174" s="1"/>
      <c r="KJ174" s="1"/>
      <c r="KK174" s="1"/>
      <c r="KL174" s="1"/>
      <c r="KM174" s="1"/>
      <c r="KN174" s="1"/>
      <c r="KO174" s="1"/>
      <c r="KP174" s="1"/>
      <c r="KQ174" s="1"/>
      <c r="KR174" s="1"/>
      <c r="KS174" s="1"/>
      <c r="KT174" s="1"/>
      <c r="KU174" s="1"/>
      <c r="KV174" s="1"/>
      <c r="KW174" s="1"/>
      <c r="KX174" s="1"/>
      <c r="KY174" s="1"/>
      <c r="KZ174" s="1"/>
      <c r="LA174" s="1"/>
      <c r="LB174" s="1"/>
      <c r="LC174" s="1"/>
      <c r="LD174" s="1"/>
      <c r="LE174" s="1"/>
      <c r="LF174" s="1"/>
      <c r="LG174" s="1"/>
      <c r="LH174" s="1"/>
      <c r="LI174" s="1"/>
      <c r="LJ174" s="1"/>
      <c r="LK174" s="1"/>
      <c r="LL174" s="1"/>
      <c r="LM174" s="1"/>
      <c r="LN174" s="1"/>
      <c r="LO174" s="1"/>
      <c r="LP174" s="1"/>
      <c r="LQ174" s="1"/>
      <c r="LR174" s="1"/>
      <c r="LS174" s="1"/>
    </row>
    <row r="175" spans="1:331" s="40" customFormat="1" x14ac:dyDescent="0.25">
      <c r="A175" s="40" t="s">
        <v>718</v>
      </c>
      <c r="B175" s="44">
        <v>2065522</v>
      </c>
      <c r="C175" s="13" t="s">
        <v>2072</v>
      </c>
      <c r="D175" s="40">
        <v>0</v>
      </c>
      <c r="H175" s="40" t="s">
        <v>719</v>
      </c>
      <c r="I175" s="40" t="s">
        <v>720</v>
      </c>
      <c r="J175" s="40" t="s">
        <v>719</v>
      </c>
      <c r="K175" s="40" t="s">
        <v>720</v>
      </c>
      <c r="L175" s="40">
        <v>0</v>
      </c>
      <c r="O175" s="40">
        <v>1</v>
      </c>
      <c r="P175" s="40" t="s">
        <v>721</v>
      </c>
      <c r="Q175" s="1" t="s">
        <v>1595</v>
      </c>
      <c r="R175" s="1"/>
      <c r="S175" s="40">
        <v>13</v>
      </c>
      <c r="W175" s="1">
        <v>13</v>
      </c>
      <c r="X175" s="1">
        <v>19</v>
      </c>
      <c r="Y175" s="1" t="s">
        <v>2314</v>
      </c>
      <c r="Z175" s="40">
        <v>8</v>
      </c>
      <c r="AA175" s="1" t="b">
        <v>1</v>
      </c>
      <c r="AB175" s="1"/>
      <c r="AC175" s="57" t="s">
        <v>1452</v>
      </c>
      <c r="AD175" s="1" t="b">
        <v>1</v>
      </c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  <c r="IY175" s="1"/>
      <c r="IZ175" s="1"/>
      <c r="JA175" s="1"/>
      <c r="JB175" s="1"/>
      <c r="JC175" s="1"/>
      <c r="JD175" s="1"/>
      <c r="JE175" s="1"/>
      <c r="JF175" s="1"/>
      <c r="JG175" s="1"/>
      <c r="JH175" s="1"/>
      <c r="JI175" s="1"/>
      <c r="JJ175" s="1"/>
      <c r="JK175" s="1"/>
      <c r="JL175" s="1"/>
      <c r="JM175" s="1"/>
      <c r="JN175" s="1"/>
      <c r="JO175" s="1"/>
      <c r="JP175" s="1"/>
      <c r="JQ175" s="1"/>
      <c r="JR175" s="1"/>
      <c r="JS175" s="1"/>
      <c r="JT175" s="1"/>
      <c r="JU175" s="1"/>
      <c r="JV175" s="1"/>
      <c r="JW175" s="1"/>
      <c r="JX175" s="1"/>
      <c r="JY175" s="1"/>
      <c r="JZ175" s="1"/>
      <c r="KA175" s="1"/>
      <c r="KB175" s="1"/>
      <c r="KC175" s="1"/>
      <c r="KD175" s="1"/>
      <c r="KE175" s="1"/>
      <c r="KF175" s="1"/>
      <c r="KG175" s="1"/>
      <c r="KH175" s="1"/>
      <c r="KI175" s="1"/>
      <c r="KJ175" s="1"/>
      <c r="KK175" s="1"/>
      <c r="KL175" s="1"/>
      <c r="KM175" s="1"/>
      <c r="KN175" s="1"/>
      <c r="KO175" s="1"/>
      <c r="KP175" s="1"/>
      <c r="KQ175" s="1"/>
      <c r="KR175" s="1"/>
      <c r="KS175" s="1"/>
      <c r="KT175" s="1"/>
      <c r="KU175" s="1"/>
      <c r="KV175" s="1"/>
      <c r="KW175" s="1"/>
      <c r="KX175" s="1"/>
      <c r="KY175" s="1"/>
      <c r="KZ175" s="1"/>
      <c r="LA175" s="1"/>
      <c r="LB175" s="1"/>
      <c r="LC175" s="1"/>
      <c r="LD175" s="1"/>
      <c r="LE175" s="1"/>
      <c r="LF175" s="1"/>
      <c r="LG175" s="1"/>
      <c r="LH175" s="1"/>
      <c r="LI175" s="1"/>
      <c r="LJ175" s="1"/>
      <c r="LK175" s="1"/>
      <c r="LL175" s="1"/>
      <c r="LM175" s="1"/>
      <c r="LN175" s="1"/>
      <c r="LO175" s="1"/>
      <c r="LP175" s="1"/>
      <c r="LQ175" s="1"/>
      <c r="LR175" s="1"/>
      <c r="LS175" s="1"/>
    </row>
    <row r="176" spans="1:331" s="30" customFormat="1" x14ac:dyDescent="0.25">
      <c r="A176" s="30" t="s">
        <v>722</v>
      </c>
      <c r="B176" s="34">
        <v>2431691</v>
      </c>
      <c r="C176" s="13" t="s">
        <v>2072</v>
      </c>
      <c r="D176" s="30">
        <v>1</v>
      </c>
      <c r="E176" s="30" t="s">
        <v>723</v>
      </c>
      <c r="H176" s="30" t="s">
        <v>724</v>
      </c>
      <c r="I176" s="30" t="s">
        <v>725</v>
      </c>
      <c r="J176" s="30" t="s">
        <v>724</v>
      </c>
      <c r="K176" s="30" t="s">
        <v>725</v>
      </c>
      <c r="L176" s="30">
        <v>0</v>
      </c>
      <c r="O176" s="30">
        <v>0</v>
      </c>
      <c r="Q176" s="1" t="s">
        <v>1339</v>
      </c>
      <c r="R176" s="1"/>
      <c r="S176" s="30">
        <v>8</v>
      </c>
      <c r="W176" s="1">
        <v>8</v>
      </c>
      <c r="X176" s="1">
        <v>9</v>
      </c>
      <c r="Y176" s="1" t="s">
        <v>2315</v>
      </c>
      <c r="Z176" s="30">
        <v>6</v>
      </c>
      <c r="AA176" s="1" t="b">
        <v>1</v>
      </c>
      <c r="AB176" s="1"/>
      <c r="AC176" s="57" t="s">
        <v>1414</v>
      </c>
      <c r="AD176" s="1" t="b">
        <v>1</v>
      </c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  <c r="IY176" s="1"/>
      <c r="IZ176" s="1"/>
      <c r="JA176" s="1"/>
      <c r="JB176" s="1"/>
      <c r="JC176" s="1"/>
      <c r="JD176" s="1"/>
      <c r="JE176" s="1"/>
      <c r="JF176" s="1"/>
      <c r="JG176" s="1"/>
      <c r="JH176" s="1"/>
      <c r="JI176" s="1"/>
      <c r="JJ176" s="1"/>
      <c r="JK176" s="1"/>
      <c r="JL176" s="1"/>
      <c r="JM176" s="1"/>
      <c r="JN176" s="1"/>
      <c r="JO176" s="1"/>
      <c r="JP176" s="1"/>
      <c r="JQ176" s="1"/>
      <c r="JR176" s="1"/>
      <c r="JS176" s="1"/>
      <c r="JT176" s="1"/>
      <c r="JU176" s="1"/>
      <c r="JV176" s="1"/>
      <c r="JW176" s="1"/>
      <c r="JX176" s="1"/>
      <c r="JY176" s="1"/>
      <c r="JZ176" s="1"/>
      <c r="KA176" s="1"/>
      <c r="KB176" s="1"/>
      <c r="KC176" s="1"/>
      <c r="KD176" s="1"/>
      <c r="KE176" s="1"/>
      <c r="KF176" s="1"/>
      <c r="KG176" s="1"/>
      <c r="KH176" s="1"/>
      <c r="KI176" s="1"/>
      <c r="KJ176" s="1"/>
      <c r="KK176" s="1"/>
      <c r="KL176" s="1"/>
      <c r="KM176" s="1"/>
      <c r="KN176" s="1"/>
      <c r="KO176" s="1"/>
      <c r="KP176" s="1"/>
      <c r="KQ176" s="1"/>
      <c r="KR176" s="1"/>
      <c r="KS176" s="1"/>
      <c r="KT176" s="1"/>
      <c r="KU176" s="1"/>
      <c r="KV176" s="1"/>
      <c r="KW176" s="1"/>
      <c r="KX176" s="1"/>
      <c r="KY176" s="1"/>
      <c r="KZ176" s="1"/>
      <c r="LA176" s="1"/>
      <c r="LB176" s="1"/>
      <c r="LC176" s="1"/>
      <c r="LD176" s="1"/>
      <c r="LE176" s="1"/>
      <c r="LF176" s="1"/>
      <c r="LG176" s="1"/>
      <c r="LH176" s="1"/>
      <c r="LI176" s="1"/>
      <c r="LJ176" s="1"/>
      <c r="LK176" s="1"/>
      <c r="LL176" s="1"/>
      <c r="LM176" s="1"/>
      <c r="LN176" s="1"/>
      <c r="LO176" s="1"/>
      <c r="LP176" s="1"/>
      <c r="LQ176" s="1"/>
      <c r="LR176" s="1"/>
      <c r="LS176" s="1"/>
    </row>
    <row r="177" spans="1:331" s="30" customFormat="1" x14ac:dyDescent="0.25">
      <c r="A177" s="30" t="s">
        <v>726</v>
      </c>
      <c r="B177" s="34">
        <v>2232469</v>
      </c>
      <c r="C177" s="13" t="s">
        <v>2072</v>
      </c>
      <c r="D177" s="30">
        <v>1</v>
      </c>
      <c r="E177" s="30" t="s">
        <v>702</v>
      </c>
      <c r="H177" s="30" t="s">
        <v>727</v>
      </c>
      <c r="I177" s="30" t="s">
        <v>702</v>
      </c>
      <c r="J177" s="30" t="s">
        <v>727</v>
      </c>
      <c r="K177" s="30" t="s">
        <v>1594</v>
      </c>
      <c r="L177" s="30">
        <v>0</v>
      </c>
      <c r="O177" s="30">
        <v>0</v>
      </c>
      <c r="Q177" s="1" t="s">
        <v>1596</v>
      </c>
      <c r="R177" s="1"/>
      <c r="U177" s="30">
        <v>7</v>
      </c>
      <c r="W177" s="1">
        <v>7</v>
      </c>
      <c r="X177" s="1">
        <v>13</v>
      </c>
      <c r="Y177" s="1" t="s">
        <v>2316</v>
      </c>
      <c r="Z177" s="30">
        <v>6</v>
      </c>
      <c r="AA177" s="1" t="b">
        <v>1</v>
      </c>
      <c r="AB177" s="1"/>
      <c r="AC177" s="57" t="s">
        <v>1306</v>
      </c>
      <c r="AD177" s="1" t="b">
        <v>1</v>
      </c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  <c r="IY177" s="1"/>
      <c r="IZ177" s="1"/>
      <c r="JA177" s="1"/>
      <c r="JB177" s="1"/>
      <c r="JC177" s="1"/>
      <c r="JD177" s="1"/>
      <c r="JE177" s="1"/>
      <c r="JF177" s="1"/>
      <c r="JG177" s="1"/>
      <c r="JH177" s="1"/>
      <c r="JI177" s="1"/>
      <c r="JJ177" s="1"/>
      <c r="JK177" s="1"/>
      <c r="JL177" s="1"/>
      <c r="JM177" s="1"/>
      <c r="JN177" s="1"/>
      <c r="JO177" s="1"/>
      <c r="JP177" s="1"/>
      <c r="JQ177" s="1"/>
      <c r="JR177" s="1"/>
      <c r="JS177" s="1"/>
      <c r="JT177" s="1"/>
      <c r="JU177" s="1"/>
      <c r="JV177" s="1"/>
      <c r="JW177" s="1"/>
      <c r="JX177" s="1"/>
      <c r="JY177" s="1"/>
      <c r="JZ177" s="1"/>
      <c r="KA177" s="1"/>
      <c r="KB177" s="1"/>
      <c r="KC177" s="1"/>
      <c r="KD177" s="1"/>
      <c r="KE177" s="1"/>
      <c r="KF177" s="1"/>
      <c r="KG177" s="1"/>
      <c r="KH177" s="1"/>
      <c r="KI177" s="1"/>
      <c r="KJ177" s="1"/>
      <c r="KK177" s="1"/>
      <c r="KL177" s="1"/>
      <c r="KM177" s="1"/>
      <c r="KN177" s="1"/>
      <c r="KO177" s="1"/>
      <c r="KP177" s="1"/>
      <c r="KQ177" s="1"/>
      <c r="KR177" s="1"/>
      <c r="KS177" s="1"/>
      <c r="KT177" s="1"/>
      <c r="KU177" s="1"/>
      <c r="KV177" s="1"/>
      <c r="KW177" s="1"/>
      <c r="KX177" s="1"/>
      <c r="KY177" s="1"/>
      <c r="KZ177" s="1"/>
      <c r="LA177" s="1"/>
      <c r="LB177" s="1"/>
      <c r="LC177" s="1"/>
      <c r="LD177" s="1"/>
      <c r="LE177" s="1"/>
      <c r="LF177" s="1"/>
      <c r="LG177" s="1"/>
      <c r="LH177" s="1"/>
      <c r="LI177" s="1"/>
      <c r="LJ177" s="1"/>
      <c r="LK177" s="1"/>
      <c r="LL177" s="1"/>
      <c r="LM177" s="1"/>
      <c r="LN177" s="1"/>
      <c r="LO177" s="1"/>
      <c r="LP177" s="1"/>
      <c r="LQ177" s="1"/>
      <c r="LR177" s="1"/>
      <c r="LS177" s="1"/>
    </row>
    <row r="178" spans="1:331" s="45" customFormat="1" x14ac:dyDescent="0.25">
      <c r="A178" s="45" t="s">
        <v>728</v>
      </c>
      <c r="B178" s="45">
        <v>2330532</v>
      </c>
      <c r="C178" s="1" t="s">
        <v>2072</v>
      </c>
      <c r="D178" s="45">
        <v>0</v>
      </c>
      <c r="H178" s="45" t="s">
        <v>729</v>
      </c>
      <c r="I178" s="45" t="s">
        <v>730</v>
      </c>
      <c r="J178" s="45" t="s">
        <v>729</v>
      </c>
      <c r="K178" s="45" t="s">
        <v>2117</v>
      </c>
      <c r="L178" s="45">
        <v>0</v>
      </c>
      <c r="O178" s="45">
        <v>1</v>
      </c>
      <c r="Q178" s="1" t="s">
        <v>1597</v>
      </c>
      <c r="R178" s="1"/>
      <c r="S178" s="45">
        <v>27</v>
      </c>
      <c r="W178" s="1"/>
      <c r="X178" s="1"/>
      <c r="Y178" s="1"/>
      <c r="Z178" s="45">
        <v>-1</v>
      </c>
      <c r="AA178" s="1" t="b">
        <v>0</v>
      </c>
      <c r="AB178" s="1"/>
      <c r="AC178" s="57" t="s">
        <v>1244</v>
      </c>
      <c r="AD178" s="1" t="b">
        <v>1</v>
      </c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  <c r="IY178" s="1"/>
      <c r="IZ178" s="1"/>
      <c r="JA178" s="1"/>
      <c r="JB178" s="1"/>
      <c r="JC178" s="1"/>
      <c r="JD178" s="1"/>
      <c r="JE178" s="1"/>
      <c r="JF178" s="1"/>
      <c r="JG178" s="1"/>
      <c r="JH178" s="1"/>
      <c r="JI178" s="1"/>
      <c r="JJ178" s="1"/>
      <c r="JK178" s="1"/>
      <c r="JL178" s="1"/>
      <c r="JM178" s="1"/>
      <c r="JN178" s="1"/>
      <c r="JO178" s="1"/>
      <c r="JP178" s="1"/>
      <c r="JQ178" s="1"/>
      <c r="JR178" s="1"/>
      <c r="JS178" s="1"/>
      <c r="JT178" s="1"/>
      <c r="JU178" s="1"/>
      <c r="JV178" s="1"/>
      <c r="JW178" s="1"/>
      <c r="JX178" s="1"/>
      <c r="JY178" s="1"/>
      <c r="JZ178" s="1"/>
      <c r="KA178" s="1"/>
      <c r="KB178" s="1"/>
      <c r="KC178" s="1"/>
      <c r="KD178" s="1"/>
      <c r="KE178" s="1"/>
      <c r="KF178" s="1"/>
      <c r="KG178" s="1"/>
      <c r="KH178" s="1"/>
      <c r="KI178" s="1"/>
      <c r="KJ178" s="1"/>
      <c r="KK178" s="1"/>
      <c r="KL178" s="1"/>
      <c r="KM178" s="1"/>
      <c r="KN178" s="1"/>
      <c r="KO178" s="1"/>
      <c r="KP178" s="1"/>
      <c r="KQ178" s="1"/>
      <c r="KR178" s="1"/>
      <c r="KS178" s="1"/>
      <c r="KT178" s="1"/>
      <c r="KU178" s="1"/>
      <c r="KV178" s="1"/>
      <c r="KW178" s="1"/>
      <c r="KX178" s="1"/>
      <c r="KY178" s="1"/>
      <c r="KZ178" s="1"/>
      <c r="LA178" s="1"/>
      <c r="LB178" s="1"/>
      <c r="LC178" s="1"/>
      <c r="LD178" s="1"/>
      <c r="LE178" s="1"/>
      <c r="LF178" s="1"/>
      <c r="LG178" s="1"/>
      <c r="LH178" s="1"/>
      <c r="LI178" s="1"/>
      <c r="LJ178" s="1"/>
      <c r="LK178" s="1"/>
      <c r="LL178" s="1"/>
      <c r="LM178" s="1"/>
      <c r="LN178" s="1"/>
      <c r="LO178" s="1"/>
      <c r="LP178" s="1"/>
      <c r="LQ178" s="1"/>
      <c r="LR178" s="1"/>
      <c r="LS178" s="1"/>
    </row>
    <row r="179" spans="1:331" s="45" customFormat="1" x14ac:dyDescent="0.25">
      <c r="A179" s="45" t="s">
        <v>731</v>
      </c>
      <c r="C179" s="1" t="s">
        <v>2073</v>
      </c>
      <c r="Q179" s="1"/>
      <c r="R179" s="1"/>
      <c r="W179" s="1"/>
      <c r="X179" s="1"/>
      <c r="Y179" s="1"/>
      <c r="Z179" s="45">
        <v>-1</v>
      </c>
      <c r="AA179" s="1" t="b">
        <v>0</v>
      </c>
      <c r="AB179" s="1"/>
      <c r="AC179" s="57" t="s">
        <v>1307</v>
      </c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  <c r="IY179" s="1"/>
      <c r="IZ179" s="1"/>
      <c r="JA179" s="1"/>
      <c r="JB179" s="1"/>
      <c r="JC179" s="1"/>
      <c r="JD179" s="1"/>
      <c r="JE179" s="1"/>
      <c r="JF179" s="1"/>
      <c r="JG179" s="1"/>
      <c r="JH179" s="1"/>
      <c r="JI179" s="1"/>
      <c r="JJ179" s="1"/>
      <c r="JK179" s="1"/>
      <c r="JL179" s="1"/>
      <c r="JM179" s="1"/>
      <c r="JN179" s="1"/>
      <c r="JO179" s="1"/>
      <c r="JP179" s="1"/>
      <c r="JQ179" s="1"/>
      <c r="JR179" s="1"/>
      <c r="JS179" s="1"/>
      <c r="JT179" s="1"/>
      <c r="JU179" s="1"/>
      <c r="JV179" s="1"/>
      <c r="JW179" s="1"/>
      <c r="JX179" s="1"/>
      <c r="JY179" s="1"/>
      <c r="JZ179" s="1"/>
      <c r="KA179" s="1"/>
      <c r="KB179" s="1"/>
      <c r="KC179" s="1"/>
      <c r="KD179" s="1"/>
      <c r="KE179" s="1"/>
      <c r="KF179" s="1"/>
      <c r="KG179" s="1"/>
      <c r="KH179" s="1"/>
      <c r="KI179" s="1"/>
      <c r="KJ179" s="1"/>
      <c r="KK179" s="1"/>
      <c r="KL179" s="1"/>
      <c r="KM179" s="1"/>
      <c r="KN179" s="1"/>
      <c r="KO179" s="1"/>
      <c r="KP179" s="1"/>
      <c r="KQ179" s="1"/>
      <c r="KR179" s="1"/>
      <c r="KS179" s="1"/>
      <c r="KT179" s="1"/>
      <c r="KU179" s="1"/>
      <c r="KV179" s="1"/>
      <c r="KW179" s="1"/>
      <c r="KX179" s="1"/>
      <c r="KY179" s="1"/>
      <c r="KZ179" s="1"/>
      <c r="LA179" s="1"/>
      <c r="LB179" s="1"/>
      <c r="LC179" s="1"/>
      <c r="LD179" s="1"/>
      <c r="LE179" s="1"/>
      <c r="LF179" s="1"/>
      <c r="LG179" s="1"/>
      <c r="LH179" s="1"/>
      <c r="LI179" s="1"/>
      <c r="LJ179" s="1"/>
      <c r="LK179" s="1"/>
      <c r="LL179" s="1"/>
      <c r="LM179" s="1"/>
      <c r="LN179" s="1"/>
      <c r="LO179" s="1"/>
      <c r="LP179" s="1"/>
      <c r="LQ179" s="1"/>
      <c r="LR179" s="1"/>
      <c r="LS179" s="1"/>
    </row>
    <row r="180" spans="1:331" s="45" customFormat="1" x14ac:dyDescent="0.25">
      <c r="A180" s="45" t="s">
        <v>732</v>
      </c>
      <c r="C180" s="1" t="s">
        <v>2073</v>
      </c>
      <c r="D180" s="45">
        <v>2</v>
      </c>
      <c r="E180" s="45" t="s">
        <v>733</v>
      </c>
      <c r="F180" s="45" t="s">
        <v>733</v>
      </c>
      <c r="H180" s="45" t="s">
        <v>733</v>
      </c>
      <c r="I180" s="45" t="s">
        <v>733</v>
      </c>
      <c r="J180" s="45" t="s">
        <v>733</v>
      </c>
      <c r="K180" s="45" t="s">
        <v>267</v>
      </c>
      <c r="L180" s="45">
        <v>0</v>
      </c>
      <c r="O180" s="45">
        <v>1</v>
      </c>
      <c r="P180" s="45" t="s">
        <v>733</v>
      </c>
      <c r="Q180" s="1" t="s">
        <v>1598</v>
      </c>
      <c r="R180" s="1"/>
      <c r="S180" s="45">
        <v>15</v>
      </c>
      <c r="W180" s="1"/>
      <c r="X180" s="1"/>
      <c r="Y180" s="1"/>
      <c r="Z180" s="45">
        <v>-1</v>
      </c>
      <c r="AA180" s="1" t="b">
        <v>0</v>
      </c>
      <c r="AB180" s="1"/>
      <c r="AC180" s="57" t="s">
        <v>1280</v>
      </c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  <c r="IY180" s="1"/>
      <c r="IZ180" s="1"/>
      <c r="JA180" s="1"/>
      <c r="JB180" s="1"/>
      <c r="JC180" s="1"/>
      <c r="JD180" s="1"/>
      <c r="JE180" s="1"/>
      <c r="JF180" s="1"/>
      <c r="JG180" s="1"/>
      <c r="JH180" s="1"/>
      <c r="JI180" s="1"/>
      <c r="JJ180" s="1"/>
      <c r="JK180" s="1"/>
      <c r="JL180" s="1"/>
      <c r="JM180" s="1"/>
      <c r="JN180" s="1"/>
      <c r="JO180" s="1"/>
      <c r="JP180" s="1"/>
      <c r="JQ180" s="1"/>
      <c r="JR180" s="1"/>
      <c r="JS180" s="1"/>
      <c r="JT180" s="1"/>
      <c r="JU180" s="1"/>
      <c r="JV180" s="1"/>
      <c r="JW180" s="1"/>
      <c r="JX180" s="1"/>
      <c r="JY180" s="1"/>
      <c r="JZ180" s="1"/>
      <c r="KA180" s="1"/>
      <c r="KB180" s="1"/>
      <c r="KC180" s="1"/>
      <c r="KD180" s="1"/>
      <c r="KE180" s="1"/>
      <c r="KF180" s="1"/>
      <c r="KG180" s="1"/>
      <c r="KH180" s="1"/>
      <c r="KI180" s="1"/>
      <c r="KJ180" s="1"/>
      <c r="KK180" s="1"/>
      <c r="KL180" s="1"/>
      <c r="KM180" s="1"/>
      <c r="KN180" s="1"/>
      <c r="KO180" s="1"/>
      <c r="KP180" s="1"/>
      <c r="KQ180" s="1"/>
      <c r="KR180" s="1"/>
      <c r="KS180" s="1"/>
      <c r="KT180" s="1"/>
      <c r="KU180" s="1"/>
      <c r="KV180" s="1"/>
      <c r="KW180" s="1"/>
      <c r="KX180" s="1"/>
      <c r="KY180" s="1"/>
      <c r="KZ180" s="1"/>
      <c r="LA180" s="1"/>
      <c r="LB180" s="1"/>
      <c r="LC180" s="1"/>
      <c r="LD180" s="1"/>
      <c r="LE180" s="1"/>
      <c r="LF180" s="1"/>
      <c r="LG180" s="1"/>
      <c r="LH180" s="1"/>
      <c r="LI180" s="1"/>
      <c r="LJ180" s="1"/>
      <c r="LK180" s="1"/>
      <c r="LL180" s="1"/>
      <c r="LM180" s="1"/>
      <c r="LN180" s="1"/>
      <c r="LO180" s="1"/>
      <c r="LP180" s="1"/>
      <c r="LQ180" s="1"/>
      <c r="LR180" s="1"/>
      <c r="LS180" s="1"/>
    </row>
    <row r="181" spans="1:331" s="40" customFormat="1" x14ac:dyDescent="0.25">
      <c r="A181" s="40" t="s">
        <v>734</v>
      </c>
      <c r="B181" s="44" t="s">
        <v>735</v>
      </c>
      <c r="C181" s="13" t="s">
        <v>2073</v>
      </c>
      <c r="D181" s="40">
        <v>0</v>
      </c>
      <c r="H181" s="40" t="s">
        <v>736</v>
      </c>
      <c r="I181" s="40" t="s">
        <v>736</v>
      </c>
      <c r="J181" s="40" t="s">
        <v>737</v>
      </c>
      <c r="K181" s="40" t="s">
        <v>736</v>
      </c>
      <c r="L181" s="40">
        <v>0</v>
      </c>
      <c r="O181" s="40">
        <v>1</v>
      </c>
      <c r="P181" s="40" t="s">
        <v>737</v>
      </c>
      <c r="Q181" s="1" t="s">
        <v>1599</v>
      </c>
      <c r="R181" s="1"/>
      <c r="S181" s="40">
        <v>23</v>
      </c>
      <c r="T181" s="40">
        <v>10.5</v>
      </c>
      <c r="U181" s="40">
        <v>18</v>
      </c>
      <c r="V181" s="40">
        <v>11</v>
      </c>
      <c r="W181" s="1">
        <v>23</v>
      </c>
      <c r="X181" s="1">
        <v>21</v>
      </c>
      <c r="Y181" s="1" t="s">
        <v>2317</v>
      </c>
      <c r="Z181" s="40">
        <v>8</v>
      </c>
      <c r="AA181" s="1" t="b">
        <v>1</v>
      </c>
      <c r="AB181" s="1"/>
      <c r="AC181" s="57" t="s">
        <v>1426</v>
      </c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  <c r="IY181" s="1"/>
      <c r="IZ181" s="1"/>
      <c r="JA181" s="1"/>
      <c r="JB181" s="1"/>
      <c r="JC181" s="1"/>
      <c r="JD181" s="1"/>
      <c r="JE181" s="1"/>
      <c r="JF181" s="1"/>
      <c r="JG181" s="1"/>
      <c r="JH181" s="1"/>
      <c r="JI181" s="1"/>
      <c r="JJ181" s="1"/>
      <c r="JK181" s="1"/>
      <c r="JL181" s="1"/>
      <c r="JM181" s="1"/>
      <c r="JN181" s="1"/>
      <c r="JO181" s="1"/>
      <c r="JP181" s="1"/>
      <c r="JQ181" s="1"/>
      <c r="JR181" s="1"/>
      <c r="JS181" s="1"/>
      <c r="JT181" s="1"/>
      <c r="JU181" s="1"/>
      <c r="JV181" s="1"/>
      <c r="JW181" s="1"/>
      <c r="JX181" s="1"/>
      <c r="JY181" s="1"/>
      <c r="JZ181" s="1"/>
      <c r="KA181" s="1"/>
      <c r="KB181" s="1"/>
      <c r="KC181" s="1"/>
      <c r="KD181" s="1"/>
      <c r="KE181" s="1"/>
      <c r="KF181" s="1"/>
      <c r="KG181" s="1"/>
      <c r="KH181" s="1"/>
      <c r="KI181" s="1"/>
      <c r="KJ181" s="1"/>
      <c r="KK181" s="1"/>
      <c r="KL181" s="1"/>
      <c r="KM181" s="1"/>
      <c r="KN181" s="1"/>
      <c r="KO181" s="1"/>
      <c r="KP181" s="1"/>
      <c r="KQ181" s="1"/>
      <c r="KR181" s="1"/>
      <c r="KS181" s="1"/>
      <c r="KT181" s="1"/>
      <c r="KU181" s="1"/>
      <c r="KV181" s="1"/>
      <c r="KW181" s="1"/>
      <c r="KX181" s="1"/>
      <c r="KY181" s="1"/>
      <c r="KZ181" s="1"/>
      <c r="LA181" s="1"/>
      <c r="LB181" s="1"/>
      <c r="LC181" s="1"/>
      <c r="LD181" s="1"/>
      <c r="LE181" s="1"/>
      <c r="LF181" s="1"/>
      <c r="LG181" s="1"/>
      <c r="LH181" s="1"/>
      <c r="LI181" s="1"/>
      <c r="LJ181" s="1"/>
      <c r="LK181" s="1"/>
      <c r="LL181" s="1"/>
      <c r="LM181" s="1"/>
      <c r="LN181" s="1"/>
      <c r="LO181" s="1"/>
      <c r="LP181" s="1"/>
      <c r="LQ181" s="1"/>
      <c r="LR181" s="1"/>
      <c r="LS181" s="1"/>
    </row>
    <row r="182" spans="1:331" s="40" customFormat="1" x14ac:dyDescent="0.25">
      <c r="A182" s="40" t="s">
        <v>738</v>
      </c>
      <c r="B182" s="44" t="s">
        <v>739</v>
      </c>
      <c r="C182" s="13" t="s">
        <v>2073</v>
      </c>
      <c r="D182" s="40">
        <v>0</v>
      </c>
      <c r="H182" s="40" t="s">
        <v>740</v>
      </c>
      <c r="I182" s="40" t="s">
        <v>741</v>
      </c>
      <c r="J182" s="40" t="s">
        <v>740</v>
      </c>
      <c r="K182" s="40" t="s">
        <v>2118</v>
      </c>
      <c r="L182" s="40">
        <v>0</v>
      </c>
      <c r="O182" s="40">
        <v>1</v>
      </c>
      <c r="P182" s="81">
        <v>45030</v>
      </c>
      <c r="Q182" s="1" t="s">
        <v>606</v>
      </c>
      <c r="R182" s="1"/>
      <c r="S182" s="40">
        <v>10</v>
      </c>
      <c r="T182" s="40">
        <v>19</v>
      </c>
      <c r="U182" s="40">
        <v>11</v>
      </c>
      <c r="V182" s="40">
        <v>12</v>
      </c>
      <c r="W182" s="1">
        <v>19</v>
      </c>
      <c r="X182" s="1">
        <v>20</v>
      </c>
      <c r="Y182" s="1" t="s">
        <v>2318</v>
      </c>
      <c r="Z182" s="40">
        <v>8</v>
      </c>
      <c r="AA182" s="1" t="b">
        <v>1</v>
      </c>
      <c r="AB182" s="1"/>
      <c r="AC182" s="57" t="s">
        <v>1946</v>
      </c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  <c r="IY182" s="1"/>
      <c r="IZ182" s="1"/>
      <c r="JA182" s="1"/>
      <c r="JB182" s="1"/>
      <c r="JC182" s="1"/>
      <c r="JD182" s="1"/>
      <c r="JE182" s="1"/>
      <c r="JF182" s="1"/>
      <c r="JG182" s="1"/>
      <c r="JH182" s="1"/>
      <c r="JI182" s="1"/>
      <c r="JJ182" s="1"/>
      <c r="JK182" s="1"/>
      <c r="JL182" s="1"/>
      <c r="JM182" s="1"/>
      <c r="JN182" s="1"/>
      <c r="JO182" s="1"/>
      <c r="JP182" s="1"/>
      <c r="JQ182" s="1"/>
      <c r="JR182" s="1"/>
      <c r="JS182" s="1"/>
      <c r="JT182" s="1"/>
      <c r="JU182" s="1"/>
      <c r="JV182" s="1"/>
      <c r="JW182" s="1"/>
      <c r="JX182" s="1"/>
      <c r="JY182" s="1"/>
      <c r="JZ182" s="1"/>
      <c r="KA182" s="1"/>
      <c r="KB182" s="1"/>
      <c r="KC182" s="1"/>
      <c r="KD182" s="1"/>
      <c r="KE182" s="1"/>
      <c r="KF182" s="1"/>
      <c r="KG182" s="1"/>
      <c r="KH182" s="1"/>
      <c r="KI182" s="1"/>
      <c r="KJ182" s="1"/>
      <c r="KK182" s="1"/>
      <c r="KL182" s="1"/>
      <c r="KM182" s="1"/>
      <c r="KN182" s="1"/>
      <c r="KO182" s="1"/>
      <c r="KP182" s="1"/>
      <c r="KQ182" s="1"/>
      <c r="KR182" s="1"/>
      <c r="KS182" s="1"/>
      <c r="KT182" s="1"/>
      <c r="KU182" s="1"/>
      <c r="KV182" s="1"/>
      <c r="KW182" s="1"/>
      <c r="KX182" s="1"/>
      <c r="KY182" s="1"/>
      <c r="KZ182" s="1"/>
      <c r="LA182" s="1"/>
      <c r="LB182" s="1"/>
      <c r="LC182" s="1"/>
      <c r="LD182" s="1"/>
      <c r="LE182" s="1"/>
      <c r="LF182" s="1"/>
      <c r="LG182" s="1"/>
      <c r="LH182" s="1"/>
      <c r="LI182" s="1"/>
      <c r="LJ182" s="1"/>
      <c r="LK182" s="1"/>
      <c r="LL182" s="1"/>
      <c r="LM182" s="1"/>
      <c r="LN182" s="1"/>
      <c r="LO182" s="1"/>
      <c r="LP182" s="1"/>
      <c r="LQ182" s="1"/>
      <c r="LR182" s="1"/>
      <c r="LS182" s="1"/>
    </row>
    <row r="183" spans="1:331" s="25" customFormat="1" x14ac:dyDescent="0.25">
      <c r="A183" s="25" t="s">
        <v>742</v>
      </c>
      <c r="B183" s="29" t="s">
        <v>743</v>
      </c>
      <c r="C183" s="13" t="s">
        <v>2073</v>
      </c>
      <c r="D183" s="25">
        <v>0</v>
      </c>
      <c r="H183" s="25" t="s">
        <v>344</v>
      </c>
      <c r="I183" s="25" t="s">
        <v>344</v>
      </c>
      <c r="J183" s="25" t="s">
        <v>744</v>
      </c>
      <c r="K183" s="25" t="s">
        <v>2119</v>
      </c>
      <c r="L183" s="25">
        <v>0</v>
      </c>
      <c r="O183" s="25">
        <v>0</v>
      </c>
      <c r="Q183" s="1" t="s">
        <v>1600</v>
      </c>
      <c r="R183" s="1"/>
      <c r="S183" s="25">
        <v>7</v>
      </c>
      <c r="U183" s="25">
        <v>8</v>
      </c>
      <c r="W183" s="1">
        <v>7</v>
      </c>
      <c r="X183" s="1">
        <v>8</v>
      </c>
      <c r="Y183" s="1" t="s">
        <v>2319</v>
      </c>
      <c r="Z183" s="25">
        <v>5</v>
      </c>
      <c r="AA183" s="1" t="b">
        <v>1</v>
      </c>
      <c r="AB183" s="1"/>
      <c r="AC183" s="57" t="s">
        <v>1377</v>
      </c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  <c r="IY183" s="1"/>
      <c r="IZ183" s="1"/>
      <c r="JA183" s="1"/>
      <c r="JB183" s="1"/>
      <c r="JC183" s="1"/>
      <c r="JD183" s="1"/>
      <c r="JE183" s="1"/>
      <c r="JF183" s="1"/>
      <c r="JG183" s="1"/>
      <c r="JH183" s="1"/>
      <c r="JI183" s="1"/>
      <c r="JJ183" s="1"/>
      <c r="JK183" s="1"/>
      <c r="JL183" s="1"/>
      <c r="JM183" s="1"/>
      <c r="JN183" s="1"/>
      <c r="JO183" s="1"/>
      <c r="JP183" s="1"/>
      <c r="JQ183" s="1"/>
      <c r="JR183" s="1"/>
      <c r="JS183" s="1"/>
      <c r="JT183" s="1"/>
      <c r="JU183" s="1"/>
      <c r="JV183" s="1"/>
      <c r="JW183" s="1"/>
      <c r="JX183" s="1"/>
      <c r="JY183" s="1"/>
      <c r="JZ183" s="1"/>
      <c r="KA183" s="1"/>
      <c r="KB183" s="1"/>
      <c r="KC183" s="1"/>
      <c r="KD183" s="1"/>
      <c r="KE183" s="1"/>
      <c r="KF183" s="1"/>
      <c r="KG183" s="1"/>
      <c r="KH183" s="1"/>
      <c r="KI183" s="1"/>
      <c r="KJ183" s="1"/>
      <c r="KK183" s="1"/>
      <c r="KL183" s="1"/>
      <c r="KM183" s="1"/>
      <c r="KN183" s="1"/>
      <c r="KO183" s="1"/>
      <c r="KP183" s="1"/>
      <c r="KQ183" s="1"/>
      <c r="KR183" s="1"/>
      <c r="KS183" s="1"/>
      <c r="KT183" s="1"/>
      <c r="KU183" s="1"/>
      <c r="KV183" s="1"/>
      <c r="KW183" s="1"/>
      <c r="KX183" s="1"/>
      <c r="KY183" s="1"/>
      <c r="KZ183" s="1"/>
      <c r="LA183" s="1"/>
      <c r="LB183" s="1"/>
      <c r="LC183" s="1"/>
      <c r="LD183" s="1"/>
      <c r="LE183" s="1"/>
      <c r="LF183" s="1"/>
      <c r="LG183" s="1"/>
      <c r="LH183" s="1"/>
      <c r="LI183" s="1"/>
      <c r="LJ183" s="1"/>
      <c r="LK183" s="1"/>
      <c r="LL183" s="1"/>
      <c r="LM183" s="1"/>
      <c r="LN183" s="1"/>
      <c r="LO183" s="1"/>
      <c r="LP183" s="1"/>
      <c r="LQ183" s="1"/>
      <c r="LR183" s="1"/>
      <c r="LS183" s="1"/>
    </row>
    <row r="184" spans="1:331" s="45" customFormat="1" x14ac:dyDescent="0.25">
      <c r="A184" s="45" t="s">
        <v>745</v>
      </c>
      <c r="C184" s="1" t="s">
        <v>2073</v>
      </c>
      <c r="D184" s="45">
        <v>0</v>
      </c>
      <c r="H184" s="45" t="s">
        <v>155</v>
      </c>
      <c r="I184" s="45" t="s">
        <v>746</v>
      </c>
      <c r="J184" s="45" t="s">
        <v>154</v>
      </c>
      <c r="K184" s="45" t="s">
        <v>746</v>
      </c>
      <c r="L184" s="45">
        <v>0</v>
      </c>
      <c r="O184" s="45">
        <v>1</v>
      </c>
      <c r="P184" s="45" t="s">
        <v>154</v>
      </c>
      <c r="Q184" s="1" t="s">
        <v>1601</v>
      </c>
      <c r="R184" s="1"/>
      <c r="W184" s="1"/>
      <c r="X184" s="1"/>
      <c r="Y184" s="1"/>
      <c r="Z184" s="45">
        <v>-1</v>
      </c>
      <c r="AA184" s="1" t="b">
        <v>0</v>
      </c>
      <c r="AB184" s="1"/>
      <c r="AC184" s="57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  <c r="IY184" s="1"/>
      <c r="IZ184" s="1"/>
      <c r="JA184" s="1"/>
      <c r="JB184" s="1"/>
      <c r="JC184" s="1"/>
      <c r="JD184" s="1"/>
      <c r="JE184" s="1"/>
      <c r="JF184" s="1"/>
      <c r="JG184" s="1"/>
      <c r="JH184" s="1"/>
      <c r="JI184" s="1"/>
      <c r="JJ184" s="1"/>
      <c r="JK184" s="1"/>
      <c r="JL184" s="1"/>
      <c r="JM184" s="1"/>
      <c r="JN184" s="1"/>
      <c r="JO184" s="1"/>
      <c r="JP184" s="1"/>
      <c r="JQ184" s="1"/>
      <c r="JR184" s="1"/>
      <c r="JS184" s="1"/>
      <c r="JT184" s="1"/>
      <c r="JU184" s="1"/>
      <c r="JV184" s="1"/>
      <c r="JW184" s="1"/>
      <c r="JX184" s="1"/>
      <c r="JY184" s="1"/>
      <c r="JZ184" s="1"/>
      <c r="KA184" s="1"/>
      <c r="KB184" s="1"/>
      <c r="KC184" s="1"/>
      <c r="KD184" s="1"/>
      <c r="KE184" s="1"/>
      <c r="KF184" s="1"/>
      <c r="KG184" s="1"/>
      <c r="KH184" s="1"/>
      <c r="KI184" s="1"/>
      <c r="KJ184" s="1"/>
      <c r="KK184" s="1"/>
      <c r="KL184" s="1"/>
      <c r="KM184" s="1"/>
      <c r="KN184" s="1"/>
      <c r="KO184" s="1"/>
      <c r="KP184" s="1"/>
      <c r="KQ184" s="1"/>
      <c r="KR184" s="1"/>
      <c r="KS184" s="1"/>
      <c r="KT184" s="1"/>
      <c r="KU184" s="1"/>
      <c r="KV184" s="1"/>
      <c r="KW184" s="1"/>
      <c r="KX184" s="1"/>
      <c r="KY184" s="1"/>
      <c r="KZ184" s="1"/>
      <c r="LA184" s="1"/>
      <c r="LB184" s="1"/>
      <c r="LC184" s="1"/>
      <c r="LD184" s="1"/>
      <c r="LE184" s="1"/>
      <c r="LF184" s="1"/>
      <c r="LG184" s="1"/>
      <c r="LH184" s="1"/>
      <c r="LI184" s="1"/>
      <c r="LJ184" s="1"/>
      <c r="LK184" s="1"/>
      <c r="LL184" s="1"/>
      <c r="LM184" s="1"/>
      <c r="LN184" s="1"/>
      <c r="LO184" s="1"/>
      <c r="LP184" s="1"/>
      <c r="LQ184" s="1"/>
      <c r="LR184" s="1"/>
      <c r="LS184" s="1"/>
    </row>
    <row r="185" spans="1:331" s="70" customFormat="1" x14ac:dyDescent="0.25">
      <c r="A185" s="70" t="s">
        <v>747</v>
      </c>
      <c r="B185" s="73" t="s">
        <v>748</v>
      </c>
      <c r="C185" s="13" t="s">
        <v>2073</v>
      </c>
      <c r="D185" s="70">
        <v>1</v>
      </c>
      <c r="E185" s="70" t="s">
        <v>749</v>
      </c>
      <c r="H185" s="70" t="s">
        <v>750</v>
      </c>
      <c r="I185" s="70" t="s">
        <v>751</v>
      </c>
      <c r="J185" s="70" t="s">
        <v>750</v>
      </c>
      <c r="K185" s="70" t="s">
        <v>750</v>
      </c>
      <c r="L185" s="70">
        <v>0</v>
      </c>
      <c r="O185" s="70">
        <v>1</v>
      </c>
      <c r="P185" s="70" t="s">
        <v>750</v>
      </c>
      <c r="Q185" s="1"/>
      <c r="R185" s="1" t="s">
        <v>752</v>
      </c>
      <c r="S185" s="70">
        <v>24.9</v>
      </c>
      <c r="U185" s="70">
        <v>22</v>
      </c>
      <c r="W185" s="70">
        <v>22</v>
      </c>
      <c r="X185" s="1">
        <v>21</v>
      </c>
      <c r="Y185" s="1" t="s">
        <v>2320</v>
      </c>
      <c r="Z185" s="70">
        <v>13</v>
      </c>
      <c r="AA185" s="70" t="b">
        <v>1</v>
      </c>
      <c r="AC185" s="72" t="s">
        <v>1309</v>
      </c>
    </row>
    <row r="186" spans="1:331" s="3" customFormat="1" x14ac:dyDescent="0.25">
      <c r="A186" s="3" t="s">
        <v>753</v>
      </c>
      <c r="B186" s="5" t="s">
        <v>754</v>
      </c>
      <c r="C186" s="13" t="s">
        <v>2073</v>
      </c>
      <c r="D186" s="3">
        <v>0</v>
      </c>
      <c r="H186" s="3" t="s">
        <v>755</v>
      </c>
      <c r="I186" s="3" t="s">
        <v>756</v>
      </c>
      <c r="J186" s="3" t="s">
        <v>757</v>
      </c>
      <c r="K186" s="3" t="s">
        <v>756</v>
      </c>
      <c r="L186" s="3">
        <v>1</v>
      </c>
      <c r="M186" s="3" t="s">
        <v>758</v>
      </c>
      <c r="O186" s="3">
        <v>1</v>
      </c>
      <c r="P186" s="3" t="s">
        <v>759</v>
      </c>
      <c r="Q186" s="1" t="s">
        <v>1602</v>
      </c>
      <c r="R186" s="1"/>
      <c r="S186" s="3">
        <v>13</v>
      </c>
      <c r="W186" s="1">
        <v>13</v>
      </c>
      <c r="X186" s="1">
        <v>10</v>
      </c>
      <c r="Y186" s="1" t="s">
        <v>2321</v>
      </c>
      <c r="Z186" s="3">
        <v>1</v>
      </c>
      <c r="AA186" s="1" t="b">
        <v>1</v>
      </c>
      <c r="AB186" s="1"/>
      <c r="AC186" s="57" t="s">
        <v>1397</v>
      </c>
      <c r="AD186" s="1" t="b">
        <v>1</v>
      </c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  <c r="IY186" s="1"/>
      <c r="IZ186" s="1"/>
      <c r="JA186" s="1"/>
      <c r="JB186" s="1"/>
      <c r="JC186" s="1"/>
      <c r="JD186" s="1"/>
      <c r="JE186" s="1"/>
      <c r="JF186" s="1"/>
      <c r="JG186" s="1"/>
      <c r="JH186" s="1"/>
      <c r="JI186" s="1"/>
      <c r="JJ186" s="1"/>
      <c r="JK186" s="1"/>
      <c r="JL186" s="1"/>
      <c r="JM186" s="1"/>
      <c r="JN186" s="1"/>
      <c r="JO186" s="1"/>
      <c r="JP186" s="1"/>
      <c r="JQ186" s="1"/>
      <c r="JR186" s="1"/>
      <c r="JS186" s="1"/>
      <c r="JT186" s="1"/>
      <c r="JU186" s="1"/>
      <c r="JV186" s="1"/>
      <c r="JW186" s="1"/>
      <c r="JX186" s="1"/>
      <c r="JY186" s="1"/>
      <c r="JZ186" s="1"/>
      <c r="KA186" s="1"/>
      <c r="KB186" s="1"/>
      <c r="KC186" s="1"/>
      <c r="KD186" s="1"/>
      <c r="KE186" s="1"/>
      <c r="KF186" s="1"/>
      <c r="KG186" s="1"/>
      <c r="KH186" s="1"/>
      <c r="KI186" s="1"/>
      <c r="KJ186" s="1"/>
      <c r="KK186" s="1"/>
      <c r="KL186" s="1"/>
      <c r="KM186" s="1"/>
      <c r="KN186" s="1"/>
      <c r="KO186" s="1"/>
      <c r="KP186" s="1"/>
      <c r="KQ186" s="1"/>
      <c r="KR186" s="1"/>
      <c r="KS186" s="1"/>
      <c r="KT186" s="1"/>
      <c r="KU186" s="1"/>
      <c r="KV186" s="1"/>
      <c r="KW186" s="1"/>
      <c r="KX186" s="1"/>
      <c r="KY186" s="1"/>
      <c r="KZ186" s="1"/>
      <c r="LA186" s="1"/>
      <c r="LB186" s="1"/>
      <c r="LC186" s="1"/>
      <c r="LD186" s="1"/>
      <c r="LE186" s="1"/>
      <c r="LF186" s="1"/>
      <c r="LG186" s="1"/>
      <c r="LH186" s="1"/>
      <c r="LI186" s="1"/>
      <c r="LJ186" s="1"/>
      <c r="LK186" s="1"/>
      <c r="LL186" s="1"/>
      <c r="LM186" s="1"/>
      <c r="LN186" s="1"/>
      <c r="LO186" s="1"/>
      <c r="LP186" s="1"/>
      <c r="LQ186" s="1"/>
      <c r="LR186" s="1"/>
      <c r="LS186" s="1"/>
    </row>
    <row r="187" spans="1:331" s="35" customFormat="1" x14ac:dyDescent="0.25">
      <c r="A187" s="35" t="s">
        <v>760</v>
      </c>
      <c r="B187" s="39" t="s">
        <v>761</v>
      </c>
      <c r="C187" s="13" t="s">
        <v>2073</v>
      </c>
      <c r="D187" s="35">
        <v>0</v>
      </c>
      <c r="H187" s="35" t="s">
        <v>762</v>
      </c>
      <c r="I187" s="35" t="s">
        <v>763</v>
      </c>
      <c r="J187" s="35" t="s">
        <v>764</v>
      </c>
      <c r="K187" s="35" t="s">
        <v>2120</v>
      </c>
      <c r="L187" s="35">
        <v>0</v>
      </c>
      <c r="O187" s="35">
        <v>1</v>
      </c>
      <c r="P187" s="35" t="s">
        <v>765</v>
      </c>
      <c r="Q187" s="1" t="s">
        <v>1603</v>
      </c>
      <c r="R187" s="1"/>
      <c r="S187" s="35">
        <v>16</v>
      </c>
      <c r="U187" s="35">
        <v>15</v>
      </c>
      <c r="W187" s="1">
        <v>15</v>
      </c>
      <c r="X187" s="1">
        <v>14</v>
      </c>
      <c r="Y187" s="1" t="s">
        <v>2322</v>
      </c>
      <c r="Z187" s="35">
        <v>7</v>
      </c>
      <c r="AA187" s="1" t="b">
        <v>1</v>
      </c>
      <c r="AB187" s="1"/>
      <c r="AC187" s="57" t="s">
        <v>1310</v>
      </c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  <c r="IY187" s="1"/>
      <c r="IZ187" s="1"/>
      <c r="JA187" s="1"/>
      <c r="JB187" s="1"/>
      <c r="JC187" s="1"/>
      <c r="JD187" s="1"/>
      <c r="JE187" s="1"/>
      <c r="JF187" s="1"/>
      <c r="JG187" s="1"/>
      <c r="JH187" s="1"/>
      <c r="JI187" s="1"/>
      <c r="JJ187" s="1"/>
      <c r="JK187" s="1"/>
      <c r="JL187" s="1"/>
      <c r="JM187" s="1"/>
      <c r="JN187" s="1"/>
      <c r="JO187" s="1"/>
      <c r="JP187" s="1"/>
      <c r="JQ187" s="1"/>
      <c r="JR187" s="1"/>
      <c r="JS187" s="1"/>
      <c r="JT187" s="1"/>
      <c r="JU187" s="1"/>
      <c r="JV187" s="1"/>
      <c r="JW187" s="1"/>
      <c r="JX187" s="1"/>
      <c r="JY187" s="1"/>
      <c r="JZ187" s="1"/>
      <c r="KA187" s="1"/>
      <c r="KB187" s="1"/>
      <c r="KC187" s="1"/>
      <c r="KD187" s="1"/>
      <c r="KE187" s="1"/>
      <c r="KF187" s="1"/>
      <c r="KG187" s="1"/>
      <c r="KH187" s="1"/>
      <c r="KI187" s="1"/>
      <c r="KJ187" s="1"/>
      <c r="KK187" s="1"/>
      <c r="KL187" s="1"/>
      <c r="KM187" s="1"/>
      <c r="KN187" s="1"/>
      <c r="KO187" s="1"/>
      <c r="KP187" s="1"/>
      <c r="KQ187" s="1"/>
      <c r="KR187" s="1"/>
      <c r="KS187" s="1"/>
      <c r="KT187" s="1"/>
      <c r="KU187" s="1"/>
      <c r="KV187" s="1"/>
      <c r="KW187" s="1"/>
      <c r="KX187" s="1"/>
      <c r="KY187" s="1"/>
      <c r="KZ187" s="1"/>
      <c r="LA187" s="1"/>
      <c r="LB187" s="1"/>
      <c r="LC187" s="1"/>
      <c r="LD187" s="1"/>
      <c r="LE187" s="1"/>
      <c r="LF187" s="1"/>
      <c r="LG187" s="1"/>
      <c r="LH187" s="1"/>
      <c r="LI187" s="1"/>
      <c r="LJ187" s="1"/>
      <c r="LK187" s="1"/>
      <c r="LL187" s="1"/>
      <c r="LM187" s="1"/>
      <c r="LN187" s="1"/>
      <c r="LO187" s="1"/>
      <c r="LP187" s="1"/>
      <c r="LQ187" s="1"/>
      <c r="LR187" s="1"/>
      <c r="LS187" s="1"/>
    </row>
    <row r="188" spans="1:331" s="49" customFormat="1" x14ac:dyDescent="0.25">
      <c r="A188" s="49" t="s">
        <v>766</v>
      </c>
      <c r="B188" s="51" t="s">
        <v>767</v>
      </c>
      <c r="C188" s="13" t="s">
        <v>2073</v>
      </c>
      <c r="D188" s="49">
        <v>0</v>
      </c>
      <c r="H188" s="49" t="s">
        <v>768</v>
      </c>
      <c r="I188" s="49" t="s">
        <v>769</v>
      </c>
      <c r="J188" s="49" t="s">
        <v>770</v>
      </c>
      <c r="K188" s="49" t="s">
        <v>100</v>
      </c>
      <c r="L188" s="49">
        <v>0</v>
      </c>
      <c r="O188" s="49">
        <v>1</v>
      </c>
      <c r="Q188" s="1"/>
      <c r="R188" s="1" t="s">
        <v>91</v>
      </c>
      <c r="S188" s="49">
        <v>7</v>
      </c>
      <c r="W188" s="1">
        <v>7</v>
      </c>
      <c r="X188" s="1">
        <v>13</v>
      </c>
      <c r="Y188" s="1" t="s">
        <v>2323</v>
      </c>
      <c r="Z188" s="49">
        <v>9</v>
      </c>
      <c r="AA188" s="1" t="b">
        <v>1</v>
      </c>
      <c r="AB188" s="1"/>
      <c r="AC188" s="57" t="s">
        <v>1311</v>
      </c>
      <c r="AD188" s="1" t="b">
        <v>1</v>
      </c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  <c r="IY188" s="1"/>
      <c r="IZ188" s="1"/>
      <c r="JA188" s="1"/>
      <c r="JB188" s="1"/>
      <c r="JC188" s="1"/>
      <c r="JD188" s="1"/>
      <c r="JE188" s="1"/>
      <c r="JF188" s="1"/>
      <c r="JG188" s="1"/>
      <c r="JH188" s="1"/>
      <c r="JI188" s="1"/>
      <c r="JJ188" s="1"/>
      <c r="JK188" s="1"/>
      <c r="JL188" s="1"/>
      <c r="JM188" s="1"/>
      <c r="JN188" s="1"/>
      <c r="JO188" s="1"/>
      <c r="JP188" s="1"/>
      <c r="JQ188" s="1"/>
      <c r="JR188" s="1"/>
      <c r="JS188" s="1"/>
      <c r="JT188" s="1"/>
      <c r="JU188" s="1"/>
      <c r="JV188" s="1"/>
      <c r="JW188" s="1"/>
      <c r="JX188" s="1"/>
      <c r="JY188" s="1"/>
      <c r="JZ188" s="1"/>
      <c r="KA188" s="1"/>
      <c r="KB188" s="1"/>
      <c r="KC188" s="1"/>
      <c r="KD188" s="1"/>
      <c r="KE188" s="1"/>
      <c r="KF188" s="1"/>
      <c r="KG188" s="1"/>
      <c r="KH188" s="1"/>
      <c r="KI188" s="1"/>
      <c r="KJ188" s="1"/>
      <c r="KK188" s="1"/>
      <c r="KL188" s="1"/>
      <c r="KM188" s="1"/>
      <c r="KN188" s="1"/>
      <c r="KO188" s="1"/>
      <c r="KP188" s="1"/>
      <c r="KQ188" s="1"/>
      <c r="KR188" s="1"/>
      <c r="KS188" s="1"/>
      <c r="KT188" s="1"/>
      <c r="KU188" s="1"/>
      <c r="KV188" s="1"/>
      <c r="KW188" s="1"/>
      <c r="KX188" s="1"/>
      <c r="KY188" s="1"/>
      <c r="KZ188" s="1"/>
      <c r="LA188" s="1"/>
      <c r="LB188" s="1"/>
      <c r="LC188" s="1"/>
      <c r="LD188" s="1"/>
      <c r="LE188" s="1"/>
      <c r="LF188" s="1"/>
      <c r="LG188" s="1"/>
      <c r="LH188" s="1"/>
      <c r="LI188" s="1"/>
      <c r="LJ188" s="1"/>
      <c r="LK188" s="1"/>
      <c r="LL188" s="1"/>
      <c r="LM188" s="1"/>
      <c r="LN188" s="1"/>
      <c r="LO188" s="1"/>
      <c r="LP188" s="1"/>
      <c r="LQ188" s="1"/>
      <c r="LR188" s="1"/>
      <c r="LS188" s="1"/>
    </row>
    <row r="189" spans="1:331" s="40" customFormat="1" x14ac:dyDescent="0.25">
      <c r="A189" s="40" t="s">
        <v>771</v>
      </c>
      <c r="B189" s="44" t="s">
        <v>772</v>
      </c>
      <c r="C189" s="13" t="s">
        <v>2073</v>
      </c>
      <c r="D189" s="40">
        <v>0</v>
      </c>
      <c r="H189" s="40" t="s">
        <v>773</v>
      </c>
      <c r="I189" s="40" t="s">
        <v>773</v>
      </c>
      <c r="J189" s="40" t="s">
        <v>774</v>
      </c>
      <c r="K189" s="40" t="s">
        <v>2121</v>
      </c>
      <c r="L189" s="40">
        <v>0</v>
      </c>
      <c r="O189" s="40">
        <v>1</v>
      </c>
      <c r="P189" s="40" t="s">
        <v>775</v>
      </c>
      <c r="Q189" s="1" t="s">
        <v>349</v>
      </c>
      <c r="R189" s="1"/>
      <c r="U189" s="40">
        <v>8</v>
      </c>
      <c r="W189" s="1">
        <v>8</v>
      </c>
      <c r="X189" s="1">
        <v>14</v>
      </c>
      <c r="Y189" s="1" t="s">
        <v>2324</v>
      </c>
      <c r="Z189" s="40">
        <v>8</v>
      </c>
      <c r="AA189" s="1" t="b">
        <v>1</v>
      </c>
      <c r="AB189" s="1"/>
      <c r="AC189" s="57" t="s">
        <v>1312</v>
      </c>
      <c r="AD189" s="1" t="b">
        <v>1</v>
      </c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  <c r="IY189" s="1"/>
      <c r="IZ189" s="1"/>
      <c r="JA189" s="1"/>
      <c r="JB189" s="1"/>
      <c r="JC189" s="1"/>
      <c r="JD189" s="1"/>
      <c r="JE189" s="1"/>
      <c r="JF189" s="1"/>
      <c r="JG189" s="1"/>
      <c r="JH189" s="1"/>
      <c r="JI189" s="1"/>
      <c r="JJ189" s="1"/>
      <c r="JK189" s="1"/>
      <c r="JL189" s="1"/>
      <c r="JM189" s="1"/>
      <c r="JN189" s="1"/>
      <c r="JO189" s="1"/>
      <c r="JP189" s="1"/>
      <c r="JQ189" s="1"/>
      <c r="JR189" s="1"/>
      <c r="JS189" s="1"/>
      <c r="JT189" s="1"/>
      <c r="JU189" s="1"/>
      <c r="JV189" s="1"/>
      <c r="JW189" s="1"/>
      <c r="JX189" s="1"/>
      <c r="JY189" s="1"/>
      <c r="JZ189" s="1"/>
      <c r="KA189" s="1"/>
      <c r="KB189" s="1"/>
      <c r="KC189" s="1"/>
      <c r="KD189" s="1"/>
      <c r="KE189" s="1"/>
      <c r="KF189" s="1"/>
      <c r="KG189" s="1"/>
      <c r="KH189" s="1"/>
      <c r="KI189" s="1"/>
      <c r="KJ189" s="1"/>
      <c r="KK189" s="1"/>
      <c r="KL189" s="1"/>
      <c r="KM189" s="1"/>
      <c r="KN189" s="1"/>
      <c r="KO189" s="1"/>
      <c r="KP189" s="1"/>
      <c r="KQ189" s="1"/>
      <c r="KR189" s="1"/>
      <c r="KS189" s="1"/>
      <c r="KT189" s="1"/>
      <c r="KU189" s="1"/>
      <c r="KV189" s="1"/>
      <c r="KW189" s="1"/>
      <c r="KX189" s="1"/>
      <c r="KY189" s="1"/>
      <c r="KZ189" s="1"/>
      <c r="LA189" s="1"/>
      <c r="LB189" s="1"/>
      <c r="LC189" s="1"/>
      <c r="LD189" s="1"/>
      <c r="LE189" s="1"/>
      <c r="LF189" s="1"/>
      <c r="LG189" s="1"/>
      <c r="LH189" s="1"/>
      <c r="LI189" s="1"/>
      <c r="LJ189" s="1"/>
      <c r="LK189" s="1"/>
      <c r="LL189" s="1"/>
      <c r="LM189" s="1"/>
      <c r="LN189" s="1"/>
      <c r="LO189" s="1"/>
      <c r="LP189" s="1"/>
      <c r="LQ189" s="1"/>
      <c r="LR189" s="1"/>
      <c r="LS189" s="1"/>
    </row>
    <row r="190" spans="1:331" x14ac:dyDescent="0.25">
      <c r="A190" s="1" t="s">
        <v>776</v>
      </c>
      <c r="B190" s="13" t="s">
        <v>777</v>
      </c>
      <c r="C190" s="13" t="s">
        <v>2073</v>
      </c>
      <c r="D190" s="1">
        <v>0</v>
      </c>
      <c r="H190" s="1" t="s">
        <v>778</v>
      </c>
      <c r="I190" s="1" t="s">
        <v>249</v>
      </c>
      <c r="J190" s="1" t="s">
        <v>779</v>
      </c>
      <c r="K190" s="1" t="s">
        <v>350</v>
      </c>
      <c r="L190" s="1">
        <v>0</v>
      </c>
      <c r="O190" s="1">
        <v>1</v>
      </c>
      <c r="R190" s="1" t="s">
        <v>780</v>
      </c>
      <c r="X190" s="1">
        <v>22</v>
      </c>
      <c r="Y190" s="1" t="s">
        <v>2325</v>
      </c>
      <c r="AA190" s="1" t="b">
        <v>0</v>
      </c>
      <c r="AC190" s="57" t="s">
        <v>1668</v>
      </c>
      <c r="AD190" s="1" t="b">
        <v>1</v>
      </c>
    </row>
    <row r="191" spans="1:331" s="35" customFormat="1" x14ac:dyDescent="0.25">
      <c r="A191" s="35" t="s">
        <v>781</v>
      </c>
      <c r="B191" s="39" t="s">
        <v>782</v>
      </c>
      <c r="C191" s="13" t="s">
        <v>2073</v>
      </c>
      <c r="D191" s="35">
        <v>1</v>
      </c>
      <c r="E191" s="35" t="s">
        <v>775</v>
      </c>
      <c r="H191" s="35" t="s">
        <v>783</v>
      </c>
      <c r="I191" s="35" t="s">
        <v>775</v>
      </c>
      <c r="J191" s="35" t="s">
        <v>119</v>
      </c>
      <c r="K191" s="35" t="s">
        <v>529</v>
      </c>
      <c r="L191" s="35">
        <v>0</v>
      </c>
      <c r="O191" s="35">
        <v>1</v>
      </c>
      <c r="P191" s="35" t="s">
        <v>250</v>
      </c>
      <c r="Q191" s="1" t="s">
        <v>1539</v>
      </c>
      <c r="R191" s="1"/>
      <c r="S191" s="35">
        <v>16</v>
      </c>
      <c r="U191" s="35">
        <v>16</v>
      </c>
      <c r="W191" s="1">
        <v>16</v>
      </c>
      <c r="X191" s="1">
        <v>28</v>
      </c>
      <c r="Y191" s="1" t="s">
        <v>2326</v>
      </c>
      <c r="Z191" s="35">
        <v>7</v>
      </c>
      <c r="AA191" s="1" t="b">
        <v>1</v>
      </c>
      <c r="AB191" s="1"/>
      <c r="AC191" s="57" t="s">
        <v>1497</v>
      </c>
      <c r="AD191" s="1" t="b">
        <v>1</v>
      </c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  <c r="IY191" s="1"/>
      <c r="IZ191" s="1"/>
      <c r="JA191" s="1"/>
      <c r="JB191" s="1"/>
      <c r="JC191" s="1"/>
      <c r="JD191" s="1"/>
      <c r="JE191" s="1"/>
      <c r="JF191" s="1"/>
      <c r="JG191" s="1"/>
      <c r="JH191" s="1"/>
      <c r="JI191" s="1"/>
      <c r="JJ191" s="1"/>
      <c r="JK191" s="1"/>
      <c r="JL191" s="1"/>
      <c r="JM191" s="1"/>
      <c r="JN191" s="1"/>
      <c r="JO191" s="1"/>
      <c r="JP191" s="1"/>
      <c r="JQ191" s="1"/>
      <c r="JR191" s="1"/>
      <c r="JS191" s="1"/>
      <c r="JT191" s="1"/>
      <c r="JU191" s="1"/>
      <c r="JV191" s="1"/>
      <c r="JW191" s="1"/>
      <c r="JX191" s="1"/>
      <c r="JY191" s="1"/>
      <c r="JZ191" s="1"/>
      <c r="KA191" s="1"/>
      <c r="KB191" s="1"/>
      <c r="KC191" s="1"/>
      <c r="KD191" s="1"/>
      <c r="KE191" s="1"/>
      <c r="KF191" s="1"/>
      <c r="KG191" s="1"/>
      <c r="KH191" s="1"/>
      <c r="KI191" s="1"/>
      <c r="KJ191" s="1"/>
      <c r="KK191" s="1"/>
      <c r="KL191" s="1"/>
      <c r="KM191" s="1"/>
      <c r="KN191" s="1"/>
      <c r="KO191" s="1"/>
      <c r="KP191" s="1"/>
      <c r="KQ191" s="1"/>
      <c r="KR191" s="1"/>
      <c r="KS191" s="1"/>
      <c r="KT191" s="1"/>
      <c r="KU191" s="1"/>
      <c r="KV191" s="1"/>
      <c r="KW191" s="1"/>
      <c r="KX191" s="1"/>
      <c r="KY191" s="1"/>
      <c r="KZ191" s="1"/>
      <c r="LA191" s="1"/>
      <c r="LB191" s="1"/>
      <c r="LC191" s="1"/>
      <c r="LD191" s="1"/>
      <c r="LE191" s="1"/>
      <c r="LF191" s="1"/>
      <c r="LG191" s="1"/>
      <c r="LH191" s="1"/>
      <c r="LI191" s="1"/>
      <c r="LJ191" s="1"/>
      <c r="LK191" s="1"/>
      <c r="LL191" s="1"/>
      <c r="LM191" s="1"/>
      <c r="LN191" s="1"/>
      <c r="LO191" s="1"/>
      <c r="LP191" s="1"/>
      <c r="LQ191" s="1"/>
      <c r="LR191" s="1"/>
      <c r="LS191" s="1"/>
    </row>
    <row r="192" spans="1:331" s="25" customFormat="1" x14ac:dyDescent="0.25">
      <c r="A192" s="25" t="s">
        <v>784</v>
      </c>
      <c r="B192" s="29" t="s">
        <v>785</v>
      </c>
      <c r="C192" s="13" t="s">
        <v>2073</v>
      </c>
      <c r="D192" s="25">
        <v>0</v>
      </c>
      <c r="H192" s="25" t="s">
        <v>786</v>
      </c>
      <c r="I192" s="25" t="s">
        <v>787</v>
      </c>
      <c r="J192" s="25" t="s">
        <v>786</v>
      </c>
      <c r="K192" s="25" t="s">
        <v>2122</v>
      </c>
      <c r="L192" s="25">
        <v>0</v>
      </c>
      <c r="O192" s="25">
        <v>0</v>
      </c>
      <c r="Q192" s="1" t="s">
        <v>371</v>
      </c>
      <c r="R192" s="1"/>
      <c r="S192" s="25">
        <v>15</v>
      </c>
      <c r="U192" s="25">
        <v>9</v>
      </c>
      <c r="W192" s="1">
        <v>15</v>
      </c>
      <c r="X192" s="1">
        <v>8</v>
      </c>
      <c r="Y192" s="1" t="s">
        <v>2327</v>
      </c>
      <c r="Z192" s="25">
        <v>5</v>
      </c>
      <c r="AA192" s="1" t="b">
        <v>0</v>
      </c>
      <c r="AB192" s="1"/>
      <c r="AC192" s="57" t="s">
        <v>1945</v>
      </c>
      <c r="AD192" s="1" t="b">
        <v>1</v>
      </c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  <c r="IY192" s="1"/>
      <c r="IZ192" s="1"/>
      <c r="JA192" s="1"/>
      <c r="JB192" s="1"/>
      <c r="JC192" s="1"/>
      <c r="JD192" s="1"/>
      <c r="JE192" s="1"/>
      <c r="JF192" s="1"/>
      <c r="JG192" s="1"/>
      <c r="JH192" s="1"/>
      <c r="JI192" s="1"/>
      <c r="JJ192" s="1"/>
      <c r="JK192" s="1"/>
      <c r="JL192" s="1"/>
      <c r="JM192" s="1"/>
      <c r="JN192" s="1"/>
      <c r="JO192" s="1"/>
      <c r="JP192" s="1"/>
      <c r="JQ192" s="1"/>
      <c r="JR192" s="1"/>
      <c r="JS192" s="1"/>
      <c r="JT192" s="1"/>
      <c r="JU192" s="1"/>
      <c r="JV192" s="1"/>
      <c r="JW192" s="1"/>
      <c r="JX192" s="1"/>
      <c r="JY192" s="1"/>
      <c r="JZ192" s="1"/>
      <c r="KA192" s="1"/>
      <c r="KB192" s="1"/>
      <c r="KC192" s="1"/>
      <c r="KD192" s="1"/>
      <c r="KE192" s="1"/>
      <c r="KF192" s="1"/>
      <c r="KG192" s="1"/>
      <c r="KH192" s="1"/>
      <c r="KI192" s="1"/>
      <c r="KJ192" s="1"/>
      <c r="KK192" s="1"/>
      <c r="KL192" s="1"/>
      <c r="KM192" s="1"/>
      <c r="KN192" s="1"/>
      <c r="KO192" s="1"/>
      <c r="KP192" s="1"/>
      <c r="KQ192" s="1"/>
      <c r="KR192" s="1"/>
      <c r="KS192" s="1"/>
      <c r="KT192" s="1"/>
      <c r="KU192" s="1"/>
      <c r="KV192" s="1"/>
      <c r="KW192" s="1"/>
      <c r="KX192" s="1"/>
      <c r="KY192" s="1"/>
      <c r="KZ192" s="1"/>
      <c r="LA192" s="1"/>
      <c r="LB192" s="1"/>
      <c r="LC192" s="1"/>
      <c r="LD192" s="1"/>
      <c r="LE192" s="1"/>
      <c r="LF192" s="1"/>
      <c r="LG192" s="1"/>
      <c r="LH192" s="1"/>
      <c r="LI192" s="1"/>
      <c r="LJ192" s="1"/>
      <c r="LK192" s="1"/>
      <c r="LL192" s="1"/>
      <c r="LM192" s="1"/>
      <c r="LN192" s="1"/>
      <c r="LO192" s="1"/>
      <c r="LP192" s="1"/>
      <c r="LQ192" s="1"/>
      <c r="LR192" s="1"/>
      <c r="LS192" s="1"/>
    </row>
    <row r="193" spans="1:331" s="65" customFormat="1" x14ac:dyDescent="0.25">
      <c r="A193" s="65" t="s">
        <v>788</v>
      </c>
      <c r="B193" s="67" t="s">
        <v>789</v>
      </c>
      <c r="C193" s="13" t="s">
        <v>2073</v>
      </c>
      <c r="D193" s="65">
        <v>1</v>
      </c>
      <c r="E193" s="65" t="s">
        <v>110</v>
      </c>
      <c r="H193" s="65" t="s">
        <v>790</v>
      </c>
      <c r="I193" s="65" t="s">
        <v>791</v>
      </c>
      <c r="J193" s="65" t="s">
        <v>582</v>
      </c>
      <c r="K193" s="65" t="s">
        <v>2123</v>
      </c>
      <c r="L193" s="65">
        <v>0</v>
      </c>
      <c r="O193" s="65">
        <v>0</v>
      </c>
      <c r="Q193" s="1"/>
      <c r="R193" s="1" t="s">
        <v>792</v>
      </c>
      <c r="S193" s="65">
        <v>9</v>
      </c>
      <c r="U193" s="65">
        <v>6</v>
      </c>
      <c r="W193" s="65">
        <v>9</v>
      </c>
      <c r="X193" s="1">
        <v>11</v>
      </c>
      <c r="Y193" s="1" t="s">
        <v>2328</v>
      </c>
      <c r="Z193" s="65">
        <v>12</v>
      </c>
      <c r="AA193" s="65" t="b">
        <v>1</v>
      </c>
      <c r="AC193" s="68" t="s">
        <v>1498</v>
      </c>
      <c r="AD193" s="65" t="b">
        <v>1</v>
      </c>
    </row>
    <row r="194" spans="1:331" s="25" customFormat="1" x14ac:dyDescent="0.25">
      <c r="A194" s="25" t="s">
        <v>793</v>
      </c>
      <c r="B194" s="29" t="s">
        <v>794</v>
      </c>
      <c r="C194" s="13" t="s">
        <v>2073</v>
      </c>
      <c r="D194" s="25">
        <v>0</v>
      </c>
      <c r="H194" s="25" t="s">
        <v>795</v>
      </c>
      <c r="I194" s="25" t="s">
        <v>796</v>
      </c>
      <c r="J194" s="25" t="s">
        <v>797</v>
      </c>
      <c r="K194" s="25" t="s">
        <v>263</v>
      </c>
      <c r="L194" s="25">
        <v>0</v>
      </c>
      <c r="O194" s="25">
        <v>1</v>
      </c>
      <c r="Q194" s="1" t="s">
        <v>1604</v>
      </c>
      <c r="R194" s="1"/>
      <c r="S194" s="25">
        <v>6</v>
      </c>
      <c r="U194" s="25">
        <v>6</v>
      </c>
      <c r="W194" s="1">
        <v>6</v>
      </c>
      <c r="X194" s="1">
        <v>20</v>
      </c>
      <c r="Y194" s="1" t="s">
        <v>2329</v>
      </c>
      <c r="Z194" s="25">
        <v>5</v>
      </c>
      <c r="AA194" s="1" t="b">
        <v>1</v>
      </c>
      <c r="AB194" s="1"/>
      <c r="AC194" s="57" t="s">
        <v>1499</v>
      </c>
      <c r="AD194" s="1" t="b">
        <v>1</v>
      </c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  <c r="IY194" s="1"/>
      <c r="IZ194" s="1"/>
      <c r="JA194" s="1"/>
      <c r="JB194" s="1"/>
      <c r="JC194" s="1"/>
      <c r="JD194" s="1"/>
      <c r="JE194" s="1"/>
      <c r="JF194" s="1"/>
      <c r="JG194" s="1"/>
      <c r="JH194" s="1"/>
      <c r="JI194" s="1"/>
      <c r="JJ194" s="1"/>
      <c r="JK194" s="1"/>
      <c r="JL194" s="1"/>
      <c r="JM194" s="1"/>
      <c r="JN194" s="1"/>
      <c r="JO194" s="1"/>
      <c r="JP194" s="1"/>
      <c r="JQ194" s="1"/>
      <c r="JR194" s="1"/>
      <c r="JS194" s="1"/>
      <c r="JT194" s="1"/>
      <c r="JU194" s="1"/>
      <c r="JV194" s="1"/>
      <c r="JW194" s="1"/>
      <c r="JX194" s="1"/>
      <c r="JY194" s="1"/>
      <c r="JZ194" s="1"/>
      <c r="KA194" s="1"/>
      <c r="KB194" s="1"/>
      <c r="KC194" s="1"/>
      <c r="KD194" s="1"/>
      <c r="KE194" s="1"/>
      <c r="KF194" s="1"/>
      <c r="KG194" s="1"/>
      <c r="KH194" s="1"/>
      <c r="KI194" s="1"/>
      <c r="KJ194" s="1"/>
      <c r="KK194" s="1"/>
      <c r="KL194" s="1"/>
      <c r="KM194" s="1"/>
      <c r="KN194" s="1"/>
      <c r="KO194" s="1"/>
      <c r="KP194" s="1"/>
      <c r="KQ194" s="1"/>
      <c r="KR194" s="1"/>
      <c r="KS194" s="1"/>
      <c r="KT194" s="1"/>
      <c r="KU194" s="1"/>
      <c r="KV194" s="1"/>
      <c r="KW194" s="1"/>
      <c r="KX194" s="1"/>
      <c r="KY194" s="1"/>
      <c r="KZ194" s="1"/>
      <c r="LA194" s="1"/>
      <c r="LB194" s="1"/>
      <c r="LC194" s="1"/>
      <c r="LD194" s="1"/>
      <c r="LE194" s="1"/>
      <c r="LF194" s="1"/>
      <c r="LG194" s="1"/>
      <c r="LH194" s="1"/>
      <c r="LI194" s="1"/>
      <c r="LJ194" s="1"/>
      <c r="LK194" s="1"/>
      <c r="LL194" s="1"/>
      <c r="LM194" s="1"/>
      <c r="LN194" s="1"/>
      <c r="LO194" s="1"/>
      <c r="LP194" s="1"/>
      <c r="LQ194" s="1"/>
      <c r="LR194" s="1"/>
      <c r="LS194" s="1"/>
    </row>
    <row r="195" spans="1:331" s="4" customFormat="1" x14ac:dyDescent="0.25">
      <c r="A195" s="4" t="s">
        <v>798</v>
      </c>
      <c r="B195" s="7" t="s">
        <v>799</v>
      </c>
      <c r="C195" s="13" t="s">
        <v>2073</v>
      </c>
      <c r="D195" s="4">
        <v>0</v>
      </c>
      <c r="H195" s="4" t="s">
        <v>800</v>
      </c>
      <c r="I195" s="4" t="s">
        <v>800</v>
      </c>
      <c r="J195" s="4" t="s">
        <v>91</v>
      </c>
      <c r="K195" s="4" t="s">
        <v>91</v>
      </c>
      <c r="L195" s="4">
        <v>1</v>
      </c>
      <c r="M195" s="4" t="s">
        <v>801</v>
      </c>
      <c r="O195" s="4">
        <v>1</v>
      </c>
      <c r="P195" s="4" t="s">
        <v>802</v>
      </c>
      <c r="Q195" s="1"/>
      <c r="R195" s="1" t="s">
        <v>801</v>
      </c>
      <c r="S195" s="4">
        <v>11</v>
      </c>
      <c r="U195" s="4">
        <v>8</v>
      </c>
      <c r="W195" s="1">
        <v>11</v>
      </c>
      <c r="X195" s="1">
        <v>12</v>
      </c>
      <c r="Y195" s="1" t="s">
        <v>2330</v>
      </c>
      <c r="Z195" s="4">
        <v>4</v>
      </c>
      <c r="AA195" s="1" t="b">
        <v>1</v>
      </c>
      <c r="AB195" s="1"/>
      <c r="AC195" s="57" t="s">
        <v>1496</v>
      </c>
      <c r="AD195" s="1" t="b">
        <v>1</v>
      </c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  <c r="IY195" s="1"/>
      <c r="IZ195" s="1"/>
      <c r="JA195" s="1"/>
      <c r="JB195" s="1"/>
      <c r="JC195" s="1"/>
      <c r="JD195" s="1"/>
      <c r="JE195" s="1"/>
      <c r="JF195" s="1"/>
      <c r="JG195" s="1"/>
      <c r="JH195" s="1"/>
      <c r="JI195" s="1"/>
      <c r="JJ195" s="1"/>
      <c r="JK195" s="1"/>
      <c r="JL195" s="1"/>
      <c r="JM195" s="1"/>
      <c r="JN195" s="1"/>
      <c r="JO195" s="1"/>
      <c r="JP195" s="1"/>
      <c r="JQ195" s="1"/>
      <c r="JR195" s="1"/>
      <c r="JS195" s="1"/>
      <c r="JT195" s="1"/>
      <c r="JU195" s="1"/>
      <c r="JV195" s="1"/>
      <c r="JW195" s="1"/>
      <c r="JX195" s="1"/>
      <c r="JY195" s="1"/>
      <c r="JZ195" s="1"/>
      <c r="KA195" s="1"/>
      <c r="KB195" s="1"/>
      <c r="KC195" s="1"/>
      <c r="KD195" s="1"/>
      <c r="KE195" s="1"/>
      <c r="KF195" s="1"/>
      <c r="KG195" s="1"/>
      <c r="KH195" s="1"/>
      <c r="KI195" s="1"/>
      <c r="KJ195" s="1"/>
      <c r="KK195" s="1"/>
      <c r="KL195" s="1"/>
      <c r="KM195" s="1"/>
      <c r="KN195" s="1"/>
      <c r="KO195" s="1"/>
      <c r="KP195" s="1"/>
      <c r="KQ195" s="1"/>
      <c r="KR195" s="1"/>
      <c r="KS195" s="1"/>
      <c r="KT195" s="1"/>
      <c r="KU195" s="1"/>
      <c r="KV195" s="1"/>
      <c r="KW195" s="1"/>
      <c r="KX195" s="1"/>
      <c r="KY195" s="1"/>
      <c r="KZ195" s="1"/>
      <c r="LA195" s="1"/>
      <c r="LB195" s="1"/>
      <c r="LC195" s="1"/>
      <c r="LD195" s="1"/>
      <c r="LE195" s="1"/>
      <c r="LF195" s="1"/>
      <c r="LG195" s="1"/>
      <c r="LH195" s="1"/>
      <c r="LI195" s="1"/>
      <c r="LJ195" s="1"/>
      <c r="LK195" s="1"/>
      <c r="LL195" s="1"/>
      <c r="LM195" s="1"/>
      <c r="LN195" s="1"/>
      <c r="LO195" s="1"/>
      <c r="LP195" s="1"/>
      <c r="LQ195" s="1"/>
      <c r="LR195" s="1"/>
      <c r="LS195" s="1"/>
    </row>
    <row r="196" spans="1:331" x14ac:dyDescent="0.25">
      <c r="A196" s="1" t="s">
        <v>2518</v>
      </c>
      <c r="B196" s="1"/>
      <c r="C196" s="1" t="s">
        <v>2073</v>
      </c>
      <c r="D196" s="1">
        <v>0</v>
      </c>
      <c r="H196" s="1" t="s">
        <v>668</v>
      </c>
      <c r="I196" s="1" t="s">
        <v>2528</v>
      </c>
      <c r="K196" s="1" t="s">
        <v>671</v>
      </c>
      <c r="L196" s="1">
        <v>1</v>
      </c>
      <c r="M196" s="1" t="s">
        <v>2081</v>
      </c>
      <c r="O196" s="1">
        <v>0</v>
      </c>
      <c r="Q196" s="1" t="s">
        <v>225</v>
      </c>
      <c r="T196" s="1">
        <v>7</v>
      </c>
      <c r="AA196" s="1" t="b">
        <v>0</v>
      </c>
    </row>
    <row r="197" spans="1:331" x14ac:dyDescent="0.25">
      <c r="A197" s="1" t="s">
        <v>2524</v>
      </c>
      <c r="B197" s="1"/>
      <c r="C197" s="1" t="s">
        <v>2073</v>
      </c>
      <c r="D197" s="1">
        <v>0</v>
      </c>
      <c r="H197" s="1" t="s">
        <v>1195</v>
      </c>
      <c r="I197" s="1" t="s">
        <v>1195</v>
      </c>
      <c r="K197" s="1" t="s">
        <v>1194</v>
      </c>
      <c r="L197" s="1">
        <v>0</v>
      </c>
      <c r="O197" s="1">
        <v>0</v>
      </c>
      <c r="Q197" s="1" t="s">
        <v>47</v>
      </c>
      <c r="S197" s="1">
        <v>15</v>
      </c>
      <c r="AA197" s="1" t="b">
        <v>0</v>
      </c>
    </row>
    <row r="198" spans="1:331" x14ac:dyDescent="0.25">
      <c r="A198" s="1" t="s">
        <v>2523</v>
      </c>
      <c r="B198" s="1"/>
      <c r="C198" s="1" t="s">
        <v>2073</v>
      </c>
      <c r="D198" s="1">
        <v>0</v>
      </c>
      <c r="H198" s="1" t="s">
        <v>2529</v>
      </c>
      <c r="I198" s="1" t="s">
        <v>2530</v>
      </c>
      <c r="K198" s="1" t="s">
        <v>224</v>
      </c>
      <c r="L198" s="1">
        <v>0</v>
      </c>
      <c r="O198" s="1">
        <v>0</v>
      </c>
      <c r="Q198" s="1" t="s">
        <v>1249</v>
      </c>
      <c r="AA198" s="1" t="b">
        <v>0</v>
      </c>
    </row>
    <row r="199" spans="1:331" x14ac:dyDescent="0.25">
      <c r="A199" s="1" t="s">
        <v>2522</v>
      </c>
      <c r="B199" s="1"/>
      <c r="C199" s="1" t="s">
        <v>2073</v>
      </c>
      <c r="D199" s="1">
        <v>0</v>
      </c>
      <c r="H199" s="1" t="s">
        <v>2531</v>
      </c>
      <c r="I199" s="1" t="s">
        <v>2531</v>
      </c>
      <c r="K199" s="1" t="s">
        <v>2531</v>
      </c>
      <c r="L199" s="1">
        <v>0</v>
      </c>
      <c r="O199" s="1">
        <v>1</v>
      </c>
      <c r="P199" s="1" t="s">
        <v>50</v>
      </c>
      <c r="Q199" s="1" t="s">
        <v>2098</v>
      </c>
      <c r="S199" s="1">
        <v>7</v>
      </c>
      <c r="AA199" s="1" t="b">
        <v>0</v>
      </c>
    </row>
    <row r="200" spans="1:331" x14ac:dyDescent="0.25">
      <c r="A200" s="1" t="s">
        <v>2521</v>
      </c>
      <c r="B200" s="1"/>
      <c r="C200" s="1" t="s">
        <v>2073</v>
      </c>
      <c r="D200" s="1">
        <v>0</v>
      </c>
      <c r="H200" s="1" t="s">
        <v>141</v>
      </c>
      <c r="I200" s="1" t="s">
        <v>458</v>
      </c>
      <c r="K200" s="1" t="s">
        <v>2532</v>
      </c>
      <c r="L200" s="1">
        <v>2</v>
      </c>
      <c r="M200" s="1" t="s">
        <v>1652</v>
      </c>
      <c r="N200" s="1" t="s">
        <v>1588</v>
      </c>
      <c r="O200" s="1">
        <v>0</v>
      </c>
      <c r="R200" s="1" t="s">
        <v>2533</v>
      </c>
      <c r="S200" s="1">
        <v>21</v>
      </c>
      <c r="T200" s="1">
        <v>7</v>
      </c>
      <c r="AA200" s="1" t="b">
        <v>0</v>
      </c>
    </row>
    <row r="201" spans="1:331" x14ac:dyDescent="0.25">
      <c r="A201" s="1" t="s">
        <v>2520</v>
      </c>
      <c r="B201" s="1"/>
      <c r="C201" s="1" t="s">
        <v>2073</v>
      </c>
      <c r="D201" s="1">
        <v>0</v>
      </c>
      <c r="H201" s="1" t="s">
        <v>2534</v>
      </c>
      <c r="I201" s="1" t="s">
        <v>2535</v>
      </c>
      <c r="K201" s="1" t="s">
        <v>2536</v>
      </c>
      <c r="L201" s="1">
        <v>1</v>
      </c>
      <c r="M201" s="1" t="s">
        <v>2537</v>
      </c>
      <c r="O201" s="1">
        <v>1</v>
      </c>
      <c r="P201" s="1" t="s">
        <v>2538</v>
      </c>
      <c r="Q201" s="1" t="s">
        <v>1196</v>
      </c>
      <c r="S201" s="1">
        <v>6</v>
      </c>
      <c r="AA201" s="1" t="b">
        <v>0</v>
      </c>
    </row>
    <row r="202" spans="1:331" x14ac:dyDescent="0.25">
      <c r="A202" s="1" t="s">
        <v>2519</v>
      </c>
      <c r="B202" s="1"/>
      <c r="C202" s="1" t="s">
        <v>2073</v>
      </c>
      <c r="I202" s="1" t="s">
        <v>714</v>
      </c>
      <c r="AA202" s="1" t="b">
        <v>0</v>
      </c>
    </row>
    <row r="203" spans="1:331" s="35" customFormat="1" x14ac:dyDescent="0.25">
      <c r="A203" s="35" t="s">
        <v>803</v>
      </c>
      <c r="B203" s="39" t="s">
        <v>804</v>
      </c>
      <c r="C203" s="13" t="s">
        <v>2074</v>
      </c>
      <c r="D203" s="35">
        <v>3</v>
      </c>
      <c r="E203" s="35" t="s">
        <v>805</v>
      </c>
      <c r="F203" s="35" t="s">
        <v>806</v>
      </c>
      <c r="G203" s="35" t="s">
        <v>806</v>
      </c>
      <c r="H203" s="35" t="s">
        <v>805</v>
      </c>
      <c r="I203" s="35" t="s">
        <v>805</v>
      </c>
      <c r="J203" s="35" t="s">
        <v>806</v>
      </c>
      <c r="K203" s="35" t="s">
        <v>806</v>
      </c>
      <c r="L203" s="35">
        <v>0</v>
      </c>
      <c r="O203" s="35">
        <v>1</v>
      </c>
      <c r="P203" s="35" t="s">
        <v>807</v>
      </c>
      <c r="Q203" s="1" t="s">
        <v>1605</v>
      </c>
      <c r="R203" s="1"/>
      <c r="S203" s="35">
        <v>28</v>
      </c>
      <c r="U203" s="35">
        <v>29</v>
      </c>
      <c r="W203" s="1">
        <v>28</v>
      </c>
      <c r="X203" s="1">
        <v>17</v>
      </c>
      <c r="Y203" s="1" t="s">
        <v>2331</v>
      </c>
      <c r="Z203" s="35">
        <v>7</v>
      </c>
      <c r="AA203" s="1" t="b">
        <v>1</v>
      </c>
      <c r="AB203" s="1"/>
      <c r="AC203" s="57" t="s">
        <v>2145</v>
      </c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  <c r="IY203" s="1"/>
      <c r="IZ203" s="1"/>
      <c r="JA203" s="1"/>
      <c r="JB203" s="1"/>
      <c r="JC203" s="1"/>
      <c r="JD203" s="1"/>
      <c r="JE203" s="1"/>
      <c r="JF203" s="1"/>
      <c r="JG203" s="1"/>
      <c r="JH203" s="1"/>
      <c r="JI203" s="1"/>
      <c r="JJ203" s="1"/>
      <c r="JK203" s="1"/>
      <c r="JL203" s="1"/>
      <c r="JM203" s="1"/>
      <c r="JN203" s="1"/>
      <c r="JO203" s="1"/>
      <c r="JP203" s="1"/>
      <c r="JQ203" s="1"/>
      <c r="JR203" s="1"/>
      <c r="JS203" s="1"/>
      <c r="JT203" s="1"/>
      <c r="JU203" s="1"/>
      <c r="JV203" s="1"/>
      <c r="JW203" s="1"/>
      <c r="JX203" s="1"/>
      <c r="JY203" s="1"/>
      <c r="JZ203" s="1"/>
      <c r="KA203" s="1"/>
      <c r="KB203" s="1"/>
      <c r="KC203" s="1"/>
      <c r="KD203" s="1"/>
      <c r="KE203" s="1"/>
      <c r="KF203" s="1"/>
      <c r="KG203" s="1"/>
      <c r="KH203" s="1"/>
      <c r="KI203" s="1"/>
      <c r="KJ203" s="1"/>
      <c r="KK203" s="1"/>
      <c r="KL203" s="1"/>
      <c r="KM203" s="1"/>
      <c r="KN203" s="1"/>
      <c r="KO203" s="1"/>
      <c r="KP203" s="1"/>
      <c r="KQ203" s="1"/>
      <c r="KR203" s="1"/>
      <c r="KS203" s="1"/>
      <c r="KT203" s="1"/>
      <c r="KU203" s="1"/>
      <c r="KV203" s="1"/>
      <c r="KW203" s="1"/>
      <c r="KX203" s="1"/>
      <c r="KY203" s="1"/>
      <c r="KZ203" s="1"/>
      <c r="LA203" s="1"/>
      <c r="LB203" s="1"/>
      <c r="LC203" s="1"/>
      <c r="LD203" s="1"/>
      <c r="LE203" s="1"/>
      <c r="LF203" s="1"/>
      <c r="LG203" s="1"/>
      <c r="LH203" s="1"/>
      <c r="LI203" s="1"/>
      <c r="LJ203" s="1"/>
      <c r="LK203" s="1"/>
      <c r="LL203" s="1"/>
      <c r="LM203" s="1"/>
      <c r="LN203" s="1"/>
      <c r="LO203" s="1"/>
      <c r="LP203" s="1"/>
      <c r="LQ203" s="1"/>
      <c r="LR203" s="1"/>
      <c r="LS203" s="1"/>
    </row>
    <row r="204" spans="1:331" s="25" customFormat="1" x14ac:dyDescent="0.25">
      <c r="A204" s="25" t="s">
        <v>808</v>
      </c>
      <c r="B204" s="29" t="s">
        <v>809</v>
      </c>
      <c r="C204" s="13" t="s">
        <v>2074</v>
      </c>
      <c r="D204" s="25">
        <v>0</v>
      </c>
      <c r="H204" s="25" t="s">
        <v>810</v>
      </c>
      <c r="I204" s="25" t="s">
        <v>810</v>
      </c>
      <c r="J204" s="25" t="s">
        <v>810</v>
      </c>
      <c r="K204" s="25" t="s">
        <v>2124</v>
      </c>
      <c r="L204" s="25">
        <v>0</v>
      </c>
      <c r="O204" s="25">
        <v>1</v>
      </c>
      <c r="Q204" s="1" t="s">
        <v>816</v>
      </c>
      <c r="R204" s="1"/>
      <c r="T204" s="25">
        <v>6.6</v>
      </c>
      <c r="V204" s="25">
        <v>9</v>
      </c>
      <c r="W204" s="1">
        <v>7</v>
      </c>
      <c r="X204" s="1">
        <v>12</v>
      </c>
      <c r="Y204" s="1" t="s">
        <v>2332</v>
      </c>
      <c r="Z204" s="25">
        <v>5</v>
      </c>
      <c r="AA204" s="1" t="b">
        <v>1</v>
      </c>
      <c r="AB204" s="1"/>
      <c r="AC204" s="57" t="s">
        <v>1360</v>
      </c>
      <c r="AD204" s="1" t="b">
        <v>1</v>
      </c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  <c r="IY204" s="1"/>
      <c r="IZ204" s="1"/>
      <c r="JA204" s="1"/>
      <c r="JB204" s="1"/>
      <c r="JC204" s="1"/>
      <c r="JD204" s="1"/>
      <c r="JE204" s="1"/>
      <c r="JF204" s="1"/>
      <c r="JG204" s="1"/>
      <c r="JH204" s="1"/>
      <c r="JI204" s="1"/>
      <c r="JJ204" s="1"/>
      <c r="JK204" s="1"/>
      <c r="JL204" s="1"/>
      <c r="JM204" s="1"/>
      <c r="JN204" s="1"/>
      <c r="JO204" s="1"/>
      <c r="JP204" s="1"/>
      <c r="JQ204" s="1"/>
      <c r="JR204" s="1"/>
      <c r="JS204" s="1"/>
      <c r="JT204" s="1"/>
      <c r="JU204" s="1"/>
      <c r="JV204" s="1"/>
      <c r="JW204" s="1"/>
      <c r="JX204" s="1"/>
      <c r="JY204" s="1"/>
      <c r="JZ204" s="1"/>
      <c r="KA204" s="1"/>
      <c r="KB204" s="1"/>
      <c r="KC204" s="1"/>
      <c r="KD204" s="1"/>
      <c r="KE204" s="1"/>
      <c r="KF204" s="1"/>
      <c r="KG204" s="1"/>
      <c r="KH204" s="1"/>
      <c r="KI204" s="1"/>
      <c r="KJ204" s="1"/>
      <c r="KK204" s="1"/>
      <c r="KL204" s="1"/>
      <c r="KM204" s="1"/>
      <c r="KN204" s="1"/>
      <c r="KO204" s="1"/>
      <c r="KP204" s="1"/>
      <c r="KQ204" s="1"/>
      <c r="KR204" s="1"/>
      <c r="KS204" s="1"/>
      <c r="KT204" s="1"/>
      <c r="KU204" s="1"/>
      <c r="KV204" s="1"/>
      <c r="KW204" s="1"/>
      <c r="KX204" s="1"/>
      <c r="KY204" s="1"/>
      <c r="KZ204" s="1"/>
      <c r="LA204" s="1"/>
      <c r="LB204" s="1"/>
      <c r="LC204" s="1"/>
      <c r="LD204" s="1"/>
      <c r="LE204" s="1"/>
      <c r="LF204" s="1"/>
      <c r="LG204" s="1"/>
      <c r="LH204" s="1"/>
      <c r="LI204" s="1"/>
      <c r="LJ204" s="1"/>
      <c r="LK204" s="1"/>
      <c r="LL204" s="1"/>
      <c r="LM204" s="1"/>
      <c r="LN204" s="1"/>
      <c r="LO204" s="1"/>
      <c r="LP204" s="1"/>
      <c r="LQ204" s="1"/>
      <c r="LR204" s="1"/>
      <c r="LS204" s="1"/>
    </row>
    <row r="205" spans="1:331" s="49" customFormat="1" x14ac:dyDescent="0.25">
      <c r="A205" s="49" t="s">
        <v>811</v>
      </c>
      <c r="B205" s="51" t="s">
        <v>812</v>
      </c>
      <c r="C205" s="13" t="s">
        <v>2074</v>
      </c>
      <c r="D205" s="49">
        <v>0</v>
      </c>
      <c r="H205" s="49" t="s">
        <v>813</v>
      </c>
      <c r="I205" s="49" t="s">
        <v>814</v>
      </c>
      <c r="J205" s="49" t="s">
        <v>815</v>
      </c>
      <c r="K205" s="49" t="s">
        <v>814</v>
      </c>
      <c r="L205" s="49">
        <v>0</v>
      </c>
      <c r="O205" s="49">
        <v>1</v>
      </c>
      <c r="Q205" s="1"/>
      <c r="R205" s="1" t="s">
        <v>816</v>
      </c>
      <c r="T205" s="49">
        <v>20</v>
      </c>
      <c r="V205" s="49">
        <v>22</v>
      </c>
      <c r="W205" s="1">
        <v>20</v>
      </c>
      <c r="X205" s="1">
        <v>21</v>
      </c>
      <c r="Y205" s="1" t="s">
        <v>2333</v>
      </c>
      <c r="Z205" s="49">
        <v>9</v>
      </c>
      <c r="AA205" s="1" t="b">
        <v>1</v>
      </c>
      <c r="AB205" s="1"/>
      <c r="AC205" s="57" t="s">
        <v>1453</v>
      </c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  <c r="IY205" s="1"/>
      <c r="IZ205" s="1"/>
      <c r="JA205" s="1"/>
      <c r="JB205" s="1"/>
      <c r="JC205" s="1"/>
      <c r="JD205" s="1"/>
      <c r="JE205" s="1"/>
      <c r="JF205" s="1"/>
      <c r="JG205" s="1"/>
      <c r="JH205" s="1"/>
      <c r="JI205" s="1"/>
      <c r="JJ205" s="1"/>
      <c r="JK205" s="1"/>
      <c r="JL205" s="1"/>
      <c r="JM205" s="1"/>
      <c r="JN205" s="1"/>
      <c r="JO205" s="1"/>
      <c r="JP205" s="1"/>
      <c r="JQ205" s="1"/>
      <c r="JR205" s="1"/>
      <c r="JS205" s="1"/>
      <c r="JT205" s="1"/>
      <c r="JU205" s="1"/>
      <c r="JV205" s="1"/>
      <c r="JW205" s="1"/>
      <c r="JX205" s="1"/>
      <c r="JY205" s="1"/>
      <c r="JZ205" s="1"/>
      <c r="KA205" s="1"/>
      <c r="KB205" s="1"/>
      <c r="KC205" s="1"/>
      <c r="KD205" s="1"/>
      <c r="KE205" s="1"/>
      <c r="KF205" s="1"/>
      <c r="KG205" s="1"/>
      <c r="KH205" s="1"/>
      <c r="KI205" s="1"/>
      <c r="KJ205" s="1"/>
      <c r="KK205" s="1"/>
      <c r="KL205" s="1"/>
      <c r="KM205" s="1"/>
      <c r="KN205" s="1"/>
      <c r="KO205" s="1"/>
      <c r="KP205" s="1"/>
      <c r="KQ205" s="1"/>
      <c r="KR205" s="1"/>
      <c r="KS205" s="1"/>
      <c r="KT205" s="1"/>
      <c r="KU205" s="1"/>
      <c r="KV205" s="1"/>
      <c r="KW205" s="1"/>
      <c r="KX205" s="1"/>
      <c r="KY205" s="1"/>
      <c r="KZ205" s="1"/>
      <c r="LA205" s="1"/>
      <c r="LB205" s="1"/>
      <c r="LC205" s="1"/>
      <c r="LD205" s="1"/>
      <c r="LE205" s="1"/>
      <c r="LF205" s="1"/>
      <c r="LG205" s="1"/>
      <c r="LH205" s="1"/>
      <c r="LI205" s="1"/>
      <c r="LJ205" s="1"/>
      <c r="LK205" s="1"/>
      <c r="LL205" s="1"/>
      <c r="LM205" s="1"/>
      <c r="LN205" s="1"/>
      <c r="LO205" s="1"/>
      <c r="LP205" s="1"/>
      <c r="LQ205" s="1"/>
      <c r="LR205" s="1"/>
      <c r="LS205" s="1"/>
    </row>
    <row r="206" spans="1:331" s="65" customFormat="1" x14ac:dyDescent="0.25">
      <c r="A206" s="65" t="s">
        <v>817</v>
      </c>
      <c r="B206" s="67" t="s">
        <v>818</v>
      </c>
      <c r="C206" s="13" t="s">
        <v>2074</v>
      </c>
      <c r="D206" s="65">
        <v>1</v>
      </c>
      <c r="E206" s="65" t="s">
        <v>819</v>
      </c>
      <c r="H206" s="65" t="s">
        <v>820</v>
      </c>
      <c r="I206" s="65" t="s">
        <v>821</v>
      </c>
      <c r="J206" s="69">
        <v>43749</v>
      </c>
      <c r="K206" s="69" t="s">
        <v>2125</v>
      </c>
      <c r="L206" s="65">
        <v>0</v>
      </c>
      <c r="O206" s="65">
        <v>1</v>
      </c>
      <c r="Q206" s="1"/>
      <c r="R206" s="1" t="s">
        <v>822</v>
      </c>
      <c r="T206" s="65">
        <v>22</v>
      </c>
      <c r="V206" s="65">
        <v>24</v>
      </c>
      <c r="W206" s="65">
        <v>22</v>
      </c>
      <c r="X206" s="1">
        <v>21</v>
      </c>
      <c r="Y206" s="1" t="s">
        <v>2334</v>
      </c>
      <c r="Z206" s="65">
        <v>12</v>
      </c>
      <c r="AA206" s="65" t="b">
        <v>1</v>
      </c>
      <c r="AC206" s="68" t="s">
        <v>1458</v>
      </c>
    </row>
    <row r="207" spans="1:331" s="17" customFormat="1" x14ac:dyDescent="0.25">
      <c r="A207" s="17" t="s">
        <v>823</v>
      </c>
      <c r="B207" s="21" t="s">
        <v>824</v>
      </c>
      <c r="C207" s="13" t="s">
        <v>2074</v>
      </c>
      <c r="D207" s="17">
        <v>1</v>
      </c>
      <c r="E207" s="17" t="s">
        <v>825</v>
      </c>
      <c r="J207" s="17" t="s">
        <v>826</v>
      </c>
      <c r="K207" s="17" t="s">
        <v>825</v>
      </c>
      <c r="L207" s="17">
        <v>1</v>
      </c>
      <c r="M207" s="17" t="s">
        <v>827</v>
      </c>
      <c r="O207" s="17">
        <v>1</v>
      </c>
      <c r="P207" s="17" t="s">
        <v>828</v>
      </c>
      <c r="Q207" s="1" t="s">
        <v>1606</v>
      </c>
      <c r="R207" s="1"/>
      <c r="S207" s="17">
        <v>13</v>
      </c>
      <c r="U207" s="17">
        <v>13</v>
      </c>
      <c r="W207" s="1">
        <v>13</v>
      </c>
      <c r="X207" s="1">
        <v>16</v>
      </c>
      <c r="Y207" s="1" t="s">
        <v>2335</v>
      </c>
      <c r="Z207" s="17">
        <v>3</v>
      </c>
      <c r="AA207" s="1" t="b">
        <v>1</v>
      </c>
      <c r="AB207" s="1"/>
      <c r="AC207" s="57" t="s">
        <v>1407</v>
      </c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  <c r="IY207" s="1"/>
      <c r="IZ207" s="1"/>
      <c r="JA207" s="1"/>
      <c r="JB207" s="1"/>
      <c r="JC207" s="1"/>
      <c r="JD207" s="1"/>
      <c r="JE207" s="1"/>
      <c r="JF207" s="1"/>
      <c r="JG207" s="1"/>
      <c r="JH207" s="1"/>
      <c r="JI207" s="1"/>
      <c r="JJ207" s="1"/>
      <c r="JK207" s="1"/>
      <c r="JL207" s="1"/>
      <c r="JM207" s="1"/>
      <c r="JN207" s="1"/>
      <c r="JO207" s="1"/>
      <c r="JP207" s="1"/>
      <c r="JQ207" s="1"/>
      <c r="JR207" s="1"/>
      <c r="JS207" s="1"/>
      <c r="JT207" s="1"/>
      <c r="JU207" s="1"/>
      <c r="JV207" s="1"/>
      <c r="JW207" s="1"/>
      <c r="JX207" s="1"/>
      <c r="JY207" s="1"/>
      <c r="JZ207" s="1"/>
      <c r="KA207" s="1"/>
      <c r="KB207" s="1"/>
      <c r="KC207" s="1"/>
      <c r="KD207" s="1"/>
      <c r="KE207" s="1"/>
      <c r="KF207" s="1"/>
      <c r="KG207" s="1"/>
      <c r="KH207" s="1"/>
      <c r="KI207" s="1"/>
      <c r="KJ207" s="1"/>
      <c r="KK207" s="1"/>
      <c r="KL207" s="1"/>
      <c r="KM207" s="1"/>
      <c r="KN207" s="1"/>
      <c r="KO207" s="1"/>
      <c r="KP207" s="1"/>
      <c r="KQ207" s="1"/>
      <c r="KR207" s="1"/>
      <c r="KS207" s="1"/>
      <c r="KT207" s="1"/>
      <c r="KU207" s="1"/>
      <c r="KV207" s="1"/>
      <c r="KW207" s="1"/>
      <c r="KX207" s="1"/>
      <c r="KY207" s="1"/>
      <c r="KZ207" s="1"/>
      <c r="LA207" s="1"/>
      <c r="LB207" s="1"/>
      <c r="LC207" s="1"/>
      <c r="LD207" s="1"/>
      <c r="LE207" s="1"/>
      <c r="LF207" s="1"/>
      <c r="LG207" s="1"/>
      <c r="LH207" s="1"/>
      <c r="LI207" s="1"/>
      <c r="LJ207" s="1"/>
      <c r="LK207" s="1"/>
      <c r="LL207" s="1"/>
      <c r="LM207" s="1"/>
      <c r="LN207" s="1"/>
      <c r="LO207" s="1"/>
      <c r="LP207" s="1"/>
      <c r="LQ207" s="1"/>
      <c r="LR207" s="1"/>
      <c r="LS207" s="1"/>
    </row>
    <row r="208" spans="1:331" s="35" customFormat="1" x14ac:dyDescent="0.25">
      <c r="A208" s="35" t="s">
        <v>829</v>
      </c>
      <c r="B208" s="39" t="s">
        <v>830</v>
      </c>
      <c r="C208" s="13" t="s">
        <v>2074</v>
      </c>
      <c r="D208" s="35">
        <v>1</v>
      </c>
      <c r="E208" s="35" t="s">
        <v>831</v>
      </c>
      <c r="H208" s="35" t="s">
        <v>832</v>
      </c>
      <c r="I208" s="35" t="s">
        <v>831</v>
      </c>
      <c r="J208" s="35" t="s">
        <v>832</v>
      </c>
      <c r="K208" s="35" t="s">
        <v>831</v>
      </c>
      <c r="L208" s="35">
        <v>0</v>
      </c>
      <c r="O208" s="35">
        <v>1</v>
      </c>
      <c r="P208" s="35" t="s">
        <v>833</v>
      </c>
      <c r="Q208" s="1" t="s">
        <v>1607</v>
      </c>
      <c r="R208" s="1"/>
      <c r="S208" s="35">
        <v>20</v>
      </c>
      <c r="V208" s="35">
        <v>20</v>
      </c>
      <c r="W208" s="1">
        <v>20</v>
      </c>
      <c r="X208" s="1">
        <v>18</v>
      </c>
      <c r="Y208" s="1" t="s">
        <v>2336</v>
      </c>
      <c r="Z208" s="35">
        <v>7</v>
      </c>
      <c r="AA208" s="1" t="b">
        <v>1</v>
      </c>
      <c r="AB208" s="1"/>
      <c r="AC208" s="57" t="s">
        <v>1399</v>
      </c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  <c r="IY208" s="1"/>
      <c r="IZ208" s="1"/>
      <c r="JA208" s="1"/>
      <c r="JB208" s="1"/>
      <c r="JC208" s="1"/>
      <c r="JD208" s="1"/>
      <c r="JE208" s="1"/>
      <c r="JF208" s="1"/>
      <c r="JG208" s="1"/>
      <c r="JH208" s="1"/>
      <c r="JI208" s="1"/>
      <c r="JJ208" s="1"/>
      <c r="JK208" s="1"/>
      <c r="JL208" s="1"/>
      <c r="JM208" s="1"/>
      <c r="JN208" s="1"/>
      <c r="JO208" s="1"/>
      <c r="JP208" s="1"/>
      <c r="JQ208" s="1"/>
      <c r="JR208" s="1"/>
      <c r="JS208" s="1"/>
      <c r="JT208" s="1"/>
      <c r="JU208" s="1"/>
      <c r="JV208" s="1"/>
      <c r="JW208" s="1"/>
      <c r="JX208" s="1"/>
      <c r="JY208" s="1"/>
      <c r="JZ208" s="1"/>
      <c r="KA208" s="1"/>
      <c r="KB208" s="1"/>
      <c r="KC208" s="1"/>
      <c r="KD208" s="1"/>
      <c r="KE208" s="1"/>
      <c r="KF208" s="1"/>
      <c r="KG208" s="1"/>
      <c r="KH208" s="1"/>
      <c r="KI208" s="1"/>
      <c r="KJ208" s="1"/>
      <c r="KK208" s="1"/>
      <c r="KL208" s="1"/>
      <c r="KM208" s="1"/>
      <c r="KN208" s="1"/>
      <c r="KO208" s="1"/>
      <c r="KP208" s="1"/>
      <c r="KQ208" s="1"/>
      <c r="KR208" s="1"/>
      <c r="KS208" s="1"/>
      <c r="KT208" s="1"/>
      <c r="KU208" s="1"/>
      <c r="KV208" s="1"/>
      <c r="KW208" s="1"/>
      <c r="KX208" s="1"/>
      <c r="KY208" s="1"/>
      <c r="KZ208" s="1"/>
      <c r="LA208" s="1"/>
      <c r="LB208" s="1"/>
      <c r="LC208" s="1"/>
      <c r="LD208" s="1"/>
      <c r="LE208" s="1"/>
      <c r="LF208" s="1"/>
      <c r="LG208" s="1"/>
      <c r="LH208" s="1"/>
      <c r="LI208" s="1"/>
      <c r="LJ208" s="1"/>
      <c r="LK208" s="1"/>
      <c r="LL208" s="1"/>
      <c r="LM208" s="1"/>
      <c r="LN208" s="1"/>
      <c r="LO208" s="1"/>
      <c r="LP208" s="1"/>
      <c r="LQ208" s="1"/>
      <c r="LR208" s="1"/>
      <c r="LS208" s="1"/>
    </row>
    <row r="209" spans="1:331" s="3" customFormat="1" x14ac:dyDescent="0.25">
      <c r="A209" s="3" t="s">
        <v>834</v>
      </c>
      <c r="B209" s="5" t="s">
        <v>835</v>
      </c>
      <c r="C209" s="13" t="s">
        <v>2074</v>
      </c>
      <c r="D209" s="3">
        <v>0</v>
      </c>
      <c r="H209" s="3" t="s">
        <v>836</v>
      </c>
      <c r="I209" s="3" t="s">
        <v>837</v>
      </c>
      <c r="J209" s="3" t="s">
        <v>832</v>
      </c>
      <c r="K209" s="3" t="s">
        <v>836</v>
      </c>
      <c r="L209" s="3">
        <v>1</v>
      </c>
      <c r="M209" s="3" t="s">
        <v>838</v>
      </c>
      <c r="O209" s="3">
        <v>1</v>
      </c>
      <c r="P209" s="3" t="s">
        <v>839</v>
      </c>
      <c r="Q209" s="1" t="s">
        <v>1608</v>
      </c>
      <c r="R209" s="1"/>
      <c r="S209" s="3">
        <v>17</v>
      </c>
      <c r="U209" s="3">
        <v>18</v>
      </c>
      <c r="W209" s="1">
        <v>17</v>
      </c>
      <c r="X209" s="1">
        <v>19</v>
      </c>
      <c r="Y209" s="1" t="s">
        <v>2337</v>
      </c>
      <c r="Z209" s="3">
        <v>1</v>
      </c>
      <c r="AA209" s="1" t="b">
        <v>1</v>
      </c>
      <c r="AB209" s="1"/>
      <c r="AC209" s="57" t="s">
        <v>1398</v>
      </c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  <c r="IY209" s="1"/>
      <c r="IZ209" s="1"/>
      <c r="JA209" s="1"/>
      <c r="JB209" s="1"/>
      <c r="JC209" s="1"/>
      <c r="JD209" s="1"/>
      <c r="JE209" s="1"/>
      <c r="JF209" s="1"/>
      <c r="JG209" s="1"/>
      <c r="JH209" s="1"/>
      <c r="JI209" s="1"/>
      <c r="JJ209" s="1"/>
      <c r="JK209" s="1"/>
      <c r="JL209" s="1"/>
      <c r="JM209" s="1"/>
      <c r="JN209" s="1"/>
      <c r="JO209" s="1"/>
      <c r="JP209" s="1"/>
      <c r="JQ209" s="1"/>
      <c r="JR209" s="1"/>
      <c r="JS209" s="1"/>
      <c r="JT209" s="1"/>
      <c r="JU209" s="1"/>
      <c r="JV209" s="1"/>
      <c r="JW209" s="1"/>
      <c r="JX209" s="1"/>
      <c r="JY209" s="1"/>
      <c r="JZ209" s="1"/>
      <c r="KA209" s="1"/>
      <c r="KB209" s="1"/>
      <c r="KC209" s="1"/>
      <c r="KD209" s="1"/>
      <c r="KE209" s="1"/>
      <c r="KF209" s="1"/>
      <c r="KG209" s="1"/>
      <c r="KH209" s="1"/>
      <c r="KI209" s="1"/>
      <c r="KJ209" s="1"/>
      <c r="KK209" s="1"/>
      <c r="KL209" s="1"/>
      <c r="KM209" s="1"/>
      <c r="KN209" s="1"/>
      <c r="KO209" s="1"/>
      <c r="KP209" s="1"/>
      <c r="KQ209" s="1"/>
      <c r="KR209" s="1"/>
      <c r="KS209" s="1"/>
      <c r="KT209" s="1"/>
      <c r="KU209" s="1"/>
      <c r="KV209" s="1"/>
      <c r="KW209" s="1"/>
      <c r="KX209" s="1"/>
      <c r="KY209" s="1"/>
      <c r="KZ209" s="1"/>
      <c r="LA209" s="1"/>
      <c r="LB209" s="1"/>
      <c r="LC209" s="1"/>
      <c r="LD209" s="1"/>
      <c r="LE209" s="1"/>
      <c r="LF209" s="1"/>
      <c r="LG209" s="1"/>
      <c r="LH209" s="1"/>
      <c r="LI209" s="1"/>
      <c r="LJ209" s="1"/>
      <c r="LK209" s="1"/>
      <c r="LL209" s="1"/>
      <c r="LM209" s="1"/>
      <c r="LN209" s="1"/>
      <c r="LO209" s="1"/>
      <c r="LP209" s="1"/>
      <c r="LQ209" s="1"/>
      <c r="LR209" s="1"/>
      <c r="LS209" s="1"/>
    </row>
    <row r="210" spans="1:331" s="25" customFormat="1" x14ac:dyDescent="0.25">
      <c r="A210" s="25" t="s">
        <v>840</v>
      </c>
      <c r="B210" s="29" t="s">
        <v>841</v>
      </c>
      <c r="C210" s="13" t="s">
        <v>2074</v>
      </c>
      <c r="D210" s="25">
        <v>0</v>
      </c>
      <c r="H210" s="25" t="s">
        <v>842</v>
      </c>
      <c r="I210" s="25" t="s">
        <v>843</v>
      </c>
      <c r="J210" s="25" t="s">
        <v>839</v>
      </c>
      <c r="K210" s="25" t="s">
        <v>843</v>
      </c>
      <c r="L210" s="25">
        <v>0</v>
      </c>
      <c r="O210" s="25">
        <v>0</v>
      </c>
      <c r="Q210" s="1" t="s">
        <v>1609</v>
      </c>
      <c r="R210" s="1"/>
      <c r="T210" s="25">
        <v>4</v>
      </c>
      <c r="V210" s="25">
        <v>5</v>
      </c>
      <c r="W210" s="1">
        <v>4</v>
      </c>
      <c r="X210" s="1">
        <v>9</v>
      </c>
      <c r="Y210" s="1" t="s">
        <v>2338</v>
      </c>
      <c r="Z210" s="25">
        <v>5</v>
      </c>
      <c r="AA210" s="1" t="b">
        <v>1</v>
      </c>
      <c r="AB210" s="1"/>
      <c r="AC210" s="57" t="s">
        <v>1313</v>
      </c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  <c r="IY210" s="1"/>
      <c r="IZ210" s="1"/>
      <c r="JA210" s="1"/>
      <c r="JB210" s="1"/>
      <c r="JC210" s="1"/>
      <c r="JD210" s="1"/>
      <c r="JE210" s="1"/>
      <c r="JF210" s="1"/>
      <c r="JG210" s="1"/>
      <c r="JH210" s="1"/>
      <c r="JI210" s="1"/>
      <c r="JJ210" s="1"/>
      <c r="JK210" s="1"/>
      <c r="JL210" s="1"/>
      <c r="JM210" s="1"/>
      <c r="JN210" s="1"/>
      <c r="JO210" s="1"/>
      <c r="JP210" s="1"/>
      <c r="JQ210" s="1"/>
      <c r="JR210" s="1"/>
      <c r="JS210" s="1"/>
      <c r="JT210" s="1"/>
      <c r="JU210" s="1"/>
      <c r="JV210" s="1"/>
      <c r="JW210" s="1"/>
      <c r="JX210" s="1"/>
      <c r="JY210" s="1"/>
      <c r="JZ210" s="1"/>
      <c r="KA210" s="1"/>
      <c r="KB210" s="1"/>
      <c r="KC210" s="1"/>
      <c r="KD210" s="1"/>
      <c r="KE210" s="1"/>
      <c r="KF210" s="1"/>
      <c r="KG210" s="1"/>
      <c r="KH210" s="1"/>
      <c r="KI210" s="1"/>
      <c r="KJ210" s="1"/>
      <c r="KK210" s="1"/>
      <c r="KL210" s="1"/>
      <c r="KM210" s="1"/>
      <c r="KN210" s="1"/>
      <c r="KO210" s="1"/>
      <c r="KP210" s="1"/>
      <c r="KQ210" s="1"/>
      <c r="KR210" s="1"/>
      <c r="KS210" s="1"/>
      <c r="KT210" s="1"/>
      <c r="KU210" s="1"/>
      <c r="KV210" s="1"/>
      <c r="KW210" s="1"/>
      <c r="KX210" s="1"/>
      <c r="KY210" s="1"/>
      <c r="KZ210" s="1"/>
      <c r="LA210" s="1"/>
      <c r="LB210" s="1"/>
      <c r="LC210" s="1"/>
      <c r="LD210" s="1"/>
      <c r="LE210" s="1"/>
      <c r="LF210" s="1"/>
      <c r="LG210" s="1"/>
      <c r="LH210" s="1"/>
      <c r="LI210" s="1"/>
      <c r="LJ210" s="1"/>
      <c r="LK210" s="1"/>
      <c r="LL210" s="1"/>
      <c r="LM210" s="1"/>
      <c r="LN210" s="1"/>
      <c r="LO210" s="1"/>
      <c r="LP210" s="1"/>
      <c r="LQ210" s="1"/>
      <c r="LR210" s="1"/>
      <c r="LS210" s="1"/>
    </row>
    <row r="211" spans="1:331" s="40" customFormat="1" x14ac:dyDescent="0.25">
      <c r="A211" s="40" t="s">
        <v>844</v>
      </c>
      <c r="B211" s="44" t="s">
        <v>845</v>
      </c>
      <c r="C211" s="13" t="s">
        <v>2074</v>
      </c>
      <c r="D211" s="40">
        <v>0</v>
      </c>
      <c r="H211" s="40" t="s">
        <v>846</v>
      </c>
      <c r="I211" s="40" t="s">
        <v>596</v>
      </c>
      <c r="J211" s="40" t="s">
        <v>846</v>
      </c>
      <c r="K211" s="40" t="s">
        <v>2126</v>
      </c>
      <c r="L211" s="40">
        <v>0</v>
      </c>
      <c r="O211" s="40">
        <v>1</v>
      </c>
      <c r="P211" s="40" t="s">
        <v>847</v>
      </c>
      <c r="Q211" s="1" t="s">
        <v>1610</v>
      </c>
      <c r="R211" s="1"/>
      <c r="T211" s="40">
        <v>22</v>
      </c>
      <c r="V211" s="40">
        <v>20</v>
      </c>
      <c r="W211" s="1">
        <v>22</v>
      </c>
      <c r="X211" s="1">
        <v>22</v>
      </c>
      <c r="Y211" s="1" t="s">
        <v>2339</v>
      </c>
      <c r="Z211" s="40">
        <v>8</v>
      </c>
      <c r="AA211" s="1" t="b">
        <v>1</v>
      </c>
      <c r="AB211" s="1"/>
      <c r="AC211" s="57" t="s">
        <v>1459</v>
      </c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  <c r="IY211" s="1"/>
      <c r="IZ211" s="1"/>
      <c r="JA211" s="1"/>
      <c r="JB211" s="1"/>
      <c r="JC211" s="1"/>
      <c r="JD211" s="1"/>
      <c r="JE211" s="1"/>
      <c r="JF211" s="1"/>
      <c r="JG211" s="1"/>
      <c r="JH211" s="1"/>
      <c r="JI211" s="1"/>
      <c r="JJ211" s="1"/>
      <c r="JK211" s="1"/>
      <c r="JL211" s="1"/>
      <c r="JM211" s="1"/>
      <c r="JN211" s="1"/>
      <c r="JO211" s="1"/>
      <c r="JP211" s="1"/>
      <c r="JQ211" s="1"/>
      <c r="JR211" s="1"/>
      <c r="JS211" s="1"/>
      <c r="JT211" s="1"/>
      <c r="JU211" s="1"/>
      <c r="JV211" s="1"/>
      <c r="JW211" s="1"/>
      <c r="JX211" s="1"/>
      <c r="JY211" s="1"/>
      <c r="JZ211" s="1"/>
      <c r="KA211" s="1"/>
      <c r="KB211" s="1"/>
      <c r="KC211" s="1"/>
      <c r="KD211" s="1"/>
      <c r="KE211" s="1"/>
      <c r="KF211" s="1"/>
      <c r="KG211" s="1"/>
      <c r="KH211" s="1"/>
      <c r="KI211" s="1"/>
      <c r="KJ211" s="1"/>
      <c r="KK211" s="1"/>
      <c r="KL211" s="1"/>
      <c r="KM211" s="1"/>
      <c r="KN211" s="1"/>
      <c r="KO211" s="1"/>
      <c r="KP211" s="1"/>
      <c r="KQ211" s="1"/>
      <c r="KR211" s="1"/>
      <c r="KS211" s="1"/>
      <c r="KT211" s="1"/>
      <c r="KU211" s="1"/>
      <c r="KV211" s="1"/>
      <c r="KW211" s="1"/>
      <c r="KX211" s="1"/>
      <c r="KY211" s="1"/>
      <c r="KZ211" s="1"/>
      <c r="LA211" s="1"/>
      <c r="LB211" s="1"/>
      <c r="LC211" s="1"/>
      <c r="LD211" s="1"/>
      <c r="LE211" s="1"/>
      <c r="LF211" s="1"/>
      <c r="LG211" s="1"/>
      <c r="LH211" s="1"/>
      <c r="LI211" s="1"/>
      <c r="LJ211" s="1"/>
      <c r="LK211" s="1"/>
      <c r="LL211" s="1"/>
      <c r="LM211" s="1"/>
      <c r="LN211" s="1"/>
      <c r="LO211" s="1"/>
      <c r="LP211" s="1"/>
      <c r="LQ211" s="1"/>
      <c r="LR211" s="1"/>
      <c r="LS211" s="1"/>
    </row>
    <row r="212" spans="1:331" s="40" customFormat="1" x14ac:dyDescent="0.25">
      <c r="A212" s="40" t="s">
        <v>848</v>
      </c>
      <c r="B212" s="44" t="s">
        <v>849</v>
      </c>
      <c r="C212" s="13" t="s">
        <v>2074</v>
      </c>
      <c r="D212" s="40">
        <v>0</v>
      </c>
      <c r="H212" s="40" t="s">
        <v>850</v>
      </c>
      <c r="I212" s="40" t="s">
        <v>851</v>
      </c>
      <c r="J212" s="40" t="s">
        <v>850</v>
      </c>
      <c r="K212" s="40" t="s">
        <v>850</v>
      </c>
      <c r="L212" s="40">
        <v>0</v>
      </c>
      <c r="O212" s="40">
        <v>1</v>
      </c>
      <c r="P212" s="40" t="s">
        <v>852</v>
      </c>
      <c r="Q212" s="1" t="s">
        <v>851</v>
      </c>
      <c r="R212" s="1"/>
      <c r="T212" s="40">
        <v>9</v>
      </c>
      <c r="V212" s="40">
        <v>10</v>
      </c>
      <c r="W212" s="1">
        <v>9</v>
      </c>
      <c r="X212" s="1">
        <v>18</v>
      </c>
      <c r="Y212" s="1" t="s">
        <v>2340</v>
      </c>
      <c r="Z212" s="40">
        <v>8</v>
      </c>
      <c r="AA212" s="1" t="b">
        <v>0</v>
      </c>
      <c r="AB212" s="1"/>
      <c r="AC212" s="57" t="s">
        <v>1950</v>
      </c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  <c r="IY212" s="1"/>
      <c r="IZ212" s="1"/>
      <c r="JA212" s="1"/>
      <c r="JB212" s="1"/>
      <c r="JC212" s="1"/>
      <c r="JD212" s="1"/>
      <c r="JE212" s="1"/>
      <c r="JF212" s="1"/>
      <c r="JG212" s="1"/>
      <c r="JH212" s="1"/>
      <c r="JI212" s="1"/>
      <c r="JJ212" s="1"/>
      <c r="JK212" s="1"/>
      <c r="JL212" s="1"/>
      <c r="JM212" s="1"/>
      <c r="JN212" s="1"/>
      <c r="JO212" s="1"/>
      <c r="JP212" s="1"/>
      <c r="JQ212" s="1"/>
      <c r="JR212" s="1"/>
      <c r="JS212" s="1"/>
      <c r="JT212" s="1"/>
      <c r="JU212" s="1"/>
      <c r="JV212" s="1"/>
      <c r="JW212" s="1"/>
      <c r="JX212" s="1"/>
      <c r="JY212" s="1"/>
      <c r="JZ212" s="1"/>
      <c r="KA212" s="1"/>
      <c r="KB212" s="1"/>
      <c r="KC212" s="1"/>
      <c r="KD212" s="1"/>
      <c r="KE212" s="1"/>
      <c r="KF212" s="1"/>
      <c r="KG212" s="1"/>
      <c r="KH212" s="1"/>
      <c r="KI212" s="1"/>
      <c r="KJ212" s="1"/>
      <c r="KK212" s="1"/>
      <c r="KL212" s="1"/>
      <c r="KM212" s="1"/>
      <c r="KN212" s="1"/>
      <c r="KO212" s="1"/>
      <c r="KP212" s="1"/>
      <c r="KQ212" s="1"/>
      <c r="KR212" s="1"/>
      <c r="KS212" s="1"/>
      <c r="KT212" s="1"/>
      <c r="KU212" s="1"/>
      <c r="KV212" s="1"/>
      <c r="KW212" s="1"/>
      <c r="KX212" s="1"/>
      <c r="KY212" s="1"/>
      <c r="KZ212" s="1"/>
      <c r="LA212" s="1"/>
      <c r="LB212" s="1"/>
      <c r="LC212" s="1"/>
      <c r="LD212" s="1"/>
      <c r="LE212" s="1"/>
      <c r="LF212" s="1"/>
      <c r="LG212" s="1"/>
      <c r="LH212" s="1"/>
      <c r="LI212" s="1"/>
      <c r="LJ212" s="1"/>
      <c r="LK212" s="1"/>
      <c r="LL212" s="1"/>
      <c r="LM212" s="1"/>
      <c r="LN212" s="1"/>
      <c r="LO212" s="1"/>
      <c r="LP212" s="1"/>
      <c r="LQ212" s="1"/>
      <c r="LR212" s="1"/>
      <c r="LS212" s="1"/>
    </row>
    <row r="213" spans="1:331" s="25" customFormat="1" x14ac:dyDescent="0.25">
      <c r="A213" s="25" t="s">
        <v>853</v>
      </c>
      <c r="B213" s="29" t="s">
        <v>854</v>
      </c>
      <c r="C213" s="13" t="s">
        <v>2074</v>
      </c>
      <c r="D213" s="25">
        <v>0</v>
      </c>
      <c r="H213" s="25" t="s">
        <v>855</v>
      </c>
      <c r="I213" s="25" t="s">
        <v>856</v>
      </c>
      <c r="J213" s="25" t="s">
        <v>855</v>
      </c>
      <c r="K213" s="25" t="s">
        <v>856</v>
      </c>
      <c r="L213" s="25">
        <v>0</v>
      </c>
      <c r="O213" s="25">
        <v>0</v>
      </c>
      <c r="Q213" s="1" t="s">
        <v>1137</v>
      </c>
      <c r="R213" s="1"/>
      <c r="S213" s="25">
        <v>12</v>
      </c>
      <c r="U213" s="25">
        <v>9</v>
      </c>
      <c r="W213" s="1">
        <v>12</v>
      </c>
      <c r="X213" s="1">
        <v>11</v>
      </c>
      <c r="Y213" s="1" t="s">
        <v>2341</v>
      </c>
      <c r="Z213" s="25">
        <v>5</v>
      </c>
      <c r="AA213" s="1" t="b">
        <v>1</v>
      </c>
      <c r="AB213" s="1"/>
      <c r="AC213" s="57" t="s">
        <v>1314</v>
      </c>
      <c r="AD213" s="1" t="b">
        <v>1</v>
      </c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  <c r="IY213" s="1"/>
      <c r="IZ213" s="1"/>
      <c r="JA213" s="1"/>
      <c r="JB213" s="1"/>
      <c r="JC213" s="1"/>
      <c r="JD213" s="1"/>
      <c r="JE213" s="1"/>
      <c r="JF213" s="1"/>
      <c r="JG213" s="1"/>
      <c r="JH213" s="1"/>
      <c r="JI213" s="1"/>
      <c r="JJ213" s="1"/>
      <c r="JK213" s="1"/>
      <c r="JL213" s="1"/>
      <c r="JM213" s="1"/>
      <c r="JN213" s="1"/>
      <c r="JO213" s="1"/>
      <c r="JP213" s="1"/>
      <c r="JQ213" s="1"/>
      <c r="JR213" s="1"/>
      <c r="JS213" s="1"/>
      <c r="JT213" s="1"/>
      <c r="JU213" s="1"/>
      <c r="JV213" s="1"/>
      <c r="JW213" s="1"/>
      <c r="JX213" s="1"/>
      <c r="JY213" s="1"/>
      <c r="JZ213" s="1"/>
      <c r="KA213" s="1"/>
      <c r="KB213" s="1"/>
      <c r="KC213" s="1"/>
      <c r="KD213" s="1"/>
      <c r="KE213" s="1"/>
      <c r="KF213" s="1"/>
      <c r="KG213" s="1"/>
      <c r="KH213" s="1"/>
      <c r="KI213" s="1"/>
      <c r="KJ213" s="1"/>
      <c r="KK213" s="1"/>
      <c r="KL213" s="1"/>
      <c r="KM213" s="1"/>
      <c r="KN213" s="1"/>
      <c r="KO213" s="1"/>
      <c r="KP213" s="1"/>
      <c r="KQ213" s="1"/>
      <c r="KR213" s="1"/>
      <c r="KS213" s="1"/>
      <c r="KT213" s="1"/>
      <c r="KU213" s="1"/>
      <c r="KV213" s="1"/>
      <c r="KW213" s="1"/>
      <c r="KX213" s="1"/>
      <c r="KY213" s="1"/>
      <c r="KZ213" s="1"/>
      <c r="LA213" s="1"/>
      <c r="LB213" s="1"/>
      <c r="LC213" s="1"/>
      <c r="LD213" s="1"/>
      <c r="LE213" s="1"/>
      <c r="LF213" s="1"/>
      <c r="LG213" s="1"/>
      <c r="LH213" s="1"/>
      <c r="LI213" s="1"/>
      <c r="LJ213" s="1"/>
      <c r="LK213" s="1"/>
      <c r="LL213" s="1"/>
      <c r="LM213" s="1"/>
      <c r="LN213" s="1"/>
      <c r="LO213" s="1"/>
      <c r="LP213" s="1"/>
      <c r="LQ213" s="1"/>
      <c r="LR213" s="1"/>
      <c r="LS213" s="1"/>
    </row>
    <row r="214" spans="1:331" s="25" customFormat="1" x14ac:dyDescent="0.25">
      <c r="A214" s="25" t="s">
        <v>857</v>
      </c>
      <c r="B214" s="29" t="s">
        <v>858</v>
      </c>
      <c r="C214" s="13" t="s">
        <v>2074</v>
      </c>
      <c r="D214" s="25">
        <v>0</v>
      </c>
      <c r="H214" s="25" t="s">
        <v>859</v>
      </c>
      <c r="I214" s="25" t="s">
        <v>81</v>
      </c>
      <c r="J214" s="25" t="s">
        <v>859</v>
      </c>
      <c r="K214" s="25" t="s">
        <v>81</v>
      </c>
      <c r="L214" s="25">
        <v>0</v>
      </c>
      <c r="O214" s="25">
        <v>0</v>
      </c>
      <c r="Q214" s="1" t="s">
        <v>1611</v>
      </c>
      <c r="R214" s="1"/>
      <c r="S214" s="25">
        <v>9</v>
      </c>
      <c r="U214" s="25">
        <v>10</v>
      </c>
      <c r="W214" s="1">
        <v>9</v>
      </c>
      <c r="X214" s="1">
        <v>12</v>
      </c>
      <c r="Y214" s="1" t="s">
        <v>2342</v>
      </c>
      <c r="Z214" s="25">
        <v>5</v>
      </c>
      <c r="AA214" s="1" t="b">
        <v>1</v>
      </c>
      <c r="AB214" s="1"/>
      <c r="AC214" s="57" t="s">
        <v>1311</v>
      </c>
      <c r="AD214" s="1" t="b">
        <v>1</v>
      </c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  <c r="IY214" s="1"/>
      <c r="IZ214" s="1"/>
      <c r="JA214" s="1"/>
      <c r="JB214" s="1"/>
      <c r="JC214" s="1"/>
      <c r="JD214" s="1"/>
      <c r="JE214" s="1"/>
      <c r="JF214" s="1"/>
      <c r="JG214" s="1"/>
      <c r="JH214" s="1"/>
      <c r="JI214" s="1"/>
      <c r="JJ214" s="1"/>
      <c r="JK214" s="1"/>
      <c r="JL214" s="1"/>
      <c r="JM214" s="1"/>
      <c r="JN214" s="1"/>
      <c r="JO214" s="1"/>
      <c r="JP214" s="1"/>
      <c r="JQ214" s="1"/>
      <c r="JR214" s="1"/>
      <c r="JS214" s="1"/>
      <c r="JT214" s="1"/>
      <c r="JU214" s="1"/>
      <c r="JV214" s="1"/>
      <c r="JW214" s="1"/>
      <c r="JX214" s="1"/>
      <c r="JY214" s="1"/>
      <c r="JZ214" s="1"/>
      <c r="KA214" s="1"/>
      <c r="KB214" s="1"/>
      <c r="KC214" s="1"/>
      <c r="KD214" s="1"/>
      <c r="KE214" s="1"/>
      <c r="KF214" s="1"/>
      <c r="KG214" s="1"/>
      <c r="KH214" s="1"/>
      <c r="KI214" s="1"/>
      <c r="KJ214" s="1"/>
      <c r="KK214" s="1"/>
      <c r="KL214" s="1"/>
      <c r="KM214" s="1"/>
      <c r="KN214" s="1"/>
      <c r="KO214" s="1"/>
      <c r="KP214" s="1"/>
      <c r="KQ214" s="1"/>
      <c r="KR214" s="1"/>
      <c r="KS214" s="1"/>
      <c r="KT214" s="1"/>
      <c r="KU214" s="1"/>
      <c r="KV214" s="1"/>
      <c r="KW214" s="1"/>
      <c r="KX214" s="1"/>
      <c r="KY214" s="1"/>
      <c r="KZ214" s="1"/>
      <c r="LA214" s="1"/>
      <c r="LB214" s="1"/>
      <c r="LC214" s="1"/>
      <c r="LD214" s="1"/>
      <c r="LE214" s="1"/>
      <c r="LF214" s="1"/>
      <c r="LG214" s="1"/>
      <c r="LH214" s="1"/>
      <c r="LI214" s="1"/>
      <c r="LJ214" s="1"/>
      <c r="LK214" s="1"/>
      <c r="LL214" s="1"/>
      <c r="LM214" s="1"/>
      <c r="LN214" s="1"/>
      <c r="LO214" s="1"/>
      <c r="LP214" s="1"/>
      <c r="LQ214" s="1"/>
      <c r="LR214" s="1"/>
      <c r="LS214" s="1"/>
    </row>
    <row r="215" spans="1:331" s="25" customFormat="1" x14ac:dyDescent="0.25">
      <c r="A215" s="25" t="s">
        <v>860</v>
      </c>
      <c r="B215" s="29" t="s">
        <v>861</v>
      </c>
      <c r="C215" s="13" t="s">
        <v>2074</v>
      </c>
      <c r="D215" s="25">
        <v>0</v>
      </c>
      <c r="H215" s="25" t="s">
        <v>862</v>
      </c>
      <c r="I215" s="25" t="s">
        <v>862</v>
      </c>
      <c r="J215" s="25" t="s">
        <v>862</v>
      </c>
      <c r="K215" s="25" t="s">
        <v>862</v>
      </c>
      <c r="L215" s="25">
        <v>0</v>
      </c>
      <c r="O215" s="25">
        <v>0</v>
      </c>
      <c r="Q215" s="1" t="s">
        <v>82</v>
      </c>
      <c r="R215" s="1"/>
      <c r="T215" s="25">
        <v>9</v>
      </c>
      <c r="V215" s="25">
        <v>11</v>
      </c>
      <c r="W215" s="1">
        <v>9</v>
      </c>
      <c r="X215" s="1">
        <v>10</v>
      </c>
      <c r="Y215" s="1" t="s">
        <v>2343</v>
      </c>
      <c r="Z215" s="25">
        <v>5</v>
      </c>
      <c r="AA215" s="1" t="b">
        <v>1</v>
      </c>
      <c r="AB215" s="1"/>
      <c r="AC215" s="57" t="s">
        <v>1361</v>
      </c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  <c r="IX215" s="1"/>
      <c r="IY215" s="1"/>
      <c r="IZ215" s="1"/>
      <c r="JA215" s="1"/>
      <c r="JB215" s="1"/>
      <c r="JC215" s="1"/>
      <c r="JD215" s="1"/>
      <c r="JE215" s="1"/>
      <c r="JF215" s="1"/>
      <c r="JG215" s="1"/>
      <c r="JH215" s="1"/>
      <c r="JI215" s="1"/>
      <c r="JJ215" s="1"/>
      <c r="JK215" s="1"/>
      <c r="JL215" s="1"/>
      <c r="JM215" s="1"/>
      <c r="JN215" s="1"/>
      <c r="JO215" s="1"/>
      <c r="JP215" s="1"/>
      <c r="JQ215" s="1"/>
      <c r="JR215" s="1"/>
      <c r="JS215" s="1"/>
      <c r="JT215" s="1"/>
      <c r="JU215" s="1"/>
      <c r="JV215" s="1"/>
      <c r="JW215" s="1"/>
      <c r="JX215" s="1"/>
      <c r="JY215" s="1"/>
      <c r="JZ215" s="1"/>
      <c r="KA215" s="1"/>
      <c r="KB215" s="1"/>
      <c r="KC215" s="1"/>
      <c r="KD215" s="1"/>
      <c r="KE215" s="1"/>
      <c r="KF215" s="1"/>
      <c r="KG215" s="1"/>
      <c r="KH215" s="1"/>
      <c r="KI215" s="1"/>
      <c r="KJ215" s="1"/>
      <c r="KK215" s="1"/>
      <c r="KL215" s="1"/>
      <c r="KM215" s="1"/>
      <c r="KN215" s="1"/>
      <c r="KO215" s="1"/>
      <c r="KP215" s="1"/>
      <c r="KQ215" s="1"/>
      <c r="KR215" s="1"/>
      <c r="KS215" s="1"/>
      <c r="KT215" s="1"/>
      <c r="KU215" s="1"/>
      <c r="KV215" s="1"/>
      <c r="KW215" s="1"/>
      <c r="KX215" s="1"/>
      <c r="KY215" s="1"/>
      <c r="KZ215" s="1"/>
      <c r="LA215" s="1"/>
      <c r="LB215" s="1"/>
      <c r="LC215" s="1"/>
      <c r="LD215" s="1"/>
      <c r="LE215" s="1"/>
      <c r="LF215" s="1"/>
      <c r="LG215" s="1"/>
      <c r="LH215" s="1"/>
      <c r="LI215" s="1"/>
      <c r="LJ215" s="1"/>
      <c r="LK215" s="1"/>
      <c r="LL215" s="1"/>
      <c r="LM215" s="1"/>
      <c r="LN215" s="1"/>
      <c r="LO215" s="1"/>
      <c r="LP215" s="1"/>
      <c r="LQ215" s="1"/>
      <c r="LR215" s="1"/>
      <c r="LS215" s="1"/>
    </row>
    <row r="216" spans="1:331" s="30" customFormat="1" x14ac:dyDescent="0.25">
      <c r="A216" s="30" t="s">
        <v>863</v>
      </c>
      <c r="B216" s="34" t="s">
        <v>864</v>
      </c>
      <c r="C216" s="13" t="s">
        <v>2074</v>
      </c>
      <c r="D216" s="30">
        <v>1</v>
      </c>
      <c r="E216" s="30" t="s">
        <v>82</v>
      </c>
      <c r="H216" s="30" t="s">
        <v>865</v>
      </c>
      <c r="I216" s="30" t="s">
        <v>82</v>
      </c>
      <c r="J216" s="30" t="s">
        <v>865</v>
      </c>
      <c r="K216" s="30" t="s">
        <v>2127</v>
      </c>
      <c r="L216" s="30">
        <v>0</v>
      </c>
      <c r="O216" s="30">
        <v>0</v>
      </c>
      <c r="Q216" s="1" t="s">
        <v>1612</v>
      </c>
      <c r="R216" s="1"/>
      <c r="S216" s="30">
        <v>7</v>
      </c>
      <c r="U216" s="30">
        <v>8</v>
      </c>
      <c r="W216" s="1">
        <v>7</v>
      </c>
      <c r="X216" s="1">
        <v>8</v>
      </c>
      <c r="Y216" s="1" t="s">
        <v>2344</v>
      </c>
      <c r="Z216" s="30">
        <v>6</v>
      </c>
      <c r="AA216" s="1" t="b">
        <v>1</v>
      </c>
      <c r="AB216" s="1"/>
      <c r="AC216" s="57" t="s">
        <v>1415</v>
      </c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  <c r="IY216" s="1"/>
      <c r="IZ216" s="1"/>
      <c r="JA216" s="1"/>
      <c r="JB216" s="1"/>
      <c r="JC216" s="1"/>
      <c r="JD216" s="1"/>
      <c r="JE216" s="1"/>
      <c r="JF216" s="1"/>
      <c r="JG216" s="1"/>
      <c r="JH216" s="1"/>
      <c r="JI216" s="1"/>
      <c r="JJ216" s="1"/>
      <c r="JK216" s="1"/>
      <c r="JL216" s="1"/>
      <c r="JM216" s="1"/>
      <c r="JN216" s="1"/>
      <c r="JO216" s="1"/>
      <c r="JP216" s="1"/>
      <c r="JQ216" s="1"/>
      <c r="JR216" s="1"/>
      <c r="JS216" s="1"/>
      <c r="JT216" s="1"/>
      <c r="JU216" s="1"/>
      <c r="JV216" s="1"/>
      <c r="JW216" s="1"/>
      <c r="JX216" s="1"/>
      <c r="JY216" s="1"/>
      <c r="JZ216" s="1"/>
      <c r="KA216" s="1"/>
      <c r="KB216" s="1"/>
      <c r="KC216" s="1"/>
      <c r="KD216" s="1"/>
      <c r="KE216" s="1"/>
      <c r="KF216" s="1"/>
      <c r="KG216" s="1"/>
      <c r="KH216" s="1"/>
      <c r="KI216" s="1"/>
      <c r="KJ216" s="1"/>
      <c r="KK216" s="1"/>
      <c r="KL216" s="1"/>
      <c r="KM216" s="1"/>
      <c r="KN216" s="1"/>
      <c r="KO216" s="1"/>
      <c r="KP216" s="1"/>
      <c r="KQ216" s="1"/>
      <c r="KR216" s="1"/>
      <c r="KS216" s="1"/>
      <c r="KT216" s="1"/>
      <c r="KU216" s="1"/>
      <c r="KV216" s="1"/>
      <c r="KW216" s="1"/>
      <c r="KX216" s="1"/>
      <c r="KY216" s="1"/>
      <c r="KZ216" s="1"/>
      <c r="LA216" s="1"/>
      <c r="LB216" s="1"/>
      <c r="LC216" s="1"/>
      <c r="LD216" s="1"/>
      <c r="LE216" s="1"/>
      <c r="LF216" s="1"/>
      <c r="LG216" s="1"/>
      <c r="LH216" s="1"/>
      <c r="LI216" s="1"/>
      <c r="LJ216" s="1"/>
      <c r="LK216" s="1"/>
      <c r="LL216" s="1"/>
      <c r="LM216" s="1"/>
      <c r="LN216" s="1"/>
      <c r="LO216" s="1"/>
      <c r="LP216" s="1"/>
      <c r="LQ216" s="1"/>
      <c r="LR216" s="1"/>
      <c r="LS216" s="1"/>
    </row>
    <row r="217" spans="1:331" s="3" customFormat="1" x14ac:dyDescent="0.25">
      <c r="A217" s="3" t="s">
        <v>866</v>
      </c>
      <c r="B217" s="5" t="s">
        <v>867</v>
      </c>
      <c r="C217" s="13" t="s">
        <v>2074</v>
      </c>
      <c r="D217" s="3">
        <v>0</v>
      </c>
      <c r="H217" s="3" t="s">
        <v>842</v>
      </c>
      <c r="I217" s="3" t="s">
        <v>868</v>
      </c>
      <c r="J217" s="82">
        <v>43892</v>
      </c>
      <c r="K217" s="82" t="s">
        <v>843</v>
      </c>
      <c r="L217" s="3">
        <v>1</v>
      </c>
      <c r="M217" s="82">
        <v>43907</v>
      </c>
      <c r="O217" s="3">
        <v>1</v>
      </c>
      <c r="P217" s="3" t="s">
        <v>595</v>
      </c>
      <c r="Q217" s="1" t="s">
        <v>1613</v>
      </c>
      <c r="R217" s="1"/>
      <c r="T217" s="3">
        <v>16</v>
      </c>
      <c r="V217" s="3">
        <v>14</v>
      </c>
      <c r="W217" s="1">
        <v>16</v>
      </c>
      <c r="X217" s="1">
        <v>18</v>
      </c>
      <c r="Y217" s="1" t="s">
        <v>2345</v>
      </c>
      <c r="Z217" s="3">
        <v>1</v>
      </c>
      <c r="AA217" s="1" t="b">
        <v>1</v>
      </c>
      <c r="AB217" s="1"/>
      <c r="AC217" s="57" t="s">
        <v>1661</v>
      </c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  <c r="IY217" s="1"/>
      <c r="IZ217" s="1"/>
      <c r="JA217" s="1"/>
      <c r="JB217" s="1"/>
      <c r="JC217" s="1"/>
      <c r="JD217" s="1"/>
      <c r="JE217" s="1"/>
      <c r="JF217" s="1"/>
      <c r="JG217" s="1"/>
      <c r="JH217" s="1"/>
      <c r="JI217" s="1"/>
      <c r="JJ217" s="1"/>
      <c r="JK217" s="1"/>
      <c r="JL217" s="1"/>
      <c r="JM217" s="1"/>
      <c r="JN217" s="1"/>
      <c r="JO217" s="1"/>
      <c r="JP217" s="1"/>
      <c r="JQ217" s="1"/>
      <c r="JR217" s="1"/>
      <c r="JS217" s="1"/>
      <c r="JT217" s="1"/>
      <c r="JU217" s="1"/>
      <c r="JV217" s="1"/>
      <c r="JW217" s="1"/>
      <c r="JX217" s="1"/>
      <c r="JY217" s="1"/>
      <c r="JZ217" s="1"/>
      <c r="KA217" s="1"/>
      <c r="KB217" s="1"/>
      <c r="KC217" s="1"/>
      <c r="KD217" s="1"/>
      <c r="KE217" s="1"/>
      <c r="KF217" s="1"/>
      <c r="KG217" s="1"/>
      <c r="KH217" s="1"/>
      <c r="KI217" s="1"/>
      <c r="KJ217" s="1"/>
      <c r="KK217" s="1"/>
      <c r="KL217" s="1"/>
      <c r="KM217" s="1"/>
      <c r="KN217" s="1"/>
      <c r="KO217" s="1"/>
      <c r="KP217" s="1"/>
      <c r="KQ217" s="1"/>
      <c r="KR217" s="1"/>
      <c r="KS217" s="1"/>
      <c r="KT217" s="1"/>
      <c r="KU217" s="1"/>
      <c r="KV217" s="1"/>
      <c r="KW217" s="1"/>
      <c r="KX217" s="1"/>
      <c r="KY217" s="1"/>
      <c r="KZ217" s="1"/>
      <c r="LA217" s="1"/>
      <c r="LB217" s="1"/>
      <c r="LC217" s="1"/>
      <c r="LD217" s="1"/>
      <c r="LE217" s="1"/>
      <c r="LF217" s="1"/>
      <c r="LG217" s="1"/>
      <c r="LH217" s="1"/>
      <c r="LI217" s="1"/>
      <c r="LJ217" s="1"/>
      <c r="LK217" s="1"/>
      <c r="LL217" s="1"/>
      <c r="LM217" s="1"/>
      <c r="LN217" s="1"/>
      <c r="LO217" s="1"/>
      <c r="LP217" s="1"/>
      <c r="LQ217" s="1"/>
      <c r="LR217" s="1"/>
      <c r="LS217" s="1"/>
    </row>
    <row r="218" spans="1:331" s="17" customFormat="1" x14ac:dyDescent="0.25">
      <c r="A218" s="17" t="s">
        <v>870</v>
      </c>
      <c r="B218" s="21" t="s">
        <v>871</v>
      </c>
      <c r="C218" s="13" t="s">
        <v>2074</v>
      </c>
      <c r="D218" s="17">
        <v>1</v>
      </c>
      <c r="E218" s="17" t="s">
        <v>872</v>
      </c>
      <c r="H218" s="17" t="s">
        <v>872</v>
      </c>
      <c r="I218" s="17" t="s">
        <v>872</v>
      </c>
      <c r="J218" s="17" t="s">
        <v>872</v>
      </c>
      <c r="K218" s="17" t="s">
        <v>872</v>
      </c>
      <c r="L218" s="17">
        <v>1</v>
      </c>
      <c r="M218" s="17" t="s">
        <v>873</v>
      </c>
      <c r="O218" s="17">
        <v>1</v>
      </c>
      <c r="P218" s="17" t="s">
        <v>874</v>
      </c>
      <c r="Q218" s="1" t="s">
        <v>869</v>
      </c>
      <c r="R218" s="1"/>
      <c r="S218" s="17">
        <v>8</v>
      </c>
      <c r="W218" s="1">
        <v>8</v>
      </c>
      <c r="X218" s="1">
        <v>7</v>
      </c>
      <c r="Y218" s="1" t="s">
        <v>2346</v>
      </c>
      <c r="Z218" s="17">
        <v>3</v>
      </c>
      <c r="AA218" s="1" t="b">
        <v>1</v>
      </c>
      <c r="AB218" s="1"/>
      <c r="AC218" s="57" t="s">
        <v>2146</v>
      </c>
      <c r="AD218" s="1" t="b">
        <v>1</v>
      </c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  <c r="IY218" s="1"/>
      <c r="IZ218" s="1"/>
      <c r="JA218" s="1"/>
      <c r="JB218" s="1"/>
      <c r="JC218" s="1"/>
      <c r="JD218" s="1"/>
      <c r="JE218" s="1"/>
      <c r="JF218" s="1"/>
      <c r="JG218" s="1"/>
      <c r="JH218" s="1"/>
      <c r="JI218" s="1"/>
      <c r="JJ218" s="1"/>
      <c r="JK218" s="1"/>
      <c r="JL218" s="1"/>
      <c r="JM218" s="1"/>
      <c r="JN218" s="1"/>
      <c r="JO218" s="1"/>
      <c r="JP218" s="1"/>
      <c r="JQ218" s="1"/>
      <c r="JR218" s="1"/>
      <c r="JS218" s="1"/>
      <c r="JT218" s="1"/>
      <c r="JU218" s="1"/>
      <c r="JV218" s="1"/>
      <c r="JW218" s="1"/>
      <c r="JX218" s="1"/>
      <c r="JY218" s="1"/>
      <c r="JZ218" s="1"/>
      <c r="KA218" s="1"/>
      <c r="KB218" s="1"/>
      <c r="KC218" s="1"/>
      <c r="KD218" s="1"/>
      <c r="KE218" s="1"/>
      <c r="KF218" s="1"/>
      <c r="KG218" s="1"/>
      <c r="KH218" s="1"/>
      <c r="KI218" s="1"/>
      <c r="KJ218" s="1"/>
      <c r="KK218" s="1"/>
      <c r="KL218" s="1"/>
      <c r="KM218" s="1"/>
      <c r="KN218" s="1"/>
      <c r="KO218" s="1"/>
      <c r="KP218" s="1"/>
      <c r="KQ218" s="1"/>
      <c r="KR218" s="1"/>
      <c r="KS218" s="1"/>
      <c r="KT218" s="1"/>
      <c r="KU218" s="1"/>
      <c r="KV218" s="1"/>
      <c r="KW218" s="1"/>
      <c r="KX218" s="1"/>
      <c r="KY218" s="1"/>
      <c r="KZ218" s="1"/>
      <c r="LA218" s="1"/>
      <c r="LB218" s="1"/>
      <c r="LC218" s="1"/>
      <c r="LD218" s="1"/>
      <c r="LE218" s="1"/>
      <c r="LF218" s="1"/>
      <c r="LG218" s="1"/>
      <c r="LH218" s="1"/>
      <c r="LI218" s="1"/>
      <c r="LJ218" s="1"/>
      <c r="LK218" s="1"/>
      <c r="LL218" s="1"/>
      <c r="LM218" s="1"/>
      <c r="LN218" s="1"/>
      <c r="LO218" s="1"/>
      <c r="LP218" s="1"/>
      <c r="LQ218" s="1"/>
      <c r="LR218" s="1"/>
      <c r="LS218" s="1"/>
    </row>
    <row r="219" spans="1:331" s="49" customFormat="1" x14ac:dyDescent="0.25">
      <c r="A219" s="49" t="s">
        <v>875</v>
      </c>
      <c r="B219" s="51" t="s">
        <v>876</v>
      </c>
      <c r="C219" s="13" t="s">
        <v>2074</v>
      </c>
      <c r="D219" s="49">
        <v>0</v>
      </c>
      <c r="H219" s="49" t="s">
        <v>92</v>
      </c>
      <c r="I219" s="49" t="s">
        <v>91</v>
      </c>
      <c r="J219" s="49" t="s">
        <v>92</v>
      </c>
      <c r="K219" s="49" t="s">
        <v>91</v>
      </c>
      <c r="L219" s="49">
        <v>0</v>
      </c>
      <c r="O219" s="49">
        <v>1</v>
      </c>
      <c r="Q219" s="1"/>
      <c r="R219" s="1" t="s">
        <v>877</v>
      </c>
      <c r="T219" s="49">
        <v>13</v>
      </c>
      <c r="V219" s="49">
        <v>12</v>
      </c>
      <c r="W219" s="1">
        <v>13</v>
      </c>
      <c r="X219" s="1">
        <v>21</v>
      </c>
      <c r="Y219" s="1" t="s">
        <v>2347</v>
      </c>
      <c r="Z219" s="49">
        <v>9</v>
      </c>
      <c r="AA219" s="1" t="b">
        <v>1</v>
      </c>
      <c r="AB219" s="1"/>
      <c r="AC219" s="57" t="s">
        <v>1456</v>
      </c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  <c r="IX219" s="1"/>
      <c r="IY219" s="1"/>
      <c r="IZ219" s="1"/>
      <c r="JA219" s="1"/>
      <c r="JB219" s="1"/>
      <c r="JC219" s="1"/>
      <c r="JD219" s="1"/>
      <c r="JE219" s="1"/>
      <c r="JF219" s="1"/>
      <c r="JG219" s="1"/>
      <c r="JH219" s="1"/>
      <c r="JI219" s="1"/>
      <c r="JJ219" s="1"/>
      <c r="JK219" s="1"/>
      <c r="JL219" s="1"/>
      <c r="JM219" s="1"/>
      <c r="JN219" s="1"/>
      <c r="JO219" s="1"/>
      <c r="JP219" s="1"/>
      <c r="JQ219" s="1"/>
      <c r="JR219" s="1"/>
      <c r="JS219" s="1"/>
      <c r="JT219" s="1"/>
      <c r="JU219" s="1"/>
      <c r="JV219" s="1"/>
      <c r="JW219" s="1"/>
      <c r="JX219" s="1"/>
      <c r="JY219" s="1"/>
      <c r="JZ219" s="1"/>
      <c r="KA219" s="1"/>
      <c r="KB219" s="1"/>
      <c r="KC219" s="1"/>
      <c r="KD219" s="1"/>
      <c r="KE219" s="1"/>
      <c r="KF219" s="1"/>
      <c r="KG219" s="1"/>
      <c r="KH219" s="1"/>
      <c r="KI219" s="1"/>
      <c r="KJ219" s="1"/>
      <c r="KK219" s="1"/>
      <c r="KL219" s="1"/>
      <c r="KM219" s="1"/>
      <c r="KN219" s="1"/>
      <c r="KO219" s="1"/>
      <c r="KP219" s="1"/>
      <c r="KQ219" s="1"/>
      <c r="KR219" s="1"/>
      <c r="KS219" s="1"/>
      <c r="KT219" s="1"/>
      <c r="KU219" s="1"/>
      <c r="KV219" s="1"/>
      <c r="KW219" s="1"/>
      <c r="KX219" s="1"/>
      <c r="KY219" s="1"/>
      <c r="KZ219" s="1"/>
      <c r="LA219" s="1"/>
      <c r="LB219" s="1"/>
      <c r="LC219" s="1"/>
      <c r="LD219" s="1"/>
      <c r="LE219" s="1"/>
      <c r="LF219" s="1"/>
      <c r="LG219" s="1"/>
      <c r="LH219" s="1"/>
      <c r="LI219" s="1"/>
      <c r="LJ219" s="1"/>
      <c r="LK219" s="1"/>
      <c r="LL219" s="1"/>
      <c r="LM219" s="1"/>
      <c r="LN219" s="1"/>
      <c r="LO219" s="1"/>
      <c r="LP219" s="1"/>
      <c r="LQ219" s="1"/>
      <c r="LR219" s="1"/>
      <c r="LS219" s="1"/>
    </row>
    <row r="220" spans="1:331" s="40" customFormat="1" x14ac:dyDescent="0.25">
      <c r="A220" s="40" t="s">
        <v>878</v>
      </c>
      <c r="B220" s="44" t="s">
        <v>879</v>
      </c>
      <c r="C220" s="13" t="s">
        <v>2074</v>
      </c>
      <c r="D220" s="40">
        <v>0</v>
      </c>
      <c r="H220" s="40" t="s">
        <v>95</v>
      </c>
      <c r="I220" s="40" t="s">
        <v>94</v>
      </c>
      <c r="J220" s="40" t="s">
        <v>95</v>
      </c>
      <c r="K220" s="40" t="s">
        <v>95</v>
      </c>
      <c r="L220" s="40">
        <v>0</v>
      </c>
      <c r="O220" s="40">
        <v>1</v>
      </c>
      <c r="P220" s="40" t="s">
        <v>150</v>
      </c>
      <c r="Q220" s="1" t="s">
        <v>1518</v>
      </c>
      <c r="R220" s="1"/>
      <c r="S220" s="40">
        <v>33</v>
      </c>
      <c r="U220" s="40">
        <v>34</v>
      </c>
      <c r="W220" s="1">
        <v>33</v>
      </c>
      <c r="X220" s="1">
        <v>19</v>
      </c>
      <c r="Y220" s="1" t="s">
        <v>2348</v>
      </c>
      <c r="Z220" s="40">
        <v>8</v>
      </c>
      <c r="AA220" s="1" t="b">
        <v>1</v>
      </c>
      <c r="AB220" s="1"/>
      <c r="AC220" s="57" t="s">
        <v>1457</v>
      </c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  <c r="IY220" s="1"/>
      <c r="IZ220" s="1"/>
      <c r="JA220" s="1"/>
      <c r="JB220" s="1"/>
      <c r="JC220" s="1"/>
      <c r="JD220" s="1"/>
      <c r="JE220" s="1"/>
      <c r="JF220" s="1"/>
      <c r="JG220" s="1"/>
      <c r="JH220" s="1"/>
      <c r="JI220" s="1"/>
      <c r="JJ220" s="1"/>
      <c r="JK220" s="1"/>
      <c r="JL220" s="1"/>
      <c r="JM220" s="1"/>
      <c r="JN220" s="1"/>
      <c r="JO220" s="1"/>
      <c r="JP220" s="1"/>
      <c r="JQ220" s="1"/>
      <c r="JR220" s="1"/>
      <c r="JS220" s="1"/>
      <c r="JT220" s="1"/>
      <c r="JU220" s="1"/>
      <c r="JV220" s="1"/>
      <c r="JW220" s="1"/>
      <c r="JX220" s="1"/>
      <c r="JY220" s="1"/>
      <c r="JZ220" s="1"/>
      <c r="KA220" s="1"/>
      <c r="KB220" s="1"/>
      <c r="KC220" s="1"/>
      <c r="KD220" s="1"/>
      <c r="KE220" s="1"/>
      <c r="KF220" s="1"/>
      <c r="KG220" s="1"/>
      <c r="KH220" s="1"/>
      <c r="KI220" s="1"/>
      <c r="KJ220" s="1"/>
      <c r="KK220" s="1"/>
      <c r="KL220" s="1"/>
      <c r="KM220" s="1"/>
      <c r="KN220" s="1"/>
      <c r="KO220" s="1"/>
      <c r="KP220" s="1"/>
      <c r="KQ220" s="1"/>
      <c r="KR220" s="1"/>
      <c r="KS220" s="1"/>
      <c r="KT220" s="1"/>
      <c r="KU220" s="1"/>
      <c r="KV220" s="1"/>
      <c r="KW220" s="1"/>
      <c r="KX220" s="1"/>
      <c r="KY220" s="1"/>
      <c r="KZ220" s="1"/>
      <c r="LA220" s="1"/>
      <c r="LB220" s="1"/>
      <c r="LC220" s="1"/>
      <c r="LD220" s="1"/>
      <c r="LE220" s="1"/>
      <c r="LF220" s="1"/>
      <c r="LG220" s="1"/>
      <c r="LH220" s="1"/>
      <c r="LI220" s="1"/>
      <c r="LJ220" s="1"/>
      <c r="LK220" s="1"/>
      <c r="LL220" s="1"/>
      <c r="LM220" s="1"/>
      <c r="LN220" s="1"/>
      <c r="LO220" s="1"/>
      <c r="LP220" s="1"/>
      <c r="LQ220" s="1"/>
      <c r="LR220" s="1"/>
      <c r="LS220" s="1"/>
    </row>
    <row r="221" spans="1:331" s="25" customFormat="1" x14ac:dyDescent="0.25">
      <c r="A221" s="25" t="s">
        <v>880</v>
      </c>
      <c r="B221" s="29" t="s">
        <v>881</v>
      </c>
      <c r="C221" s="13" t="s">
        <v>2074</v>
      </c>
      <c r="D221" s="25">
        <v>0</v>
      </c>
      <c r="H221" s="25" t="s">
        <v>88</v>
      </c>
      <c r="I221" s="25" t="s">
        <v>94</v>
      </c>
      <c r="J221" s="25" t="s">
        <v>88</v>
      </c>
      <c r="K221" s="25" t="s">
        <v>2128</v>
      </c>
      <c r="L221" s="25">
        <v>0</v>
      </c>
      <c r="O221" s="25">
        <v>0</v>
      </c>
      <c r="Q221" s="1" t="s">
        <v>1614</v>
      </c>
      <c r="R221" s="1"/>
      <c r="S221" s="25">
        <v>9</v>
      </c>
      <c r="U221" s="25">
        <v>9</v>
      </c>
      <c r="W221" s="1">
        <v>9</v>
      </c>
      <c r="X221" s="1">
        <v>13</v>
      </c>
      <c r="Y221" s="1" t="s">
        <v>2349</v>
      </c>
      <c r="Z221" s="25">
        <v>5</v>
      </c>
      <c r="AA221" s="1" t="b">
        <v>1</v>
      </c>
      <c r="AB221" s="1"/>
      <c r="AC221" s="57" t="s">
        <v>1311</v>
      </c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/>
      <c r="IY221" s="1"/>
      <c r="IZ221" s="1"/>
      <c r="JA221" s="1"/>
      <c r="JB221" s="1"/>
      <c r="JC221" s="1"/>
      <c r="JD221" s="1"/>
      <c r="JE221" s="1"/>
      <c r="JF221" s="1"/>
      <c r="JG221" s="1"/>
      <c r="JH221" s="1"/>
      <c r="JI221" s="1"/>
      <c r="JJ221" s="1"/>
      <c r="JK221" s="1"/>
      <c r="JL221" s="1"/>
      <c r="JM221" s="1"/>
      <c r="JN221" s="1"/>
      <c r="JO221" s="1"/>
      <c r="JP221" s="1"/>
      <c r="JQ221" s="1"/>
      <c r="JR221" s="1"/>
      <c r="JS221" s="1"/>
      <c r="JT221" s="1"/>
      <c r="JU221" s="1"/>
      <c r="JV221" s="1"/>
      <c r="JW221" s="1"/>
      <c r="JX221" s="1"/>
      <c r="JY221" s="1"/>
      <c r="JZ221" s="1"/>
      <c r="KA221" s="1"/>
      <c r="KB221" s="1"/>
      <c r="KC221" s="1"/>
      <c r="KD221" s="1"/>
      <c r="KE221" s="1"/>
      <c r="KF221" s="1"/>
      <c r="KG221" s="1"/>
      <c r="KH221" s="1"/>
      <c r="KI221" s="1"/>
      <c r="KJ221" s="1"/>
      <c r="KK221" s="1"/>
      <c r="KL221" s="1"/>
      <c r="KM221" s="1"/>
      <c r="KN221" s="1"/>
      <c r="KO221" s="1"/>
      <c r="KP221" s="1"/>
      <c r="KQ221" s="1"/>
      <c r="KR221" s="1"/>
      <c r="KS221" s="1"/>
      <c r="KT221" s="1"/>
      <c r="KU221" s="1"/>
      <c r="KV221" s="1"/>
      <c r="KW221" s="1"/>
      <c r="KX221" s="1"/>
      <c r="KY221" s="1"/>
      <c r="KZ221" s="1"/>
      <c r="LA221" s="1"/>
      <c r="LB221" s="1"/>
      <c r="LC221" s="1"/>
      <c r="LD221" s="1"/>
      <c r="LE221" s="1"/>
      <c r="LF221" s="1"/>
      <c r="LG221" s="1"/>
      <c r="LH221" s="1"/>
      <c r="LI221" s="1"/>
      <c r="LJ221" s="1"/>
      <c r="LK221" s="1"/>
      <c r="LL221" s="1"/>
      <c r="LM221" s="1"/>
      <c r="LN221" s="1"/>
      <c r="LO221" s="1"/>
      <c r="LP221" s="1"/>
      <c r="LQ221" s="1"/>
      <c r="LR221" s="1"/>
      <c r="LS221" s="1"/>
    </row>
    <row r="222" spans="1:331" s="25" customFormat="1" x14ac:dyDescent="0.25">
      <c r="A222" s="25" t="s">
        <v>882</v>
      </c>
      <c r="B222" s="29" t="s">
        <v>883</v>
      </c>
      <c r="C222" s="13" t="s">
        <v>2074</v>
      </c>
      <c r="D222" s="25">
        <v>0</v>
      </c>
      <c r="H222" s="25" t="s">
        <v>884</v>
      </c>
      <c r="I222" s="25" t="s">
        <v>884</v>
      </c>
      <c r="J222" s="25" t="s">
        <v>885</v>
      </c>
      <c r="K222" s="25" t="s">
        <v>884</v>
      </c>
      <c r="L222" s="25">
        <v>0</v>
      </c>
      <c r="O222" s="25">
        <v>0</v>
      </c>
      <c r="Q222" s="1" t="s">
        <v>893</v>
      </c>
      <c r="R222" s="1"/>
      <c r="T222" s="25">
        <v>6</v>
      </c>
      <c r="W222" s="1">
        <v>6</v>
      </c>
      <c r="X222" s="1">
        <v>15</v>
      </c>
      <c r="Y222" s="1" t="s">
        <v>2350</v>
      </c>
      <c r="Z222" s="25">
        <v>5</v>
      </c>
      <c r="AA222" s="1" t="b">
        <v>1</v>
      </c>
      <c r="AB222" s="1"/>
      <c r="AC222" s="57" t="s">
        <v>1386</v>
      </c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  <c r="IX222" s="1"/>
      <c r="IY222" s="1"/>
      <c r="IZ222" s="1"/>
      <c r="JA222" s="1"/>
      <c r="JB222" s="1"/>
      <c r="JC222" s="1"/>
      <c r="JD222" s="1"/>
      <c r="JE222" s="1"/>
      <c r="JF222" s="1"/>
      <c r="JG222" s="1"/>
      <c r="JH222" s="1"/>
      <c r="JI222" s="1"/>
      <c r="JJ222" s="1"/>
      <c r="JK222" s="1"/>
      <c r="JL222" s="1"/>
      <c r="JM222" s="1"/>
      <c r="JN222" s="1"/>
      <c r="JO222" s="1"/>
      <c r="JP222" s="1"/>
      <c r="JQ222" s="1"/>
      <c r="JR222" s="1"/>
      <c r="JS222" s="1"/>
      <c r="JT222" s="1"/>
      <c r="JU222" s="1"/>
      <c r="JV222" s="1"/>
      <c r="JW222" s="1"/>
      <c r="JX222" s="1"/>
      <c r="JY222" s="1"/>
      <c r="JZ222" s="1"/>
      <c r="KA222" s="1"/>
      <c r="KB222" s="1"/>
      <c r="KC222" s="1"/>
      <c r="KD222" s="1"/>
      <c r="KE222" s="1"/>
      <c r="KF222" s="1"/>
      <c r="KG222" s="1"/>
      <c r="KH222" s="1"/>
      <c r="KI222" s="1"/>
      <c r="KJ222" s="1"/>
      <c r="KK222" s="1"/>
      <c r="KL222" s="1"/>
      <c r="KM222" s="1"/>
      <c r="KN222" s="1"/>
      <c r="KO222" s="1"/>
      <c r="KP222" s="1"/>
      <c r="KQ222" s="1"/>
      <c r="KR222" s="1"/>
      <c r="KS222" s="1"/>
      <c r="KT222" s="1"/>
      <c r="KU222" s="1"/>
      <c r="KV222" s="1"/>
      <c r="KW222" s="1"/>
      <c r="KX222" s="1"/>
      <c r="KY222" s="1"/>
      <c r="KZ222" s="1"/>
      <c r="LA222" s="1"/>
      <c r="LB222" s="1"/>
      <c r="LC222" s="1"/>
      <c r="LD222" s="1"/>
      <c r="LE222" s="1"/>
      <c r="LF222" s="1"/>
      <c r="LG222" s="1"/>
      <c r="LH222" s="1"/>
      <c r="LI222" s="1"/>
      <c r="LJ222" s="1"/>
      <c r="LK222" s="1"/>
      <c r="LL222" s="1"/>
      <c r="LM222" s="1"/>
      <c r="LN222" s="1"/>
      <c r="LO222" s="1"/>
      <c r="LP222" s="1"/>
      <c r="LQ222" s="1"/>
      <c r="LR222" s="1"/>
      <c r="LS222" s="1"/>
    </row>
    <row r="223" spans="1:331" s="25" customFormat="1" x14ac:dyDescent="0.25">
      <c r="A223" s="25" t="s">
        <v>886</v>
      </c>
      <c r="B223" s="29" t="s">
        <v>887</v>
      </c>
      <c r="C223" s="13" t="s">
        <v>2074</v>
      </c>
      <c r="D223" s="25">
        <v>0</v>
      </c>
      <c r="H223" s="25" t="s">
        <v>888</v>
      </c>
      <c r="I223" s="25" t="s">
        <v>889</v>
      </c>
      <c r="J223" s="25" t="s">
        <v>888</v>
      </c>
      <c r="K223" s="25" t="s">
        <v>889</v>
      </c>
      <c r="L223" s="25">
        <v>0</v>
      </c>
      <c r="O223" s="25">
        <v>0</v>
      </c>
      <c r="Q223" s="1" t="s">
        <v>892</v>
      </c>
      <c r="R223" s="1"/>
      <c r="S223" s="25">
        <v>14</v>
      </c>
      <c r="U223" s="25">
        <v>11</v>
      </c>
      <c r="W223" s="1">
        <v>14</v>
      </c>
      <c r="X223" s="1">
        <v>10</v>
      </c>
      <c r="Y223" s="1" t="s">
        <v>2351</v>
      </c>
      <c r="Z223" s="25">
        <v>5</v>
      </c>
      <c r="AA223" s="1" t="b">
        <v>1</v>
      </c>
      <c r="AB223" s="1"/>
      <c r="AC223" s="57" t="s">
        <v>1387</v>
      </c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  <c r="IY223" s="1"/>
      <c r="IZ223" s="1"/>
      <c r="JA223" s="1"/>
      <c r="JB223" s="1"/>
      <c r="JC223" s="1"/>
      <c r="JD223" s="1"/>
      <c r="JE223" s="1"/>
      <c r="JF223" s="1"/>
      <c r="JG223" s="1"/>
      <c r="JH223" s="1"/>
      <c r="JI223" s="1"/>
      <c r="JJ223" s="1"/>
      <c r="JK223" s="1"/>
      <c r="JL223" s="1"/>
      <c r="JM223" s="1"/>
      <c r="JN223" s="1"/>
      <c r="JO223" s="1"/>
      <c r="JP223" s="1"/>
      <c r="JQ223" s="1"/>
      <c r="JR223" s="1"/>
      <c r="JS223" s="1"/>
      <c r="JT223" s="1"/>
      <c r="JU223" s="1"/>
      <c r="JV223" s="1"/>
      <c r="JW223" s="1"/>
      <c r="JX223" s="1"/>
      <c r="JY223" s="1"/>
      <c r="JZ223" s="1"/>
      <c r="KA223" s="1"/>
      <c r="KB223" s="1"/>
      <c r="KC223" s="1"/>
      <c r="KD223" s="1"/>
      <c r="KE223" s="1"/>
      <c r="KF223" s="1"/>
      <c r="KG223" s="1"/>
      <c r="KH223" s="1"/>
      <c r="KI223" s="1"/>
      <c r="KJ223" s="1"/>
      <c r="KK223" s="1"/>
      <c r="KL223" s="1"/>
      <c r="KM223" s="1"/>
      <c r="KN223" s="1"/>
      <c r="KO223" s="1"/>
      <c r="KP223" s="1"/>
      <c r="KQ223" s="1"/>
      <c r="KR223" s="1"/>
      <c r="KS223" s="1"/>
      <c r="KT223" s="1"/>
      <c r="KU223" s="1"/>
      <c r="KV223" s="1"/>
      <c r="KW223" s="1"/>
      <c r="KX223" s="1"/>
      <c r="KY223" s="1"/>
      <c r="KZ223" s="1"/>
      <c r="LA223" s="1"/>
      <c r="LB223" s="1"/>
      <c r="LC223" s="1"/>
      <c r="LD223" s="1"/>
      <c r="LE223" s="1"/>
      <c r="LF223" s="1"/>
      <c r="LG223" s="1"/>
      <c r="LH223" s="1"/>
      <c r="LI223" s="1"/>
      <c r="LJ223" s="1"/>
      <c r="LK223" s="1"/>
      <c r="LL223" s="1"/>
      <c r="LM223" s="1"/>
      <c r="LN223" s="1"/>
      <c r="LO223" s="1"/>
      <c r="LP223" s="1"/>
      <c r="LQ223" s="1"/>
      <c r="LR223" s="1"/>
      <c r="LS223" s="1"/>
    </row>
    <row r="224" spans="1:331" s="3" customFormat="1" x14ac:dyDescent="0.25">
      <c r="A224" s="3" t="s">
        <v>890</v>
      </c>
      <c r="B224" s="5" t="s">
        <v>891</v>
      </c>
      <c r="C224" s="13" t="s">
        <v>2074</v>
      </c>
      <c r="D224" s="3">
        <v>0</v>
      </c>
      <c r="H224" s="3" t="s">
        <v>877</v>
      </c>
      <c r="I224" s="3" t="s">
        <v>892</v>
      </c>
      <c r="J224" s="3" t="s">
        <v>877</v>
      </c>
      <c r="K224" s="3" t="s">
        <v>892</v>
      </c>
      <c r="L224" s="3">
        <v>1</v>
      </c>
      <c r="M224" s="3" t="s">
        <v>893</v>
      </c>
      <c r="O224" s="3">
        <v>1</v>
      </c>
      <c r="P224" s="3" t="s">
        <v>894</v>
      </c>
      <c r="Q224" s="1" t="s">
        <v>1615</v>
      </c>
      <c r="R224" s="1"/>
      <c r="S224" s="3">
        <v>15.5</v>
      </c>
      <c r="U224" s="3">
        <v>16</v>
      </c>
      <c r="W224" s="1">
        <v>16</v>
      </c>
      <c r="X224" s="1">
        <v>13</v>
      </c>
      <c r="Y224" s="1" t="s">
        <v>2352</v>
      </c>
      <c r="Z224" s="3">
        <v>1</v>
      </c>
      <c r="AA224" s="1" t="b">
        <v>1</v>
      </c>
      <c r="AB224" s="1"/>
      <c r="AC224" s="57" t="s">
        <v>1399</v>
      </c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  <c r="IY224" s="1"/>
      <c r="IZ224" s="1"/>
      <c r="JA224" s="1"/>
      <c r="JB224" s="1"/>
      <c r="JC224" s="1"/>
      <c r="JD224" s="1"/>
      <c r="JE224" s="1"/>
      <c r="JF224" s="1"/>
      <c r="JG224" s="1"/>
      <c r="JH224" s="1"/>
      <c r="JI224" s="1"/>
      <c r="JJ224" s="1"/>
      <c r="JK224" s="1"/>
      <c r="JL224" s="1"/>
      <c r="JM224" s="1"/>
      <c r="JN224" s="1"/>
      <c r="JO224" s="1"/>
      <c r="JP224" s="1"/>
      <c r="JQ224" s="1"/>
      <c r="JR224" s="1"/>
      <c r="JS224" s="1"/>
      <c r="JT224" s="1"/>
      <c r="JU224" s="1"/>
      <c r="JV224" s="1"/>
      <c r="JW224" s="1"/>
      <c r="JX224" s="1"/>
      <c r="JY224" s="1"/>
      <c r="JZ224" s="1"/>
      <c r="KA224" s="1"/>
      <c r="KB224" s="1"/>
      <c r="KC224" s="1"/>
      <c r="KD224" s="1"/>
      <c r="KE224" s="1"/>
      <c r="KF224" s="1"/>
      <c r="KG224" s="1"/>
      <c r="KH224" s="1"/>
      <c r="KI224" s="1"/>
      <c r="KJ224" s="1"/>
      <c r="KK224" s="1"/>
      <c r="KL224" s="1"/>
      <c r="KM224" s="1"/>
      <c r="KN224" s="1"/>
      <c r="KO224" s="1"/>
      <c r="KP224" s="1"/>
      <c r="KQ224" s="1"/>
      <c r="KR224" s="1"/>
      <c r="KS224" s="1"/>
      <c r="KT224" s="1"/>
      <c r="KU224" s="1"/>
      <c r="KV224" s="1"/>
      <c r="KW224" s="1"/>
      <c r="KX224" s="1"/>
      <c r="KY224" s="1"/>
      <c r="KZ224" s="1"/>
      <c r="LA224" s="1"/>
      <c r="LB224" s="1"/>
      <c r="LC224" s="1"/>
      <c r="LD224" s="1"/>
      <c r="LE224" s="1"/>
      <c r="LF224" s="1"/>
      <c r="LG224" s="1"/>
      <c r="LH224" s="1"/>
      <c r="LI224" s="1"/>
      <c r="LJ224" s="1"/>
      <c r="LK224" s="1"/>
      <c r="LL224" s="1"/>
      <c r="LM224" s="1"/>
      <c r="LN224" s="1"/>
      <c r="LO224" s="1"/>
      <c r="LP224" s="1"/>
      <c r="LQ224" s="1"/>
      <c r="LR224" s="1"/>
      <c r="LS224" s="1"/>
    </row>
    <row r="225" spans="1:331" s="40" customFormat="1" x14ac:dyDescent="0.25">
      <c r="A225" s="40" t="s">
        <v>895</v>
      </c>
      <c r="B225" s="44" t="s">
        <v>896</v>
      </c>
      <c r="C225" s="13" t="s">
        <v>2074</v>
      </c>
      <c r="D225" s="40">
        <v>0</v>
      </c>
      <c r="H225" s="40" t="s">
        <v>897</v>
      </c>
      <c r="I225" s="40" t="s">
        <v>892</v>
      </c>
      <c r="J225" s="81">
        <v>44356</v>
      </c>
      <c r="K225" s="81" t="s">
        <v>892</v>
      </c>
      <c r="L225" s="40">
        <v>0</v>
      </c>
      <c r="O225" s="40">
        <v>1</v>
      </c>
      <c r="P225" s="40" t="s">
        <v>894</v>
      </c>
      <c r="Q225" s="1" t="s">
        <v>892</v>
      </c>
      <c r="R225" s="1"/>
      <c r="S225" s="40">
        <v>5</v>
      </c>
      <c r="U225" s="40">
        <v>7</v>
      </c>
      <c r="W225" s="1">
        <v>5</v>
      </c>
      <c r="X225" s="1">
        <v>14</v>
      </c>
      <c r="Y225" s="1" t="s">
        <v>2353</v>
      </c>
      <c r="Z225" s="40">
        <v>8</v>
      </c>
      <c r="AA225" s="1" t="b">
        <v>0</v>
      </c>
      <c r="AB225" s="1"/>
      <c r="AC225" s="57" t="s">
        <v>1951</v>
      </c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  <c r="IY225" s="1"/>
      <c r="IZ225" s="1"/>
      <c r="JA225" s="1"/>
      <c r="JB225" s="1"/>
      <c r="JC225" s="1"/>
      <c r="JD225" s="1"/>
      <c r="JE225" s="1"/>
      <c r="JF225" s="1"/>
      <c r="JG225" s="1"/>
      <c r="JH225" s="1"/>
      <c r="JI225" s="1"/>
      <c r="JJ225" s="1"/>
      <c r="JK225" s="1"/>
      <c r="JL225" s="1"/>
      <c r="JM225" s="1"/>
      <c r="JN225" s="1"/>
      <c r="JO225" s="1"/>
      <c r="JP225" s="1"/>
      <c r="JQ225" s="1"/>
      <c r="JR225" s="1"/>
      <c r="JS225" s="1"/>
      <c r="JT225" s="1"/>
      <c r="JU225" s="1"/>
      <c r="JV225" s="1"/>
      <c r="JW225" s="1"/>
      <c r="JX225" s="1"/>
      <c r="JY225" s="1"/>
      <c r="JZ225" s="1"/>
      <c r="KA225" s="1"/>
      <c r="KB225" s="1"/>
      <c r="KC225" s="1"/>
      <c r="KD225" s="1"/>
      <c r="KE225" s="1"/>
      <c r="KF225" s="1"/>
      <c r="KG225" s="1"/>
      <c r="KH225" s="1"/>
      <c r="KI225" s="1"/>
      <c r="KJ225" s="1"/>
      <c r="KK225" s="1"/>
      <c r="KL225" s="1"/>
      <c r="KM225" s="1"/>
      <c r="KN225" s="1"/>
      <c r="KO225" s="1"/>
      <c r="KP225" s="1"/>
      <c r="KQ225" s="1"/>
      <c r="KR225" s="1"/>
      <c r="KS225" s="1"/>
      <c r="KT225" s="1"/>
      <c r="KU225" s="1"/>
      <c r="KV225" s="1"/>
      <c r="KW225" s="1"/>
      <c r="KX225" s="1"/>
      <c r="KY225" s="1"/>
      <c r="KZ225" s="1"/>
      <c r="LA225" s="1"/>
      <c r="LB225" s="1"/>
      <c r="LC225" s="1"/>
      <c r="LD225" s="1"/>
      <c r="LE225" s="1"/>
      <c r="LF225" s="1"/>
      <c r="LG225" s="1"/>
      <c r="LH225" s="1"/>
      <c r="LI225" s="1"/>
      <c r="LJ225" s="1"/>
      <c r="LK225" s="1"/>
      <c r="LL225" s="1"/>
      <c r="LM225" s="1"/>
      <c r="LN225" s="1"/>
      <c r="LO225" s="1"/>
      <c r="LP225" s="1"/>
      <c r="LQ225" s="1"/>
      <c r="LR225" s="1"/>
      <c r="LS225" s="1"/>
    </row>
    <row r="226" spans="1:331" s="75" customFormat="1" x14ac:dyDescent="0.25">
      <c r="A226" s="75" t="s">
        <v>898</v>
      </c>
      <c r="B226" s="79" t="s">
        <v>899</v>
      </c>
      <c r="C226" s="13" t="s">
        <v>2074</v>
      </c>
      <c r="D226" s="75">
        <v>0</v>
      </c>
      <c r="H226" s="75" t="s">
        <v>900</v>
      </c>
      <c r="I226" s="75" t="s">
        <v>901</v>
      </c>
      <c r="J226" s="75" t="s">
        <v>900</v>
      </c>
      <c r="K226" s="75" t="s">
        <v>901</v>
      </c>
      <c r="L226" s="75">
        <v>0</v>
      </c>
      <c r="O226" s="75">
        <v>1</v>
      </c>
      <c r="P226" s="75" t="s">
        <v>546</v>
      </c>
      <c r="Q226" s="1"/>
      <c r="R226" s="1" t="s">
        <v>902</v>
      </c>
      <c r="S226" s="75">
        <v>7.7</v>
      </c>
      <c r="T226" s="75">
        <v>7</v>
      </c>
      <c r="V226" s="75">
        <v>8</v>
      </c>
      <c r="W226" s="75">
        <v>8</v>
      </c>
      <c r="X226" s="1">
        <v>16</v>
      </c>
      <c r="Y226" s="1" t="s">
        <v>2354</v>
      </c>
      <c r="Z226" s="75">
        <v>14</v>
      </c>
      <c r="AA226" s="75" t="b">
        <v>1</v>
      </c>
      <c r="AC226" s="78" t="s">
        <v>1462</v>
      </c>
    </row>
    <row r="227" spans="1:331" s="3" customFormat="1" x14ac:dyDescent="0.25">
      <c r="A227" s="3" t="s">
        <v>903</v>
      </c>
      <c r="B227" s="5" t="s">
        <v>904</v>
      </c>
      <c r="C227" s="13" t="s">
        <v>2074</v>
      </c>
      <c r="D227" s="3">
        <v>0</v>
      </c>
      <c r="H227" s="3" t="s">
        <v>905</v>
      </c>
      <c r="I227" s="3" t="s">
        <v>255</v>
      </c>
      <c r="J227" s="3" t="s">
        <v>905</v>
      </c>
      <c r="K227" s="3" t="s">
        <v>255</v>
      </c>
      <c r="L227" s="3">
        <v>1</v>
      </c>
      <c r="M227" s="3" t="s">
        <v>209</v>
      </c>
      <c r="O227" s="3">
        <v>1</v>
      </c>
      <c r="P227" s="3" t="s">
        <v>906</v>
      </c>
      <c r="Q227" s="1" t="s">
        <v>775</v>
      </c>
      <c r="R227" s="1"/>
      <c r="S227" s="3">
        <v>13</v>
      </c>
      <c r="W227" s="1">
        <v>13</v>
      </c>
      <c r="X227" s="1">
        <v>10</v>
      </c>
      <c r="Y227" s="1" t="s">
        <v>2355</v>
      </c>
      <c r="Z227" s="3">
        <v>1</v>
      </c>
      <c r="AA227" s="1" t="b">
        <v>1</v>
      </c>
      <c r="AB227" s="1"/>
      <c r="AC227" s="57" t="s">
        <v>1400</v>
      </c>
      <c r="AD227" s="1" t="b">
        <v>1</v>
      </c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  <c r="IY227" s="1"/>
      <c r="IZ227" s="1"/>
      <c r="JA227" s="1"/>
      <c r="JB227" s="1"/>
      <c r="JC227" s="1"/>
      <c r="JD227" s="1"/>
      <c r="JE227" s="1"/>
      <c r="JF227" s="1"/>
      <c r="JG227" s="1"/>
      <c r="JH227" s="1"/>
      <c r="JI227" s="1"/>
      <c r="JJ227" s="1"/>
      <c r="JK227" s="1"/>
      <c r="JL227" s="1"/>
      <c r="JM227" s="1"/>
      <c r="JN227" s="1"/>
      <c r="JO227" s="1"/>
      <c r="JP227" s="1"/>
      <c r="JQ227" s="1"/>
      <c r="JR227" s="1"/>
      <c r="JS227" s="1"/>
      <c r="JT227" s="1"/>
      <c r="JU227" s="1"/>
      <c r="JV227" s="1"/>
      <c r="JW227" s="1"/>
      <c r="JX227" s="1"/>
      <c r="JY227" s="1"/>
      <c r="JZ227" s="1"/>
      <c r="KA227" s="1"/>
      <c r="KB227" s="1"/>
      <c r="KC227" s="1"/>
      <c r="KD227" s="1"/>
      <c r="KE227" s="1"/>
      <c r="KF227" s="1"/>
      <c r="KG227" s="1"/>
      <c r="KH227" s="1"/>
      <c r="KI227" s="1"/>
      <c r="KJ227" s="1"/>
      <c r="KK227" s="1"/>
      <c r="KL227" s="1"/>
      <c r="KM227" s="1"/>
      <c r="KN227" s="1"/>
      <c r="KO227" s="1"/>
      <c r="KP227" s="1"/>
      <c r="KQ227" s="1"/>
      <c r="KR227" s="1"/>
      <c r="KS227" s="1"/>
      <c r="KT227" s="1"/>
      <c r="KU227" s="1"/>
      <c r="KV227" s="1"/>
      <c r="KW227" s="1"/>
      <c r="KX227" s="1"/>
      <c r="KY227" s="1"/>
      <c r="KZ227" s="1"/>
      <c r="LA227" s="1"/>
      <c r="LB227" s="1"/>
      <c r="LC227" s="1"/>
      <c r="LD227" s="1"/>
      <c r="LE227" s="1"/>
      <c r="LF227" s="1"/>
      <c r="LG227" s="1"/>
      <c r="LH227" s="1"/>
      <c r="LI227" s="1"/>
      <c r="LJ227" s="1"/>
      <c r="LK227" s="1"/>
      <c r="LL227" s="1"/>
      <c r="LM227" s="1"/>
      <c r="LN227" s="1"/>
      <c r="LO227" s="1"/>
      <c r="LP227" s="1"/>
      <c r="LQ227" s="1"/>
      <c r="LR227" s="1"/>
      <c r="LS227" s="1"/>
    </row>
    <row r="228" spans="1:331" s="45" customFormat="1" x14ac:dyDescent="0.25">
      <c r="A228" s="45" t="s">
        <v>907</v>
      </c>
      <c r="B228" s="45" t="s">
        <v>908</v>
      </c>
      <c r="C228" s="1" t="s">
        <v>2074</v>
      </c>
      <c r="D228" s="45">
        <v>0</v>
      </c>
      <c r="H228" s="45" t="s">
        <v>909</v>
      </c>
      <c r="I228" s="45" t="s">
        <v>209</v>
      </c>
      <c r="J228" s="45" t="s">
        <v>909</v>
      </c>
      <c r="K228" s="45" t="s">
        <v>909</v>
      </c>
      <c r="L228" s="45">
        <v>0</v>
      </c>
      <c r="O228" s="45">
        <v>0</v>
      </c>
      <c r="Q228" s="1" t="s">
        <v>773</v>
      </c>
      <c r="R228" s="1"/>
      <c r="T228" s="45">
        <v>15</v>
      </c>
      <c r="V228" s="45">
        <v>15</v>
      </c>
      <c r="W228" s="1"/>
      <c r="X228" s="1">
        <v>45</v>
      </c>
      <c r="Y228" s="1" t="s">
        <v>2356</v>
      </c>
      <c r="Z228" s="45">
        <v>-1</v>
      </c>
      <c r="AA228" s="1" t="b">
        <v>0</v>
      </c>
      <c r="AB228" s="1"/>
      <c r="AC228" s="57" t="s">
        <v>1376</v>
      </c>
      <c r="AD228" s="1" t="b">
        <v>1</v>
      </c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  <c r="IY228" s="1"/>
      <c r="IZ228" s="1"/>
      <c r="JA228" s="1"/>
      <c r="JB228" s="1"/>
      <c r="JC228" s="1"/>
      <c r="JD228" s="1"/>
      <c r="JE228" s="1"/>
      <c r="JF228" s="1"/>
      <c r="JG228" s="1"/>
      <c r="JH228" s="1"/>
      <c r="JI228" s="1"/>
      <c r="JJ228" s="1"/>
      <c r="JK228" s="1"/>
      <c r="JL228" s="1"/>
      <c r="JM228" s="1"/>
      <c r="JN228" s="1"/>
      <c r="JO228" s="1"/>
      <c r="JP228" s="1"/>
      <c r="JQ228" s="1"/>
      <c r="JR228" s="1"/>
      <c r="JS228" s="1"/>
      <c r="JT228" s="1"/>
      <c r="JU228" s="1"/>
      <c r="JV228" s="1"/>
      <c r="JW228" s="1"/>
      <c r="JX228" s="1"/>
      <c r="JY228" s="1"/>
      <c r="JZ228" s="1"/>
      <c r="KA228" s="1"/>
      <c r="KB228" s="1"/>
      <c r="KC228" s="1"/>
      <c r="KD228" s="1"/>
      <c r="KE228" s="1"/>
      <c r="KF228" s="1"/>
      <c r="KG228" s="1"/>
      <c r="KH228" s="1"/>
      <c r="KI228" s="1"/>
      <c r="KJ228" s="1"/>
      <c r="KK228" s="1"/>
      <c r="KL228" s="1"/>
      <c r="KM228" s="1"/>
      <c r="KN228" s="1"/>
      <c r="KO228" s="1"/>
      <c r="KP228" s="1"/>
      <c r="KQ228" s="1"/>
      <c r="KR228" s="1"/>
      <c r="KS228" s="1"/>
      <c r="KT228" s="1"/>
      <c r="KU228" s="1"/>
      <c r="KV228" s="1"/>
      <c r="KW228" s="1"/>
      <c r="KX228" s="1"/>
      <c r="KY228" s="1"/>
      <c r="KZ228" s="1"/>
      <c r="LA228" s="1"/>
      <c r="LB228" s="1"/>
      <c r="LC228" s="1"/>
      <c r="LD228" s="1"/>
      <c r="LE228" s="1"/>
      <c r="LF228" s="1"/>
      <c r="LG228" s="1"/>
      <c r="LH228" s="1"/>
      <c r="LI228" s="1"/>
      <c r="LJ228" s="1"/>
      <c r="LK228" s="1"/>
      <c r="LL228" s="1"/>
      <c r="LM228" s="1"/>
      <c r="LN228" s="1"/>
      <c r="LO228" s="1"/>
      <c r="LP228" s="1"/>
      <c r="LQ228" s="1"/>
      <c r="LR228" s="1"/>
      <c r="LS228" s="1"/>
    </row>
    <row r="229" spans="1:331" s="25" customFormat="1" x14ac:dyDescent="0.25">
      <c r="A229" s="25" t="s">
        <v>910</v>
      </c>
      <c r="B229" s="29" t="s">
        <v>911</v>
      </c>
      <c r="C229" s="13" t="s">
        <v>2074</v>
      </c>
      <c r="D229" s="25">
        <v>0</v>
      </c>
      <c r="H229" s="25" t="s">
        <v>906</v>
      </c>
      <c r="I229" s="25" t="s">
        <v>357</v>
      </c>
      <c r="J229" s="25" t="s">
        <v>906</v>
      </c>
      <c r="K229" s="25" t="s">
        <v>1552</v>
      </c>
      <c r="L229" s="25">
        <v>0</v>
      </c>
      <c r="O229" s="25">
        <v>0</v>
      </c>
      <c r="Q229" s="1" t="s">
        <v>1616</v>
      </c>
      <c r="R229" s="1"/>
      <c r="T229" s="25">
        <v>6</v>
      </c>
      <c r="V229" s="25">
        <v>7</v>
      </c>
      <c r="W229" s="1">
        <v>6</v>
      </c>
      <c r="X229" s="1">
        <v>19</v>
      </c>
      <c r="Y229" s="1" t="s">
        <v>2357</v>
      </c>
      <c r="Z229" s="25">
        <v>5</v>
      </c>
      <c r="AA229" s="1" t="b">
        <v>1</v>
      </c>
      <c r="AB229" s="1"/>
      <c r="AC229" s="57" t="s">
        <v>1313</v>
      </c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  <c r="IY229" s="1"/>
      <c r="IZ229" s="1"/>
      <c r="JA229" s="1"/>
      <c r="JB229" s="1"/>
      <c r="JC229" s="1"/>
      <c r="JD229" s="1"/>
      <c r="JE229" s="1"/>
      <c r="JF229" s="1"/>
      <c r="JG229" s="1"/>
      <c r="JH229" s="1"/>
      <c r="JI229" s="1"/>
      <c r="JJ229" s="1"/>
      <c r="JK229" s="1"/>
      <c r="JL229" s="1"/>
      <c r="JM229" s="1"/>
      <c r="JN229" s="1"/>
      <c r="JO229" s="1"/>
      <c r="JP229" s="1"/>
      <c r="JQ229" s="1"/>
      <c r="JR229" s="1"/>
      <c r="JS229" s="1"/>
      <c r="JT229" s="1"/>
      <c r="JU229" s="1"/>
      <c r="JV229" s="1"/>
      <c r="JW229" s="1"/>
      <c r="JX229" s="1"/>
      <c r="JY229" s="1"/>
      <c r="JZ229" s="1"/>
      <c r="KA229" s="1"/>
      <c r="KB229" s="1"/>
      <c r="KC229" s="1"/>
      <c r="KD229" s="1"/>
      <c r="KE229" s="1"/>
      <c r="KF229" s="1"/>
      <c r="KG229" s="1"/>
      <c r="KH229" s="1"/>
      <c r="KI229" s="1"/>
      <c r="KJ229" s="1"/>
      <c r="KK229" s="1"/>
      <c r="KL229" s="1"/>
      <c r="KM229" s="1"/>
      <c r="KN229" s="1"/>
      <c r="KO229" s="1"/>
      <c r="KP229" s="1"/>
      <c r="KQ229" s="1"/>
      <c r="KR229" s="1"/>
      <c r="KS229" s="1"/>
      <c r="KT229" s="1"/>
      <c r="KU229" s="1"/>
      <c r="KV229" s="1"/>
      <c r="KW229" s="1"/>
      <c r="KX229" s="1"/>
      <c r="KY229" s="1"/>
      <c r="KZ229" s="1"/>
      <c r="LA229" s="1"/>
      <c r="LB229" s="1"/>
      <c r="LC229" s="1"/>
      <c r="LD229" s="1"/>
      <c r="LE229" s="1"/>
      <c r="LF229" s="1"/>
      <c r="LG229" s="1"/>
      <c r="LH229" s="1"/>
      <c r="LI229" s="1"/>
      <c r="LJ229" s="1"/>
      <c r="LK229" s="1"/>
      <c r="LL229" s="1"/>
      <c r="LM229" s="1"/>
      <c r="LN229" s="1"/>
      <c r="LO229" s="1"/>
      <c r="LP229" s="1"/>
      <c r="LQ229" s="1"/>
      <c r="LR229" s="1"/>
      <c r="LS229" s="1"/>
    </row>
    <row r="230" spans="1:331" s="75" customFormat="1" x14ac:dyDescent="0.25">
      <c r="A230" s="75" t="s">
        <v>912</v>
      </c>
      <c r="B230" s="79" t="s">
        <v>913</v>
      </c>
      <c r="C230" s="13" t="s">
        <v>2074</v>
      </c>
      <c r="D230" s="75">
        <v>0</v>
      </c>
      <c r="H230" s="75" t="s">
        <v>906</v>
      </c>
      <c r="I230" s="75" t="s">
        <v>209</v>
      </c>
      <c r="J230" s="75" t="s">
        <v>906</v>
      </c>
      <c r="K230" s="75" t="s">
        <v>209</v>
      </c>
      <c r="L230" s="75">
        <v>0</v>
      </c>
      <c r="O230" s="75">
        <v>1</v>
      </c>
      <c r="P230" s="75" t="s">
        <v>914</v>
      </c>
      <c r="Q230" s="1"/>
      <c r="R230" s="1" t="s">
        <v>915</v>
      </c>
      <c r="T230" s="75">
        <v>17</v>
      </c>
      <c r="V230" s="75">
        <v>18</v>
      </c>
      <c r="W230" s="75">
        <v>17</v>
      </c>
      <c r="X230" s="1">
        <v>19</v>
      </c>
      <c r="Y230" s="1" t="s">
        <v>2358</v>
      </c>
      <c r="Z230" s="75">
        <v>14</v>
      </c>
      <c r="AA230" s="75" t="b">
        <v>1</v>
      </c>
      <c r="AC230" s="78" t="s">
        <v>1460</v>
      </c>
    </row>
    <row r="231" spans="1:331" s="40" customFormat="1" x14ac:dyDescent="0.25">
      <c r="A231" s="40" t="s">
        <v>916</v>
      </c>
      <c r="B231" s="44" t="s">
        <v>917</v>
      </c>
      <c r="C231" s="13" t="s">
        <v>2074</v>
      </c>
      <c r="D231" s="40">
        <v>0</v>
      </c>
      <c r="H231" s="40" t="s">
        <v>918</v>
      </c>
      <c r="I231" s="40" t="s">
        <v>348</v>
      </c>
      <c r="J231" s="40" t="s">
        <v>533</v>
      </c>
      <c r="K231" s="40" t="s">
        <v>906</v>
      </c>
      <c r="L231" s="40">
        <v>0</v>
      </c>
      <c r="O231" s="40">
        <v>1</v>
      </c>
      <c r="P231" s="40" t="s">
        <v>529</v>
      </c>
      <c r="Q231" s="1" t="s">
        <v>120</v>
      </c>
      <c r="R231" s="1"/>
      <c r="S231" s="40">
        <v>22</v>
      </c>
      <c r="V231" s="40">
        <v>20</v>
      </c>
      <c r="W231" s="1">
        <v>22</v>
      </c>
      <c r="X231" s="1">
        <v>19</v>
      </c>
      <c r="Y231" s="1" t="s">
        <v>2359</v>
      </c>
      <c r="Z231" s="40">
        <v>8</v>
      </c>
      <c r="AA231" s="1" t="b">
        <v>1</v>
      </c>
      <c r="AB231" s="1"/>
      <c r="AC231" s="57" t="s">
        <v>1423</v>
      </c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  <c r="IY231" s="1"/>
      <c r="IZ231" s="1"/>
      <c r="JA231" s="1"/>
      <c r="JB231" s="1"/>
      <c r="JC231" s="1"/>
      <c r="JD231" s="1"/>
      <c r="JE231" s="1"/>
      <c r="JF231" s="1"/>
      <c r="JG231" s="1"/>
      <c r="JH231" s="1"/>
      <c r="JI231" s="1"/>
      <c r="JJ231" s="1"/>
      <c r="JK231" s="1"/>
      <c r="JL231" s="1"/>
      <c r="JM231" s="1"/>
      <c r="JN231" s="1"/>
      <c r="JO231" s="1"/>
      <c r="JP231" s="1"/>
      <c r="JQ231" s="1"/>
      <c r="JR231" s="1"/>
      <c r="JS231" s="1"/>
      <c r="JT231" s="1"/>
      <c r="JU231" s="1"/>
      <c r="JV231" s="1"/>
      <c r="JW231" s="1"/>
      <c r="JX231" s="1"/>
      <c r="JY231" s="1"/>
      <c r="JZ231" s="1"/>
      <c r="KA231" s="1"/>
      <c r="KB231" s="1"/>
      <c r="KC231" s="1"/>
      <c r="KD231" s="1"/>
      <c r="KE231" s="1"/>
      <c r="KF231" s="1"/>
      <c r="KG231" s="1"/>
      <c r="KH231" s="1"/>
      <c r="KI231" s="1"/>
      <c r="KJ231" s="1"/>
      <c r="KK231" s="1"/>
      <c r="KL231" s="1"/>
      <c r="KM231" s="1"/>
      <c r="KN231" s="1"/>
      <c r="KO231" s="1"/>
      <c r="KP231" s="1"/>
      <c r="KQ231" s="1"/>
      <c r="KR231" s="1"/>
      <c r="KS231" s="1"/>
      <c r="KT231" s="1"/>
      <c r="KU231" s="1"/>
      <c r="KV231" s="1"/>
      <c r="KW231" s="1"/>
      <c r="KX231" s="1"/>
      <c r="KY231" s="1"/>
      <c r="KZ231" s="1"/>
      <c r="LA231" s="1"/>
      <c r="LB231" s="1"/>
      <c r="LC231" s="1"/>
      <c r="LD231" s="1"/>
      <c r="LE231" s="1"/>
      <c r="LF231" s="1"/>
      <c r="LG231" s="1"/>
      <c r="LH231" s="1"/>
      <c r="LI231" s="1"/>
      <c r="LJ231" s="1"/>
      <c r="LK231" s="1"/>
      <c r="LL231" s="1"/>
      <c r="LM231" s="1"/>
      <c r="LN231" s="1"/>
      <c r="LO231" s="1"/>
      <c r="LP231" s="1"/>
      <c r="LQ231" s="1"/>
      <c r="LR231" s="1"/>
      <c r="LS231" s="1"/>
    </row>
    <row r="232" spans="1:331" s="40" customFormat="1" x14ac:dyDescent="0.25">
      <c r="A232" s="40" t="s">
        <v>919</v>
      </c>
      <c r="B232" s="44" t="s">
        <v>920</v>
      </c>
      <c r="C232" s="13" t="s">
        <v>2074</v>
      </c>
      <c r="D232" s="40">
        <v>0</v>
      </c>
      <c r="H232" s="40" t="s">
        <v>250</v>
      </c>
      <c r="I232" s="40" t="s">
        <v>258</v>
      </c>
      <c r="J232" s="40" t="s">
        <v>250</v>
      </c>
      <c r="K232" s="40" t="s">
        <v>258</v>
      </c>
      <c r="L232" s="40">
        <v>0</v>
      </c>
      <c r="O232" s="40">
        <v>1</v>
      </c>
      <c r="P232" s="40" t="s">
        <v>921</v>
      </c>
      <c r="Q232" s="1" t="s">
        <v>1617</v>
      </c>
      <c r="R232" s="1"/>
      <c r="T232" s="40">
        <v>15</v>
      </c>
      <c r="V232" s="40">
        <v>15</v>
      </c>
      <c r="W232" s="1">
        <v>15</v>
      </c>
      <c r="X232" s="1">
        <v>14</v>
      </c>
      <c r="Y232" s="1" t="s">
        <v>2360</v>
      </c>
      <c r="Z232" s="40">
        <v>8</v>
      </c>
      <c r="AA232" s="1" t="b">
        <v>1</v>
      </c>
      <c r="AB232" s="1"/>
      <c r="AC232" s="57" t="s">
        <v>1455</v>
      </c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  <c r="IX232" s="1"/>
      <c r="IY232" s="1"/>
      <c r="IZ232" s="1"/>
      <c r="JA232" s="1"/>
      <c r="JB232" s="1"/>
      <c r="JC232" s="1"/>
      <c r="JD232" s="1"/>
      <c r="JE232" s="1"/>
      <c r="JF232" s="1"/>
      <c r="JG232" s="1"/>
      <c r="JH232" s="1"/>
      <c r="JI232" s="1"/>
      <c r="JJ232" s="1"/>
      <c r="JK232" s="1"/>
      <c r="JL232" s="1"/>
      <c r="JM232" s="1"/>
      <c r="JN232" s="1"/>
      <c r="JO232" s="1"/>
      <c r="JP232" s="1"/>
      <c r="JQ232" s="1"/>
      <c r="JR232" s="1"/>
      <c r="JS232" s="1"/>
      <c r="JT232" s="1"/>
      <c r="JU232" s="1"/>
      <c r="JV232" s="1"/>
      <c r="JW232" s="1"/>
      <c r="JX232" s="1"/>
      <c r="JY232" s="1"/>
      <c r="JZ232" s="1"/>
      <c r="KA232" s="1"/>
      <c r="KB232" s="1"/>
      <c r="KC232" s="1"/>
      <c r="KD232" s="1"/>
      <c r="KE232" s="1"/>
      <c r="KF232" s="1"/>
      <c r="KG232" s="1"/>
      <c r="KH232" s="1"/>
      <c r="KI232" s="1"/>
      <c r="KJ232" s="1"/>
      <c r="KK232" s="1"/>
      <c r="KL232" s="1"/>
      <c r="KM232" s="1"/>
      <c r="KN232" s="1"/>
      <c r="KO232" s="1"/>
      <c r="KP232" s="1"/>
      <c r="KQ232" s="1"/>
      <c r="KR232" s="1"/>
      <c r="KS232" s="1"/>
      <c r="KT232" s="1"/>
      <c r="KU232" s="1"/>
      <c r="KV232" s="1"/>
      <c r="KW232" s="1"/>
      <c r="KX232" s="1"/>
      <c r="KY232" s="1"/>
      <c r="KZ232" s="1"/>
      <c r="LA232" s="1"/>
      <c r="LB232" s="1"/>
      <c r="LC232" s="1"/>
      <c r="LD232" s="1"/>
      <c r="LE232" s="1"/>
      <c r="LF232" s="1"/>
      <c r="LG232" s="1"/>
      <c r="LH232" s="1"/>
      <c r="LI232" s="1"/>
      <c r="LJ232" s="1"/>
      <c r="LK232" s="1"/>
      <c r="LL232" s="1"/>
      <c r="LM232" s="1"/>
      <c r="LN232" s="1"/>
      <c r="LO232" s="1"/>
      <c r="LP232" s="1"/>
      <c r="LQ232" s="1"/>
      <c r="LR232" s="1"/>
      <c r="LS232" s="1"/>
    </row>
    <row r="233" spans="1:331" s="25" customFormat="1" x14ac:dyDescent="0.25">
      <c r="A233" s="25" t="s">
        <v>922</v>
      </c>
      <c r="B233" s="29" t="s">
        <v>923</v>
      </c>
      <c r="C233" s="13" t="s">
        <v>2074</v>
      </c>
      <c r="D233" s="25">
        <v>0</v>
      </c>
      <c r="H233" s="25" t="s">
        <v>779</v>
      </c>
      <c r="I233" s="25" t="s">
        <v>921</v>
      </c>
      <c r="J233" s="25" t="s">
        <v>779</v>
      </c>
      <c r="K233" s="25" t="s">
        <v>248</v>
      </c>
      <c r="L233" s="25">
        <v>0</v>
      </c>
      <c r="O233" s="25">
        <v>1</v>
      </c>
      <c r="Q233" s="1" t="s">
        <v>921</v>
      </c>
      <c r="R233" s="1"/>
      <c r="T233" s="25">
        <v>20</v>
      </c>
      <c r="V233" s="25">
        <v>11</v>
      </c>
      <c r="W233" s="1">
        <v>20</v>
      </c>
      <c r="X233" s="1">
        <v>12</v>
      </c>
      <c r="Y233" s="1" t="s">
        <v>2361</v>
      </c>
      <c r="Z233" s="25">
        <v>5</v>
      </c>
      <c r="AA233" s="1" t="b">
        <v>0</v>
      </c>
      <c r="AB233" s="1"/>
      <c r="AC233" s="57" t="s">
        <v>1952</v>
      </c>
      <c r="AD233" s="1" t="b">
        <v>1</v>
      </c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  <c r="IX233" s="1"/>
      <c r="IY233" s="1"/>
      <c r="IZ233" s="1"/>
      <c r="JA233" s="1"/>
      <c r="JB233" s="1"/>
      <c r="JC233" s="1"/>
      <c r="JD233" s="1"/>
      <c r="JE233" s="1"/>
      <c r="JF233" s="1"/>
      <c r="JG233" s="1"/>
      <c r="JH233" s="1"/>
      <c r="JI233" s="1"/>
      <c r="JJ233" s="1"/>
      <c r="JK233" s="1"/>
      <c r="JL233" s="1"/>
      <c r="JM233" s="1"/>
      <c r="JN233" s="1"/>
      <c r="JO233" s="1"/>
      <c r="JP233" s="1"/>
      <c r="JQ233" s="1"/>
      <c r="JR233" s="1"/>
      <c r="JS233" s="1"/>
      <c r="JT233" s="1"/>
      <c r="JU233" s="1"/>
      <c r="JV233" s="1"/>
      <c r="JW233" s="1"/>
      <c r="JX233" s="1"/>
      <c r="JY233" s="1"/>
      <c r="JZ233" s="1"/>
      <c r="KA233" s="1"/>
      <c r="KB233" s="1"/>
      <c r="KC233" s="1"/>
      <c r="KD233" s="1"/>
      <c r="KE233" s="1"/>
      <c r="KF233" s="1"/>
      <c r="KG233" s="1"/>
      <c r="KH233" s="1"/>
      <c r="KI233" s="1"/>
      <c r="KJ233" s="1"/>
      <c r="KK233" s="1"/>
      <c r="KL233" s="1"/>
      <c r="KM233" s="1"/>
      <c r="KN233" s="1"/>
      <c r="KO233" s="1"/>
      <c r="KP233" s="1"/>
      <c r="KQ233" s="1"/>
      <c r="KR233" s="1"/>
      <c r="KS233" s="1"/>
      <c r="KT233" s="1"/>
      <c r="KU233" s="1"/>
      <c r="KV233" s="1"/>
      <c r="KW233" s="1"/>
      <c r="KX233" s="1"/>
      <c r="KY233" s="1"/>
      <c r="KZ233" s="1"/>
      <c r="LA233" s="1"/>
      <c r="LB233" s="1"/>
      <c r="LC233" s="1"/>
      <c r="LD233" s="1"/>
      <c r="LE233" s="1"/>
      <c r="LF233" s="1"/>
      <c r="LG233" s="1"/>
      <c r="LH233" s="1"/>
      <c r="LI233" s="1"/>
      <c r="LJ233" s="1"/>
      <c r="LK233" s="1"/>
      <c r="LL233" s="1"/>
      <c r="LM233" s="1"/>
      <c r="LN233" s="1"/>
      <c r="LO233" s="1"/>
      <c r="LP233" s="1"/>
      <c r="LQ233" s="1"/>
      <c r="LR233" s="1"/>
      <c r="LS233" s="1"/>
    </row>
    <row r="234" spans="1:331" s="75" customFormat="1" x14ac:dyDescent="0.25">
      <c r="A234" s="75" t="s">
        <v>924</v>
      </c>
      <c r="B234" s="79" t="s">
        <v>925</v>
      </c>
      <c r="C234" s="13" t="s">
        <v>2074</v>
      </c>
      <c r="D234" s="75">
        <v>0</v>
      </c>
      <c r="H234" s="75" t="s">
        <v>926</v>
      </c>
      <c r="I234" s="75" t="s">
        <v>927</v>
      </c>
      <c r="J234" s="75" t="s">
        <v>926</v>
      </c>
      <c r="K234" s="79" t="s">
        <v>927</v>
      </c>
      <c r="L234" s="75">
        <v>0</v>
      </c>
      <c r="O234" s="75">
        <v>1</v>
      </c>
      <c r="P234" s="80">
        <v>44585</v>
      </c>
      <c r="Q234" s="1"/>
      <c r="R234" s="13" t="s">
        <v>238</v>
      </c>
      <c r="T234" s="75">
        <v>27</v>
      </c>
      <c r="V234" s="75">
        <v>23</v>
      </c>
      <c r="W234" s="75">
        <v>27</v>
      </c>
      <c r="X234" s="1">
        <v>21</v>
      </c>
      <c r="Y234" s="1" t="s">
        <v>2362</v>
      </c>
      <c r="Z234" s="75">
        <v>14</v>
      </c>
      <c r="AA234" s="75" t="b">
        <v>1</v>
      </c>
      <c r="AC234" s="78" t="s">
        <v>1658</v>
      </c>
    </row>
    <row r="235" spans="1:331" s="25" customFormat="1" x14ac:dyDescent="0.25">
      <c r="A235" s="25" t="s">
        <v>928</v>
      </c>
      <c r="B235" s="29" t="s">
        <v>929</v>
      </c>
      <c r="C235" s="13" t="s">
        <v>2074</v>
      </c>
      <c r="D235" s="25">
        <v>0</v>
      </c>
      <c r="H235" s="25" t="s">
        <v>930</v>
      </c>
      <c r="I235" s="25" t="s">
        <v>931</v>
      </c>
      <c r="J235" s="25" t="s">
        <v>930</v>
      </c>
      <c r="K235" s="25" t="s">
        <v>931</v>
      </c>
      <c r="L235" s="25">
        <v>0</v>
      </c>
      <c r="O235" s="25">
        <v>0</v>
      </c>
      <c r="Q235" s="1" t="s">
        <v>339</v>
      </c>
      <c r="R235" s="1"/>
      <c r="T235" s="25">
        <v>9</v>
      </c>
      <c r="V235" s="25">
        <v>8</v>
      </c>
      <c r="W235" s="1">
        <v>9</v>
      </c>
      <c r="X235" s="1">
        <v>10</v>
      </c>
      <c r="Y235" s="1" t="s">
        <v>2363</v>
      </c>
      <c r="Z235" s="25">
        <v>5</v>
      </c>
      <c r="AA235" s="1" t="b">
        <v>1</v>
      </c>
      <c r="AB235" s="1"/>
      <c r="AC235" s="57" t="s">
        <v>1373</v>
      </c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  <c r="IY235" s="1"/>
      <c r="IZ235" s="1"/>
      <c r="JA235" s="1"/>
      <c r="JB235" s="1"/>
      <c r="JC235" s="1"/>
      <c r="JD235" s="1"/>
      <c r="JE235" s="1"/>
      <c r="JF235" s="1"/>
      <c r="JG235" s="1"/>
      <c r="JH235" s="1"/>
      <c r="JI235" s="1"/>
      <c r="JJ235" s="1"/>
      <c r="JK235" s="1"/>
      <c r="JL235" s="1"/>
      <c r="JM235" s="1"/>
      <c r="JN235" s="1"/>
      <c r="JO235" s="1"/>
      <c r="JP235" s="1"/>
      <c r="JQ235" s="1"/>
      <c r="JR235" s="1"/>
      <c r="JS235" s="1"/>
      <c r="JT235" s="1"/>
      <c r="JU235" s="1"/>
      <c r="JV235" s="1"/>
      <c r="JW235" s="1"/>
      <c r="JX235" s="1"/>
      <c r="JY235" s="1"/>
      <c r="JZ235" s="1"/>
      <c r="KA235" s="1"/>
      <c r="KB235" s="1"/>
      <c r="KC235" s="1"/>
      <c r="KD235" s="1"/>
      <c r="KE235" s="1"/>
      <c r="KF235" s="1"/>
      <c r="KG235" s="1"/>
      <c r="KH235" s="1"/>
      <c r="KI235" s="1"/>
      <c r="KJ235" s="1"/>
      <c r="KK235" s="1"/>
      <c r="KL235" s="1"/>
      <c r="KM235" s="1"/>
      <c r="KN235" s="1"/>
      <c r="KO235" s="1"/>
      <c r="KP235" s="1"/>
      <c r="KQ235" s="1"/>
      <c r="KR235" s="1"/>
      <c r="KS235" s="1"/>
      <c r="KT235" s="1"/>
      <c r="KU235" s="1"/>
      <c r="KV235" s="1"/>
      <c r="KW235" s="1"/>
      <c r="KX235" s="1"/>
      <c r="KY235" s="1"/>
      <c r="KZ235" s="1"/>
      <c r="LA235" s="1"/>
      <c r="LB235" s="1"/>
      <c r="LC235" s="1"/>
      <c r="LD235" s="1"/>
      <c r="LE235" s="1"/>
      <c r="LF235" s="1"/>
      <c r="LG235" s="1"/>
      <c r="LH235" s="1"/>
      <c r="LI235" s="1"/>
      <c r="LJ235" s="1"/>
      <c r="LK235" s="1"/>
      <c r="LL235" s="1"/>
      <c r="LM235" s="1"/>
      <c r="LN235" s="1"/>
      <c r="LO235" s="1"/>
      <c r="LP235" s="1"/>
      <c r="LQ235" s="1"/>
      <c r="LR235" s="1"/>
      <c r="LS235" s="1"/>
    </row>
    <row r="236" spans="1:331" s="30" customFormat="1" x14ac:dyDescent="0.25">
      <c r="A236" s="30" t="s">
        <v>932</v>
      </c>
      <c r="B236" s="34" t="s">
        <v>933</v>
      </c>
      <c r="C236" s="13" t="s">
        <v>2074</v>
      </c>
      <c r="D236" s="30">
        <v>1</v>
      </c>
      <c r="E236" s="30" t="s">
        <v>934</v>
      </c>
      <c r="H236" s="30" t="s">
        <v>338</v>
      </c>
      <c r="I236" s="30" t="s">
        <v>935</v>
      </c>
      <c r="J236" s="30" t="s">
        <v>338</v>
      </c>
      <c r="K236" s="30" t="s">
        <v>934</v>
      </c>
      <c r="L236" s="30">
        <v>0</v>
      </c>
      <c r="O236" s="30">
        <v>0</v>
      </c>
      <c r="Q236" s="1" t="s">
        <v>1618</v>
      </c>
      <c r="R236" s="1"/>
      <c r="S236" s="30">
        <v>8</v>
      </c>
      <c r="T236" s="30">
        <v>7</v>
      </c>
      <c r="U236" s="30">
        <v>9</v>
      </c>
      <c r="V236" s="30">
        <v>9</v>
      </c>
      <c r="W236" s="1">
        <v>8</v>
      </c>
      <c r="X236" s="1">
        <v>10</v>
      </c>
      <c r="Y236" s="1" t="s">
        <v>2364</v>
      </c>
      <c r="Z236" s="30">
        <v>6</v>
      </c>
      <c r="AA236" s="1" t="b">
        <v>1</v>
      </c>
      <c r="AB236" s="1"/>
      <c r="AC236" s="57" t="s">
        <v>1416</v>
      </c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  <c r="IX236" s="1"/>
      <c r="IY236" s="1"/>
      <c r="IZ236" s="1"/>
      <c r="JA236" s="1"/>
      <c r="JB236" s="1"/>
      <c r="JC236" s="1"/>
      <c r="JD236" s="1"/>
      <c r="JE236" s="1"/>
      <c r="JF236" s="1"/>
      <c r="JG236" s="1"/>
      <c r="JH236" s="1"/>
      <c r="JI236" s="1"/>
      <c r="JJ236" s="1"/>
      <c r="JK236" s="1"/>
      <c r="JL236" s="1"/>
      <c r="JM236" s="1"/>
      <c r="JN236" s="1"/>
      <c r="JO236" s="1"/>
      <c r="JP236" s="1"/>
      <c r="JQ236" s="1"/>
      <c r="JR236" s="1"/>
      <c r="JS236" s="1"/>
      <c r="JT236" s="1"/>
      <c r="JU236" s="1"/>
      <c r="JV236" s="1"/>
      <c r="JW236" s="1"/>
      <c r="JX236" s="1"/>
      <c r="JY236" s="1"/>
      <c r="JZ236" s="1"/>
      <c r="KA236" s="1"/>
      <c r="KB236" s="1"/>
      <c r="KC236" s="1"/>
      <c r="KD236" s="1"/>
      <c r="KE236" s="1"/>
      <c r="KF236" s="1"/>
      <c r="KG236" s="1"/>
      <c r="KH236" s="1"/>
      <c r="KI236" s="1"/>
      <c r="KJ236" s="1"/>
      <c r="KK236" s="1"/>
      <c r="KL236" s="1"/>
      <c r="KM236" s="1"/>
      <c r="KN236" s="1"/>
      <c r="KO236" s="1"/>
      <c r="KP236" s="1"/>
      <c r="KQ236" s="1"/>
      <c r="KR236" s="1"/>
      <c r="KS236" s="1"/>
      <c r="KT236" s="1"/>
      <c r="KU236" s="1"/>
      <c r="KV236" s="1"/>
      <c r="KW236" s="1"/>
      <c r="KX236" s="1"/>
      <c r="KY236" s="1"/>
      <c r="KZ236" s="1"/>
      <c r="LA236" s="1"/>
      <c r="LB236" s="1"/>
      <c r="LC236" s="1"/>
      <c r="LD236" s="1"/>
      <c r="LE236" s="1"/>
      <c r="LF236" s="1"/>
      <c r="LG236" s="1"/>
      <c r="LH236" s="1"/>
      <c r="LI236" s="1"/>
      <c r="LJ236" s="1"/>
      <c r="LK236" s="1"/>
      <c r="LL236" s="1"/>
      <c r="LM236" s="1"/>
      <c r="LN236" s="1"/>
      <c r="LO236" s="1"/>
      <c r="LP236" s="1"/>
      <c r="LQ236" s="1"/>
      <c r="LR236" s="1"/>
      <c r="LS236" s="1"/>
    </row>
    <row r="237" spans="1:331" s="25" customFormat="1" x14ac:dyDescent="0.25">
      <c r="A237" s="25" t="s">
        <v>936</v>
      </c>
      <c r="B237" s="29" t="s">
        <v>937</v>
      </c>
      <c r="C237" s="13" t="s">
        <v>2074</v>
      </c>
      <c r="D237" s="25">
        <v>0</v>
      </c>
      <c r="H237" s="25" t="s">
        <v>938</v>
      </c>
      <c r="I237" s="25" t="s">
        <v>939</v>
      </c>
      <c r="J237" s="25" t="s">
        <v>938</v>
      </c>
      <c r="K237" s="25" t="s">
        <v>110</v>
      </c>
      <c r="L237" s="25">
        <v>0</v>
      </c>
      <c r="O237" s="25">
        <v>0</v>
      </c>
      <c r="Q237" s="1" t="s">
        <v>1619</v>
      </c>
      <c r="R237" s="1"/>
      <c r="T237" s="25">
        <v>10</v>
      </c>
      <c r="V237" s="25">
        <v>10</v>
      </c>
      <c r="W237" s="1">
        <v>10</v>
      </c>
      <c r="X237" s="1">
        <v>19</v>
      </c>
      <c r="Y237" s="1" t="s">
        <v>2365</v>
      </c>
      <c r="Z237" s="25">
        <v>5</v>
      </c>
      <c r="AA237" s="1" t="b">
        <v>1</v>
      </c>
      <c r="AB237" s="1"/>
      <c r="AC237" s="57" t="s">
        <v>1374</v>
      </c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  <c r="IY237" s="1"/>
      <c r="IZ237" s="1"/>
      <c r="JA237" s="1"/>
      <c r="JB237" s="1"/>
      <c r="JC237" s="1"/>
      <c r="JD237" s="1"/>
      <c r="JE237" s="1"/>
      <c r="JF237" s="1"/>
      <c r="JG237" s="1"/>
      <c r="JH237" s="1"/>
      <c r="JI237" s="1"/>
      <c r="JJ237" s="1"/>
      <c r="JK237" s="1"/>
      <c r="JL237" s="1"/>
      <c r="JM237" s="1"/>
      <c r="JN237" s="1"/>
      <c r="JO237" s="1"/>
      <c r="JP237" s="1"/>
      <c r="JQ237" s="1"/>
      <c r="JR237" s="1"/>
      <c r="JS237" s="1"/>
      <c r="JT237" s="1"/>
      <c r="JU237" s="1"/>
      <c r="JV237" s="1"/>
      <c r="JW237" s="1"/>
      <c r="JX237" s="1"/>
      <c r="JY237" s="1"/>
      <c r="JZ237" s="1"/>
      <c r="KA237" s="1"/>
      <c r="KB237" s="1"/>
      <c r="KC237" s="1"/>
      <c r="KD237" s="1"/>
      <c r="KE237" s="1"/>
      <c r="KF237" s="1"/>
      <c r="KG237" s="1"/>
      <c r="KH237" s="1"/>
      <c r="KI237" s="1"/>
      <c r="KJ237" s="1"/>
      <c r="KK237" s="1"/>
      <c r="KL237" s="1"/>
      <c r="KM237" s="1"/>
      <c r="KN237" s="1"/>
      <c r="KO237" s="1"/>
      <c r="KP237" s="1"/>
      <c r="KQ237" s="1"/>
      <c r="KR237" s="1"/>
      <c r="KS237" s="1"/>
      <c r="KT237" s="1"/>
      <c r="KU237" s="1"/>
      <c r="KV237" s="1"/>
      <c r="KW237" s="1"/>
      <c r="KX237" s="1"/>
      <c r="KY237" s="1"/>
      <c r="KZ237" s="1"/>
      <c r="LA237" s="1"/>
      <c r="LB237" s="1"/>
      <c r="LC237" s="1"/>
      <c r="LD237" s="1"/>
      <c r="LE237" s="1"/>
      <c r="LF237" s="1"/>
      <c r="LG237" s="1"/>
      <c r="LH237" s="1"/>
      <c r="LI237" s="1"/>
      <c r="LJ237" s="1"/>
      <c r="LK237" s="1"/>
      <c r="LL237" s="1"/>
      <c r="LM237" s="1"/>
      <c r="LN237" s="1"/>
      <c r="LO237" s="1"/>
      <c r="LP237" s="1"/>
      <c r="LQ237" s="1"/>
      <c r="LR237" s="1"/>
      <c r="LS237" s="1"/>
    </row>
    <row r="238" spans="1:331" s="45" customFormat="1" x14ac:dyDescent="0.25">
      <c r="A238" s="45" t="s">
        <v>940</v>
      </c>
      <c r="C238" s="1" t="s">
        <v>2074</v>
      </c>
      <c r="D238" s="45">
        <v>1</v>
      </c>
      <c r="E238" s="45" t="s">
        <v>111</v>
      </c>
      <c r="H238" s="45" t="s">
        <v>941</v>
      </c>
      <c r="I238" s="45" t="s">
        <v>111</v>
      </c>
      <c r="J238" s="45" t="s">
        <v>941</v>
      </c>
      <c r="K238" s="45" t="s">
        <v>941</v>
      </c>
      <c r="L238" s="45">
        <v>1</v>
      </c>
      <c r="M238" s="45" t="s">
        <v>612</v>
      </c>
      <c r="O238" s="45">
        <v>1</v>
      </c>
      <c r="P238" s="45" t="s">
        <v>942</v>
      </c>
      <c r="Q238" s="1"/>
      <c r="R238" s="1" t="s">
        <v>943</v>
      </c>
      <c r="S238" s="45">
        <v>11</v>
      </c>
      <c r="W238" s="1"/>
      <c r="X238" s="1"/>
      <c r="Y238" s="1"/>
      <c r="Z238" s="45">
        <v>-1</v>
      </c>
      <c r="AA238" s="1" t="b">
        <v>0</v>
      </c>
      <c r="AB238" s="1"/>
      <c r="AC238" s="57" t="s">
        <v>1257</v>
      </c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  <c r="IY238" s="1"/>
      <c r="IZ238" s="1"/>
      <c r="JA238" s="1"/>
      <c r="JB238" s="1"/>
      <c r="JC238" s="1"/>
      <c r="JD238" s="1"/>
      <c r="JE238" s="1"/>
      <c r="JF238" s="1"/>
      <c r="JG238" s="1"/>
      <c r="JH238" s="1"/>
      <c r="JI238" s="1"/>
      <c r="JJ238" s="1"/>
      <c r="JK238" s="1"/>
      <c r="JL238" s="1"/>
      <c r="JM238" s="1"/>
      <c r="JN238" s="1"/>
      <c r="JO238" s="1"/>
      <c r="JP238" s="1"/>
      <c r="JQ238" s="1"/>
      <c r="JR238" s="1"/>
      <c r="JS238" s="1"/>
      <c r="JT238" s="1"/>
      <c r="JU238" s="1"/>
      <c r="JV238" s="1"/>
      <c r="JW238" s="1"/>
      <c r="JX238" s="1"/>
      <c r="JY238" s="1"/>
      <c r="JZ238" s="1"/>
      <c r="KA238" s="1"/>
      <c r="KB238" s="1"/>
      <c r="KC238" s="1"/>
      <c r="KD238" s="1"/>
      <c r="KE238" s="1"/>
      <c r="KF238" s="1"/>
      <c r="KG238" s="1"/>
      <c r="KH238" s="1"/>
      <c r="KI238" s="1"/>
      <c r="KJ238" s="1"/>
      <c r="KK238" s="1"/>
      <c r="KL238" s="1"/>
      <c r="KM238" s="1"/>
      <c r="KN238" s="1"/>
      <c r="KO238" s="1"/>
      <c r="KP238" s="1"/>
      <c r="KQ238" s="1"/>
      <c r="KR238" s="1"/>
      <c r="KS238" s="1"/>
      <c r="KT238" s="1"/>
      <c r="KU238" s="1"/>
      <c r="KV238" s="1"/>
      <c r="KW238" s="1"/>
      <c r="KX238" s="1"/>
      <c r="KY238" s="1"/>
      <c r="KZ238" s="1"/>
      <c r="LA238" s="1"/>
      <c r="LB238" s="1"/>
      <c r="LC238" s="1"/>
      <c r="LD238" s="1"/>
      <c r="LE238" s="1"/>
      <c r="LF238" s="1"/>
      <c r="LG238" s="1"/>
      <c r="LH238" s="1"/>
      <c r="LI238" s="1"/>
      <c r="LJ238" s="1"/>
      <c r="LK238" s="1"/>
      <c r="LL238" s="1"/>
      <c r="LM238" s="1"/>
      <c r="LN238" s="1"/>
      <c r="LO238" s="1"/>
      <c r="LP238" s="1"/>
      <c r="LQ238" s="1"/>
      <c r="LR238" s="1"/>
      <c r="LS238" s="1"/>
    </row>
    <row r="239" spans="1:331" s="25" customFormat="1" x14ac:dyDescent="0.25">
      <c r="A239" s="25" t="s">
        <v>944</v>
      </c>
      <c r="B239" s="29" t="s">
        <v>945</v>
      </c>
      <c r="C239" s="13" t="s">
        <v>2074</v>
      </c>
      <c r="D239" s="25">
        <v>0</v>
      </c>
      <c r="H239" s="25" t="s">
        <v>946</v>
      </c>
      <c r="I239" s="25" t="s">
        <v>943</v>
      </c>
      <c r="J239" s="25" t="s">
        <v>946</v>
      </c>
      <c r="K239" s="25" t="s">
        <v>2129</v>
      </c>
      <c r="L239" s="25">
        <v>0</v>
      </c>
      <c r="O239" s="25">
        <v>0</v>
      </c>
      <c r="Q239" s="1" t="s">
        <v>1620</v>
      </c>
      <c r="R239" s="1"/>
      <c r="S239" s="25">
        <v>8</v>
      </c>
      <c r="U239" s="25">
        <v>8</v>
      </c>
      <c r="W239" s="1">
        <v>8</v>
      </c>
      <c r="X239" s="1">
        <v>7</v>
      </c>
      <c r="Y239" s="1" t="s">
        <v>2366</v>
      </c>
      <c r="Z239" s="25">
        <v>5</v>
      </c>
      <c r="AA239" s="1" t="b">
        <v>1</v>
      </c>
      <c r="AB239" s="1"/>
      <c r="AC239" s="57" t="s">
        <v>1320</v>
      </c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  <c r="IY239" s="1"/>
      <c r="IZ239" s="1"/>
      <c r="JA239" s="1"/>
      <c r="JB239" s="1"/>
      <c r="JC239" s="1"/>
      <c r="JD239" s="1"/>
      <c r="JE239" s="1"/>
      <c r="JF239" s="1"/>
      <c r="JG239" s="1"/>
      <c r="JH239" s="1"/>
      <c r="JI239" s="1"/>
      <c r="JJ239" s="1"/>
      <c r="JK239" s="1"/>
      <c r="JL239" s="1"/>
      <c r="JM239" s="1"/>
      <c r="JN239" s="1"/>
      <c r="JO239" s="1"/>
      <c r="JP239" s="1"/>
      <c r="JQ239" s="1"/>
      <c r="JR239" s="1"/>
      <c r="JS239" s="1"/>
      <c r="JT239" s="1"/>
      <c r="JU239" s="1"/>
      <c r="JV239" s="1"/>
      <c r="JW239" s="1"/>
      <c r="JX239" s="1"/>
      <c r="JY239" s="1"/>
      <c r="JZ239" s="1"/>
      <c r="KA239" s="1"/>
      <c r="KB239" s="1"/>
      <c r="KC239" s="1"/>
      <c r="KD239" s="1"/>
      <c r="KE239" s="1"/>
      <c r="KF239" s="1"/>
      <c r="KG239" s="1"/>
      <c r="KH239" s="1"/>
      <c r="KI239" s="1"/>
      <c r="KJ239" s="1"/>
      <c r="KK239" s="1"/>
      <c r="KL239" s="1"/>
      <c r="KM239" s="1"/>
      <c r="KN239" s="1"/>
      <c r="KO239" s="1"/>
      <c r="KP239" s="1"/>
      <c r="KQ239" s="1"/>
      <c r="KR239" s="1"/>
      <c r="KS239" s="1"/>
      <c r="KT239" s="1"/>
      <c r="KU239" s="1"/>
      <c r="KV239" s="1"/>
      <c r="KW239" s="1"/>
      <c r="KX239" s="1"/>
      <c r="KY239" s="1"/>
      <c r="KZ239" s="1"/>
      <c r="LA239" s="1"/>
      <c r="LB239" s="1"/>
      <c r="LC239" s="1"/>
      <c r="LD239" s="1"/>
      <c r="LE239" s="1"/>
      <c r="LF239" s="1"/>
      <c r="LG239" s="1"/>
      <c r="LH239" s="1"/>
      <c r="LI239" s="1"/>
      <c r="LJ239" s="1"/>
      <c r="LK239" s="1"/>
      <c r="LL239" s="1"/>
      <c r="LM239" s="1"/>
      <c r="LN239" s="1"/>
      <c r="LO239" s="1"/>
      <c r="LP239" s="1"/>
      <c r="LQ239" s="1"/>
      <c r="LR239" s="1"/>
      <c r="LS239" s="1"/>
    </row>
    <row r="240" spans="1:331" s="25" customFormat="1" x14ac:dyDescent="0.25">
      <c r="A240" s="25" t="s">
        <v>947</v>
      </c>
      <c r="B240" s="29" t="s">
        <v>948</v>
      </c>
      <c r="C240" s="13" t="s">
        <v>2074</v>
      </c>
      <c r="D240" s="25">
        <v>0</v>
      </c>
      <c r="H240" s="25" t="s">
        <v>949</v>
      </c>
      <c r="I240" s="25" t="s">
        <v>762</v>
      </c>
      <c r="J240" s="25" t="s">
        <v>949</v>
      </c>
      <c r="K240" s="25" t="s">
        <v>2130</v>
      </c>
      <c r="L240" s="25">
        <v>0</v>
      </c>
      <c r="O240" s="25">
        <v>0</v>
      </c>
      <c r="Q240" s="1" t="s">
        <v>1621</v>
      </c>
      <c r="R240" s="1"/>
      <c r="S240" s="25">
        <v>15</v>
      </c>
      <c r="U240" s="25">
        <v>14</v>
      </c>
      <c r="W240" s="1">
        <v>15</v>
      </c>
      <c r="X240" s="1">
        <v>17</v>
      </c>
      <c r="Y240" s="1" t="s">
        <v>2367</v>
      </c>
      <c r="Z240" s="25">
        <v>5</v>
      </c>
      <c r="AA240" s="1" t="b">
        <v>1</v>
      </c>
      <c r="AB240" s="1"/>
      <c r="AC240" s="57" t="s">
        <v>1375</v>
      </c>
      <c r="AD240" s="1" t="b">
        <v>1</v>
      </c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  <c r="IY240" s="1"/>
      <c r="IZ240" s="1"/>
      <c r="JA240" s="1"/>
      <c r="JB240" s="1"/>
      <c r="JC240" s="1"/>
      <c r="JD240" s="1"/>
      <c r="JE240" s="1"/>
      <c r="JF240" s="1"/>
      <c r="JG240" s="1"/>
      <c r="JH240" s="1"/>
      <c r="JI240" s="1"/>
      <c r="JJ240" s="1"/>
      <c r="JK240" s="1"/>
      <c r="JL240" s="1"/>
      <c r="JM240" s="1"/>
      <c r="JN240" s="1"/>
      <c r="JO240" s="1"/>
      <c r="JP240" s="1"/>
      <c r="JQ240" s="1"/>
      <c r="JR240" s="1"/>
      <c r="JS240" s="1"/>
      <c r="JT240" s="1"/>
      <c r="JU240" s="1"/>
      <c r="JV240" s="1"/>
      <c r="JW240" s="1"/>
      <c r="JX240" s="1"/>
      <c r="JY240" s="1"/>
      <c r="JZ240" s="1"/>
      <c r="KA240" s="1"/>
      <c r="KB240" s="1"/>
      <c r="KC240" s="1"/>
      <c r="KD240" s="1"/>
      <c r="KE240" s="1"/>
      <c r="KF240" s="1"/>
      <c r="KG240" s="1"/>
      <c r="KH240" s="1"/>
      <c r="KI240" s="1"/>
      <c r="KJ240" s="1"/>
      <c r="KK240" s="1"/>
      <c r="KL240" s="1"/>
      <c r="KM240" s="1"/>
      <c r="KN240" s="1"/>
      <c r="KO240" s="1"/>
      <c r="KP240" s="1"/>
      <c r="KQ240" s="1"/>
      <c r="KR240" s="1"/>
      <c r="KS240" s="1"/>
      <c r="KT240" s="1"/>
      <c r="KU240" s="1"/>
      <c r="KV240" s="1"/>
      <c r="KW240" s="1"/>
      <c r="KX240" s="1"/>
      <c r="KY240" s="1"/>
      <c r="KZ240" s="1"/>
      <c r="LA240" s="1"/>
      <c r="LB240" s="1"/>
      <c r="LC240" s="1"/>
      <c r="LD240" s="1"/>
      <c r="LE240" s="1"/>
      <c r="LF240" s="1"/>
      <c r="LG240" s="1"/>
      <c r="LH240" s="1"/>
      <c r="LI240" s="1"/>
      <c r="LJ240" s="1"/>
      <c r="LK240" s="1"/>
      <c r="LL240" s="1"/>
      <c r="LM240" s="1"/>
      <c r="LN240" s="1"/>
      <c r="LO240" s="1"/>
      <c r="LP240" s="1"/>
      <c r="LQ240" s="1"/>
      <c r="LR240" s="1"/>
      <c r="LS240" s="1"/>
    </row>
    <row r="241" spans="1:331" s="30" customFormat="1" x14ac:dyDescent="0.25">
      <c r="A241" s="30" t="s">
        <v>950</v>
      </c>
      <c r="B241" s="34" t="s">
        <v>951</v>
      </c>
      <c r="C241" s="13" t="s">
        <v>2074</v>
      </c>
      <c r="D241" s="30">
        <v>1</v>
      </c>
      <c r="E241" s="30" t="s">
        <v>952</v>
      </c>
      <c r="H241" s="30" t="s">
        <v>953</v>
      </c>
      <c r="I241" s="30" t="s">
        <v>952</v>
      </c>
      <c r="J241" s="30" t="s">
        <v>953</v>
      </c>
      <c r="K241" s="30" t="s">
        <v>952</v>
      </c>
      <c r="L241" s="30">
        <v>0</v>
      </c>
      <c r="O241" s="30">
        <v>0</v>
      </c>
      <c r="Q241" s="1" t="s">
        <v>1622</v>
      </c>
      <c r="R241" s="1"/>
      <c r="T241" s="30">
        <v>13</v>
      </c>
      <c r="W241" s="1">
        <v>13</v>
      </c>
      <c r="X241" s="1">
        <v>11</v>
      </c>
      <c r="Y241" s="1" t="s">
        <v>2368</v>
      </c>
      <c r="Z241" s="30">
        <v>6</v>
      </c>
      <c r="AA241" s="1" t="b">
        <v>1</v>
      </c>
      <c r="AB241" s="1"/>
      <c r="AC241" s="57" t="s">
        <v>1292</v>
      </c>
      <c r="AD241" s="1" t="b">
        <v>1</v>
      </c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  <c r="IY241" s="1"/>
      <c r="IZ241" s="1"/>
      <c r="JA241" s="1"/>
      <c r="JB241" s="1"/>
      <c r="JC241" s="1"/>
      <c r="JD241" s="1"/>
      <c r="JE241" s="1"/>
      <c r="JF241" s="1"/>
      <c r="JG241" s="1"/>
      <c r="JH241" s="1"/>
      <c r="JI241" s="1"/>
      <c r="JJ241" s="1"/>
      <c r="JK241" s="1"/>
      <c r="JL241" s="1"/>
      <c r="JM241" s="1"/>
      <c r="JN241" s="1"/>
      <c r="JO241" s="1"/>
      <c r="JP241" s="1"/>
      <c r="JQ241" s="1"/>
      <c r="JR241" s="1"/>
      <c r="JS241" s="1"/>
      <c r="JT241" s="1"/>
      <c r="JU241" s="1"/>
      <c r="JV241" s="1"/>
      <c r="JW241" s="1"/>
      <c r="JX241" s="1"/>
      <c r="JY241" s="1"/>
      <c r="JZ241" s="1"/>
      <c r="KA241" s="1"/>
      <c r="KB241" s="1"/>
      <c r="KC241" s="1"/>
      <c r="KD241" s="1"/>
      <c r="KE241" s="1"/>
      <c r="KF241" s="1"/>
      <c r="KG241" s="1"/>
      <c r="KH241" s="1"/>
      <c r="KI241" s="1"/>
      <c r="KJ241" s="1"/>
      <c r="KK241" s="1"/>
      <c r="KL241" s="1"/>
      <c r="KM241" s="1"/>
      <c r="KN241" s="1"/>
      <c r="KO241" s="1"/>
      <c r="KP241" s="1"/>
      <c r="KQ241" s="1"/>
      <c r="KR241" s="1"/>
      <c r="KS241" s="1"/>
      <c r="KT241" s="1"/>
      <c r="KU241" s="1"/>
      <c r="KV241" s="1"/>
      <c r="KW241" s="1"/>
      <c r="KX241" s="1"/>
      <c r="KY241" s="1"/>
      <c r="KZ241" s="1"/>
      <c r="LA241" s="1"/>
      <c r="LB241" s="1"/>
      <c r="LC241" s="1"/>
      <c r="LD241" s="1"/>
      <c r="LE241" s="1"/>
      <c r="LF241" s="1"/>
      <c r="LG241" s="1"/>
      <c r="LH241" s="1"/>
      <c r="LI241" s="1"/>
      <c r="LJ241" s="1"/>
      <c r="LK241" s="1"/>
      <c r="LL241" s="1"/>
      <c r="LM241" s="1"/>
      <c r="LN241" s="1"/>
      <c r="LO241" s="1"/>
      <c r="LP241" s="1"/>
      <c r="LQ241" s="1"/>
      <c r="LR241" s="1"/>
      <c r="LS241" s="1"/>
    </row>
    <row r="242" spans="1:331" s="40" customFormat="1" x14ac:dyDescent="0.25">
      <c r="A242" s="40" t="s">
        <v>954</v>
      </c>
      <c r="B242" s="44" t="s">
        <v>955</v>
      </c>
      <c r="C242" s="13" t="s">
        <v>2074</v>
      </c>
      <c r="D242" s="40">
        <v>0</v>
      </c>
      <c r="H242" s="40" t="s">
        <v>333</v>
      </c>
      <c r="I242" s="40" t="s">
        <v>333</v>
      </c>
      <c r="J242" s="40" t="s">
        <v>956</v>
      </c>
      <c r="K242" s="40" t="s">
        <v>334</v>
      </c>
      <c r="L242" s="40">
        <v>0</v>
      </c>
      <c r="O242" s="40">
        <v>1</v>
      </c>
      <c r="P242" s="40" t="s">
        <v>375</v>
      </c>
      <c r="Q242" s="1" t="s">
        <v>1623</v>
      </c>
      <c r="R242" s="1"/>
      <c r="S242" s="40">
        <v>8</v>
      </c>
      <c r="U242" s="40">
        <v>7</v>
      </c>
      <c r="W242" s="1">
        <v>8</v>
      </c>
      <c r="X242" s="1">
        <v>14</v>
      </c>
      <c r="Y242" s="1" t="s">
        <v>2369</v>
      </c>
      <c r="Z242" s="40">
        <v>8</v>
      </c>
      <c r="AA242" s="1" t="b">
        <v>1</v>
      </c>
      <c r="AB242" s="1"/>
      <c r="AC242" s="57" t="s">
        <v>1463</v>
      </c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  <c r="IY242" s="1"/>
      <c r="IZ242" s="1"/>
      <c r="JA242" s="1"/>
      <c r="JB242" s="1"/>
      <c r="JC242" s="1"/>
      <c r="JD242" s="1"/>
      <c r="JE242" s="1"/>
      <c r="JF242" s="1"/>
      <c r="JG242" s="1"/>
      <c r="JH242" s="1"/>
      <c r="JI242" s="1"/>
      <c r="JJ242" s="1"/>
      <c r="JK242" s="1"/>
      <c r="JL242" s="1"/>
      <c r="JM242" s="1"/>
      <c r="JN242" s="1"/>
      <c r="JO242" s="1"/>
      <c r="JP242" s="1"/>
      <c r="JQ242" s="1"/>
      <c r="JR242" s="1"/>
      <c r="JS242" s="1"/>
      <c r="JT242" s="1"/>
      <c r="JU242" s="1"/>
      <c r="JV242" s="1"/>
      <c r="JW242" s="1"/>
      <c r="JX242" s="1"/>
      <c r="JY242" s="1"/>
      <c r="JZ242" s="1"/>
      <c r="KA242" s="1"/>
      <c r="KB242" s="1"/>
      <c r="KC242" s="1"/>
      <c r="KD242" s="1"/>
      <c r="KE242" s="1"/>
      <c r="KF242" s="1"/>
      <c r="KG242" s="1"/>
      <c r="KH242" s="1"/>
      <c r="KI242" s="1"/>
      <c r="KJ242" s="1"/>
      <c r="KK242" s="1"/>
      <c r="KL242" s="1"/>
      <c r="KM242" s="1"/>
      <c r="KN242" s="1"/>
      <c r="KO242" s="1"/>
      <c r="KP242" s="1"/>
      <c r="KQ242" s="1"/>
      <c r="KR242" s="1"/>
      <c r="KS242" s="1"/>
      <c r="KT242" s="1"/>
      <c r="KU242" s="1"/>
      <c r="KV242" s="1"/>
      <c r="KW242" s="1"/>
      <c r="KX242" s="1"/>
      <c r="KY242" s="1"/>
      <c r="KZ242" s="1"/>
      <c r="LA242" s="1"/>
      <c r="LB242" s="1"/>
      <c r="LC242" s="1"/>
      <c r="LD242" s="1"/>
      <c r="LE242" s="1"/>
      <c r="LF242" s="1"/>
      <c r="LG242" s="1"/>
      <c r="LH242" s="1"/>
      <c r="LI242" s="1"/>
      <c r="LJ242" s="1"/>
      <c r="LK242" s="1"/>
      <c r="LL242" s="1"/>
      <c r="LM242" s="1"/>
      <c r="LN242" s="1"/>
      <c r="LO242" s="1"/>
      <c r="LP242" s="1"/>
      <c r="LQ242" s="1"/>
      <c r="LR242" s="1"/>
      <c r="LS242" s="1"/>
    </row>
    <row r="243" spans="1:331" s="75" customFormat="1" x14ac:dyDescent="0.25">
      <c r="A243" s="75" t="s">
        <v>957</v>
      </c>
      <c r="B243" s="79" t="s">
        <v>958</v>
      </c>
      <c r="C243" s="13" t="s">
        <v>2074</v>
      </c>
      <c r="D243" s="75">
        <v>0</v>
      </c>
      <c r="H243" s="75" t="s">
        <v>335</v>
      </c>
      <c r="I243" s="75" t="s">
        <v>333</v>
      </c>
      <c r="J243" s="75" t="s">
        <v>335</v>
      </c>
      <c r="K243" s="75" t="s">
        <v>335</v>
      </c>
      <c r="L243" s="75">
        <v>0</v>
      </c>
      <c r="O243" s="75">
        <v>1</v>
      </c>
      <c r="P243" s="75" t="s">
        <v>959</v>
      </c>
      <c r="Q243" s="1"/>
      <c r="R243" s="1" t="s">
        <v>319</v>
      </c>
      <c r="S243" s="75">
        <v>10</v>
      </c>
      <c r="U243" s="75">
        <v>10</v>
      </c>
      <c r="W243" s="75">
        <v>10</v>
      </c>
      <c r="X243" s="1">
        <v>15</v>
      </c>
      <c r="Y243" s="1" t="s">
        <v>2370</v>
      </c>
      <c r="Z243" s="75">
        <v>14</v>
      </c>
      <c r="AA243" s="75" t="b">
        <v>1</v>
      </c>
      <c r="AC243" s="78" t="s">
        <v>1311</v>
      </c>
    </row>
    <row r="244" spans="1:331" s="40" customFormat="1" x14ac:dyDescent="0.25">
      <c r="A244" s="40" t="s">
        <v>960</v>
      </c>
      <c r="B244" s="44" t="s">
        <v>961</v>
      </c>
      <c r="C244" s="13" t="s">
        <v>2074</v>
      </c>
      <c r="D244" s="40">
        <v>0</v>
      </c>
      <c r="H244" s="40" t="s">
        <v>962</v>
      </c>
      <c r="I244" s="40" t="s">
        <v>963</v>
      </c>
      <c r="J244" s="40" t="s">
        <v>964</v>
      </c>
      <c r="K244" s="40" t="s">
        <v>963</v>
      </c>
      <c r="L244" s="40">
        <v>0</v>
      </c>
      <c r="O244" s="40">
        <v>1</v>
      </c>
      <c r="P244" s="40" t="s">
        <v>371</v>
      </c>
      <c r="Q244" s="1" t="s">
        <v>1624</v>
      </c>
      <c r="R244" s="1"/>
      <c r="T244" s="40">
        <v>15</v>
      </c>
      <c r="V244" s="40">
        <v>11</v>
      </c>
      <c r="W244" s="1">
        <v>15</v>
      </c>
      <c r="X244" s="1">
        <v>17</v>
      </c>
      <c r="Y244" s="1" t="s">
        <v>2371</v>
      </c>
      <c r="Z244" s="40">
        <v>8</v>
      </c>
      <c r="AA244" s="1" t="b">
        <v>1</v>
      </c>
      <c r="AB244" s="1"/>
      <c r="AC244" s="57" t="s">
        <v>1464</v>
      </c>
      <c r="AD244" s="1" t="b">
        <v>1</v>
      </c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  <c r="IW244" s="1"/>
      <c r="IX244" s="1"/>
      <c r="IY244" s="1"/>
      <c r="IZ244" s="1"/>
      <c r="JA244" s="1"/>
      <c r="JB244" s="1"/>
      <c r="JC244" s="1"/>
      <c r="JD244" s="1"/>
      <c r="JE244" s="1"/>
      <c r="JF244" s="1"/>
      <c r="JG244" s="1"/>
      <c r="JH244" s="1"/>
      <c r="JI244" s="1"/>
      <c r="JJ244" s="1"/>
      <c r="JK244" s="1"/>
      <c r="JL244" s="1"/>
      <c r="JM244" s="1"/>
      <c r="JN244" s="1"/>
      <c r="JO244" s="1"/>
      <c r="JP244" s="1"/>
      <c r="JQ244" s="1"/>
      <c r="JR244" s="1"/>
      <c r="JS244" s="1"/>
      <c r="JT244" s="1"/>
      <c r="JU244" s="1"/>
      <c r="JV244" s="1"/>
      <c r="JW244" s="1"/>
      <c r="JX244" s="1"/>
      <c r="JY244" s="1"/>
      <c r="JZ244" s="1"/>
      <c r="KA244" s="1"/>
      <c r="KB244" s="1"/>
      <c r="KC244" s="1"/>
      <c r="KD244" s="1"/>
      <c r="KE244" s="1"/>
      <c r="KF244" s="1"/>
      <c r="KG244" s="1"/>
      <c r="KH244" s="1"/>
      <c r="KI244" s="1"/>
      <c r="KJ244" s="1"/>
      <c r="KK244" s="1"/>
      <c r="KL244" s="1"/>
      <c r="KM244" s="1"/>
      <c r="KN244" s="1"/>
      <c r="KO244" s="1"/>
      <c r="KP244" s="1"/>
      <c r="KQ244" s="1"/>
      <c r="KR244" s="1"/>
      <c r="KS244" s="1"/>
      <c r="KT244" s="1"/>
      <c r="KU244" s="1"/>
      <c r="KV244" s="1"/>
      <c r="KW244" s="1"/>
      <c r="KX244" s="1"/>
      <c r="KY244" s="1"/>
      <c r="KZ244" s="1"/>
      <c r="LA244" s="1"/>
      <c r="LB244" s="1"/>
      <c r="LC244" s="1"/>
      <c r="LD244" s="1"/>
      <c r="LE244" s="1"/>
      <c r="LF244" s="1"/>
      <c r="LG244" s="1"/>
      <c r="LH244" s="1"/>
      <c r="LI244" s="1"/>
      <c r="LJ244" s="1"/>
      <c r="LK244" s="1"/>
      <c r="LL244" s="1"/>
      <c r="LM244" s="1"/>
      <c r="LN244" s="1"/>
      <c r="LO244" s="1"/>
      <c r="LP244" s="1"/>
      <c r="LQ244" s="1"/>
      <c r="LR244" s="1"/>
      <c r="LS244" s="1"/>
    </row>
    <row r="245" spans="1:331" s="40" customFormat="1" x14ac:dyDescent="0.25">
      <c r="A245" s="40" t="s">
        <v>965</v>
      </c>
      <c r="B245" s="44" t="s">
        <v>966</v>
      </c>
      <c r="C245" s="13" t="s">
        <v>2074</v>
      </c>
      <c r="D245" s="40">
        <v>0</v>
      </c>
      <c r="H245" s="40" t="s">
        <v>967</v>
      </c>
      <c r="I245" s="40" t="s">
        <v>968</v>
      </c>
      <c r="J245" s="40" t="s">
        <v>969</v>
      </c>
      <c r="K245" s="40" t="s">
        <v>967</v>
      </c>
      <c r="L245" s="40">
        <v>0</v>
      </c>
      <c r="O245" s="40">
        <v>1</v>
      </c>
      <c r="P245" s="40" t="s">
        <v>970</v>
      </c>
      <c r="Q245" s="1" t="s">
        <v>1625</v>
      </c>
      <c r="R245" s="1"/>
      <c r="S245" s="40">
        <v>4</v>
      </c>
      <c r="T245" s="40">
        <v>10</v>
      </c>
      <c r="U245" s="40">
        <v>6</v>
      </c>
      <c r="V245" s="40">
        <v>10</v>
      </c>
      <c r="W245" s="1">
        <v>10</v>
      </c>
      <c r="X245" s="1">
        <v>11</v>
      </c>
      <c r="Y245" s="1" t="s">
        <v>2372</v>
      </c>
      <c r="Z245" s="40">
        <v>8</v>
      </c>
      <c r="AA245" s="1" t="b">
        <v>1</v>
      </c>
      <c r="AB245" s="1"/>
      <c r="AC245" s="57" t="s">
        <v>1465</v>
      </c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  <c r="IX245" s="1"/>
      <c r="IY245" s="1"/>
      <c r="IZ245" s="1"/>
      <c r="JA245" s="1"/>
      <c r="JB245" s="1"/>
      <c r="JC245" s="1"/>
      <c r="JD245" s="1"/>
      <c r="JE245" s="1"/>
      <c r="JF245" s="1"/>
      <c r="JG245" s="1"/>
      <c r="JH245" s="1"/>
      <c r="JI245" s="1"/>
      <c r="JJ245" s="1"/>
      <c r="JK245" s="1"/>
      <c r="JL245" s="1"/>
      <c r="JM245" s="1"/>
      <c r="JN245" s="1"/>
      <c r="JO245" s="1"/>
      <c r="JP245" s="1"/>
      <c r="JQ245" s="1"/>
      <c r="JR245" s="1"/>
      <c r="JS245" s="1"/>
      <c r="JT245" s="1"/>
      <c r="JU245" s="1"/>
      <c r="JV245" s="1"/>
      <c r="JW245" s="1"/>
      <c r="JX245" s="1"/>
      <c r="JY245" s="1"/>
      <c r="JZ245" s="1"/>
      <c r="KA245" s="1"/>
      <c r="KB245" s="1"/>
      <c r="KC245" s="1"/>
      <c r="KD245" s="1"/>
      <c r="KE245" s="1"/>
      <c r="KF245" s="1"/>
      <c r="KG245" s="1"/>
      <c r="KH245" s="1"/>
      <c r="KI245" s="1"/>
      <c r="KJ245" s="1"/>
      <c r="KK245" s="1"/>
      <c r="KL245" s="1"/>
      <c r="KM245" s="1"/>
      <c r="KN245" s="1"/>
      <c r="KO245" s="1"/>
      <c r="KP245" s="1"/>
      <c r="KQ245" s="1"/>
      <c r="KR245" s="1"/>
      <c r="KS245" s="1"/>
      <c r="KT245" s="1"/>
      <c r="KU245" s="1"/>
      <c r="KV245" s="1"/>
      <c r="KW245" s="1"/>
      <c r="KX245" s="1"/>
      <c r="KY245" s="1"/>
      <c r="KZ245" s="1"/>
      <c r="LA245" s="1"/>
      <c r="LB245" s="1"/>
      <c r="LC245" s="1"/>
      <c r="LD245" s="1"/>
      <c r="LE245" s="1"/>
      <c r="LF245" s="1"/>
      <c r="LG245" s="1"/>
      <c r="LH245" s="1"/>
      <c r="LI245" s="1"/>
      <c r="LJ245" s="1"/>
      <c r="LK245" s="1"/>
      <c r="LL245" s="1"/>
      <c r="LM245" s="1"/>
      <c r="LN245" s="1"/>
      <c r="LO245" s="1"/>
      <c r="LP245" s="1"/>
      <c r="LQ245" s="1"/>
      <c r="LR245" s="1"/>
      <c r="LS245" s="1"/>
    </row>
    <row r="246" spans="1:331" s="52" customFormat="1" x14ac:dyDescent="0.25">
      <c r="A246" s="52" t="s">
        <v>971</v>
      </c>
      <c r="B246" s="56" t="s">
        <v>972</v>
      </c>
      <c r="C246" s="13" t="s">
        <v>2074</v>
      </c>
      <c r="D246" s="52">
        <v>0</v>
      </c>
      <c r="H246" s="52" t="s">
        <v>973</v>
      </c>
      <c r="I246" s="52" t="s">
        <v>973</v>
      </c>
      <c r="J246" s="52" t="s">
        <v>300</v>
      </c>
      <c r="K246" s="52" t="s">
        <v>2092</v>
      </c>
      <c r="L246" s="52">
        <v>3</v>
      </c>
      <c r="M246" s="52" t="s">
        <v>299</v>
      </c>
      <c r="N246" s="52" t="s">
        <v>299</v>
      </c>
      <c r="O246" s="52">
        <v>1</v>
      </c>
      <c r="P246" s="52" t="s">
        <v>974</v>
      </c>
      <c r="Q246" s="1" t="s">
        <v>1626</v>
      </c>
      <c r="R246" s="1"/>
      <c r="S246" s="52">
        <v>11</v>
      </c>
      <c r="W246" s="1">
        <v>11</v>
      </c>
      <c r="X246" s="1">
        <v>17</v>
      </c>
      <c r="Y246" s="1" t="s">
        <v>2373</v>
      </c>
      <c r="Z246" s="52">
        <v>10</v>
      </c>
      <c r="AA246" s="1" t="b">
        <v>1</v>
      </c>
      <c r="AB246" s="1"/>
      <c r="AC246" s="57" t="s">
        <v>1242</v>
      </c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  <c r="IY246" s="1"/>
      <c r="IZ246" s="1"/>
      <c r="JA246" s="1"/>
      <c r="JB246" s="1"/>
      <c r="JC246" s="1"/>
      <c r="JD246" s="1"/>
      <c r="JE246" s="1"/>
      <c r="JF246" s="1"/>
      <c r="JG246" s="1"/>
      <c r="JH246" s="1"/>
      <c r="JI246" s="1"/>
      <c r="JJ246" s="1"/>
      <c r="JK246" s="1"/>
      <c r="JL246" s="1"/>
      <c r="JM246" s="1"/>
      <c r="JN246" s="1"/>
      <c r="JO246" s="1"/>
      <c r="JP246" s="1"/>
      <c r="JQ246" s="1"/>
      <c r="JR246" s="1"/>
      <c r="JS246" s="1"/>
      <c r="JT246" s="1"/>
      <c r="JU246" s="1"/>
      <c r="JV246" s="1"/>
      <c r="JW246" s="1"/>
      <c r="JX246" s="1"/>
      <c r="JY246" s="1"/>
      <c r="JZ246" s="1"/>
      <c r="KA246" s="1"/>
      <c r="KB246" s="1"/>
      <c r="KC246" s="1"/>
      <c r="KD246" s="1"/>
      <c r="KE246" s="1"/>
      <c r="KF246" s="1"/>
      <c r="KG246" s="1"/>
      <c r="KH246" s="1"/>
      <c r="KI246" s="1"/>
      <c r="KJ246" s="1"/>
      <c r="KK246" s="1"/>
      <c r="KL246" s="1"/>
      <c r="KM246" s="1"/>
      <c r="KN246" s="1"/>
      <c r="KO246" s="1"/>
      <c r="KP246" s="1"/>
      <c r="KQ246" s="1"/>
      <c r="KR246" s="1"/>
      <c r="KS246" s="1"/>
      <c r="KT246" s="1"/>
      <c r="KU246" s="1"/>
      <c r="KV246" s="1"/>
      <c r="KW246" s="1"/>
      <c r="KX246" s="1"/>
      <c r="KY246" s="1"/>
      <c r="KZ246" s="1"/>
      <c r="LA246" s="1"/>
      <c r="LB246" s="1"/>
      <c r="LC246" s="1"/>
      <c r="LD246" s="1"/>
      <c r="LE246" s="1"/>
      <c r="LF246" s="1"/>
      <c r="LG246" s="1"/>
      <c r="LH246" s="1"/>
      <c r="LI246" s="1"/>
      <c r="LJ246" s="1"/>
      <c r="LK246" s="1"/>
      <c r="LL246" s="1"/>
      <c r="LM246" s="1"/>
      <c r="LN246" s="1"/>
      <c r="LO246" s="1"/>
      <c r="LP246" s="1"/>
      <c r="LQ246" s="1"/>
      <c r="LR246" s="1"/>
      <c r="LS246" s="1"/>
    </row>
    <row r="247" spans="1:331" s="40" customFormat="1" x14ac:dyDescent="0.25">
      <c r="A247" s="40" t="s">
        <v>975</v>
      </c>
      <c r="B247" s="44" t="s">
        <v>976</v>
      </c>
      <c r="C247" s="13" t="s">
        <v>2074</v>
      </c>
      <c r="D247" s="40">
        <v>0</v>
      </c>
      <c r="H247" s="40" t="s">
        <v>305</v>
      </c>
      <c r="I247" s="40" t="s">
        <v>305</v>
      </c>
      <c r="J247" s="40" t="s">
        <v>305</v>
      </c>
      <c r="K247" s="40" t="s">
        <v>305</v>
      </c>
      <c r="L247" s="40">
        <v>0</v>
      </c>
      <c r="O247" s="40">
        <v>1</v>
      </c>
      <c r="P247" s="40" t="s">
        <v>977</v>
      </c>
      <c r="Q247" s="1"/>
      <c r="R247" s="1" t="s">
        <v>978</v>
      </c>
      <c r="S247" s="40">
        <v>0</v>
      </c>
      <c r="T247" s="40">
        <v>7</v>
      </c>
      <c r="V247" s="40">
        <v>6</v>
      </c>
      <c r="W247" s="1">
        <v>7</v>
      </c>
      <c r="X247" s="1">
        <v>10</v>
      </c>
      <c r="Y247" s="1" t="s">
        <v>2374</v>
      </c>
      <c r="Z247" s="40">
        <v>8</v>
      </c>
      <c r="AA247" s="1" t="b">
        <v>1</v>
      </c>
      <c r="AB247" s="1"/>
      <c r="AC247" s="57" t="s">
        <v>1466</v>
      </c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  <c r="IX247" s="1"/>
      <c r="IY247" s="1"/>
      <c r="IZ247" s="1"/>
      <c r="JA247" s="1"/>
      <c r="JB247" s="1"/>
      <c r="JC247" s="1"/>
      <c r="JD247" s="1"/>
      <c r="JE247" s="1"/>
      <c r="JF247" s="1"/>
      <c r="JG247" s="1"/>
      <c r="JH247" s="1"/>
      <c r="JI247" s="1"/>
      <c r="JJ247" s="1"/>
      <c r="JK247" s="1"/>
      <c r="JL247" s="1"/>
      <c r="JM247" s="1"/>
      <c r="JN247" s="1"/>
      <c r="JO247" s="1"/>
      <c r="JP247" s="1"/>
      <c r="JQ247" s="1"/>
      <c r="JR247" s="1"/>
      <c r="JS247" s="1"/>
      <c r="JT247" s="1"/>
      <c r="JU247" s="1"/>
      <c r="JV247" s="1"/>
      <c r="JW247" s="1"/>
      <c r="JX247" s="1"/>
      <c r="JY247" s="1"/>
      <c r="JZ247" s="1"/>
      <c r="KA247" s="1"/>
      <c r="KB247" s="1"/>
      <c r="KC247" s="1"/>
      <c r="KD247" s="1"/>
      <c r="KE247" s="1"/>
      <c r="KF247" s="1"/>
      <c r="KG247" s="1"/>
      <c r="KH247" s="1"/>
      <c r="KI247" s="1"/>
      <c r="KJ247" s="1"/>
      <c r="KK247" s="1"/>
      <c r="KL247" s="1"/>
      <c r="KM247" s="1"/>
      <c r="KN247" s="1"/>
      <c r="KO247" s="1"/>
      <c r="KP247" s="1"/>
      <c r="KQ247" s="1"/>
      <c r="KR247" s="1"/>
      <c r="KS247" s="1"/>
      <c r="KT247" s="1"/>
      <c r="KU247" s="1"/>
      <c r="KV247" s="1"/>
      <c r="KW247" s="1"/>
      <c r="KX247" s="1"/>
      <c r="KY247" s="1"/>
      <c r="KZ247" s="1"/>
      <c r="LA247" s="1"/>
      <c r="LB247" s="1"/>
      <c r="LC247" s="1"/>
      <c r="LD247" s="1"/>
      <c r="LE247" s="1"/>
      <c r="LF247" s="1"/>
      <c r="LG247" s="1"/>
      <c r="LH247" s="1"/>
      <c r="LI247" s="1"/>
      <c r="LJ247" s="1"/>
      <c r="LK247" s="1"/>
      <c r="LL247" s="1"/>
      <c r="LM247" s="1"/>
      <c r="LN247" s="1"/>
      <c r="LO247" s="1"/>
      <c r="LP247" s="1"/>
      <c r="LQ247" s="1"/>
      <c r="LR247" s="1"/>
      <c r="LS247" s="1"/>
    </row>
    <row r="248" spans="1:331" s="52" customFormat="1" x14ac:dyDescent="0.25">
      <c r="A248" s="52" t="s">
        <v>979</v>
      </c>
      <c r="B248" s="56" t="s">
        <v>980</v>
      </c>
      <c r="C248" s="13" t="s">
        <v>2074</v>
      </c>
      <c r="D248" s="52">
        <v>1</v>
      </c>
      <c r="E248" s="52" t="s">
        <v>352</v>
      </c>
      <c r="H248" s="52" t="s">
        <v>352</v>
      </c>
      <c r="I248" s="52" t="s">
        <v>981</v>
      </c>
      <c r="J248" s="52" t="s">
        <v>982</v>
      </c>
      <c r="K248" s="52" t="s">
        <v>352</v>
      </c>
      <c r="L248" s="52">
        <v>2</v>
      </c>
      <c r="M248" s="52" t="s">
        <v>983</v>
      </c>
      <c r="N248" s="52" t="s">
        <v>983</v>
      </c>
      <c r="O248" s="52">
        <v>1</v>
      </c>
      <c r="P248" s="52" t="s">
        <v>354</v>
      </c>
      <c r="Q248" s="1" t="s">
        <v>540</v>
      </c>
      <c r="R248" s="1"/>
      <c r="T248" s="52">
        <v>26</v>
      </c>
      <c r="W248" s="1">
        <v>26</v>
      </c>
      <c r="X248" s="1">
        <v>18</v>
      </c>
      <c r="Y248" s="1" t="s">
        <v>2375</v>
      </c>
      <c r="Z248" s="52">
        <v>10</v>
      </c>
      <c r="AA248" s="1" t="b">
        <v>1</v>
      </c>
      <c r="AB248" s="1"/>
      <c r="AC248" s="57" t="s">
        <v>1242</v>
      </c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  <c r="IX248" s="1"/>
      <c r="IY248" s="1"/>
      <c r="IZ248" s="1"/>
      <c r="JA248" s="1"/>
      <c r="JB248" s="1"/>
      <c r="JC248" s="1"/>
      <c r="JD248" s="1"/>
      <c r="JE248" s="1"/>
      <c r="JF248" s="1"/>
      <c r="JG248" s="1"/>
      <c r="JH248" s="1"/>
      <c r="JI248" s="1"/>
      <c r="JJ248" s="1"/>
      <c r="JK248" s="1"/>
      <c r="JL248" s="1"/>
      <c r="JM248" s="1"/>
      <c r="JN248" s="1"/>
      <c r="JO248" s="1"/>
      <c r="JP248" s="1"/>
      <c r="JQ248" s="1"/>
      <c r="JR248" s="1"/>
      <c r="JS248" s="1"/>
      <c r="JT248" s="1"/>
      <c r="JU248" s="1"/>
      <c r="JV248" s="1"/>
      <c r="JW248" s="1"/>
      <c r="JX248" s="1"/>
      <c r="JY248" s="1"/>
      <c r="JZ248" s="1"/>
      <c r="KA248" s="1"/>
      <c r="KB248" s="1"/>
      <c r="KC248" s="1"/>
      <c r="KD248" s="1"/>
      <c r="KE248" s="1"/>
      <c r="KF248" s="1"/>
      <c r="KG248" s="1"/>
      <c r="KH248" s="1"/>
      <c r="KI248" s="1"/>
      <c r="KJ248" s="1"/>
      <c r="KK248" s="1"/>
      <c r="KL248" s="1"/>
      <c r="KM248" s="1"/>
      <c r="KN248" s="1"/>
      <c r="KO248" s="1"/>
      <c r="KP248" s="1"/>
      <c r="KQ248" s="1"/>
      <c r="KR248" s="1"/>
      <c r="KS248" s="1"/>
      <c r="KT248" s="1"/>
      <c r="KU248" s="1"/>
      <c r="KV248" s="1"/>
      <c r="KW248" s="1"/>
      <c r="KX248" s="1"/>
      <c r="KY248" s="1"/>
      <c r="KZ248" s="1"/>
      <c r="LA248" s="1"/>
      <c r="LB248" s="1"/>
      <c r="LC248" s="1"/>
      <c r="LD248" s="1"/>
      <c r="LE248" s="1"/>
      <c r="LF248" s="1"/>
      <c r="LG248" s="1"/>
      <c r="LH248" s="1"/>
      <c r="LI248" s="1"/>
      <c r="LJ248" s="1"/>
      <c r="LK248" s="1"/>
      <c r="LL248" s="1"/>
      <c r="LM248" s="1"/>
      <c r="LN248" s="1"/>
      <c r="LO248" s="1"/>
      <c r="LP248" s="1"/>
      <c r="LQ248" s="1"/>
      <c r="LR248" s="1"/>
      <c r="LS248" s="1"/>
    </row>
    <row r="249" spans="1:331" s="25" customFormat="1" x14ac:dyDescent="0.25">
      <c r="A249" s="25" t="s">
        <v>984</v>
      </c>
      <c r="B249" s="29" t="s">
        <v>985</v>
      </c>
      <c r="C249" s="13" t="s">
        <v>2074</v>
      </c>
      <c r="D249" s="25">
        <v>0</v>
      </c>
      <c r="H249" s="25" t="s">
        <v>178</v>
      </c>
      <c r="I249" s="25" t="s">
        <v>176</v>
      </c>
      <c r="J249" s="25" t="s">
        <v>178</v>
      </c>
      <c r="K249" s="25" t="s">
        <v>176</v>
      </c>
      <c r="L249" s="25">
        <v>0</v>
      </c>
      <c r="O249" s="25">
        <v>0</v>
      </c>
      <c r="Q249" s="1" t="s">
        <v>1627</v>
      </c>
      <c r="R249" s="1"/>
      <c r="T249" s="25">
        <v>12</v>
      </c>
      <c r="V249" s="25">
        <v>12</v>
      </c>
      <c r="W249" s="1">
        <v>12</v>
      </c>
      <c r="X249" s="1">
        <v>13</v>
      </c>
      <c r="Y249" s="1" t="s">
        <v>2376</v>
      </c>
      <c r="Z249" s="25">
        <v>5</v>
      </c>
      <c r="AA249" s="1" t="b">
        <v>1</v>
      </c>
      <c r="AB249" s="1"/>
      <c r="AC249" s="57" t="s">
        <v>1364</v>
      </c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  <c r="IX249" s="1"/>
      <c r="IY249" s="1"/>
      <c r="IZ249" s="1"/>
      <c r="JA249" s="1"/>
      <c r="JB249" s="1"/>
      <c r="JC249" s="1"/>
      <c r="JD249" s="1"/>
      <c r="JE249" s="1"/>
      <c r="JF249" s="1"/>
      <c r="JG249" s="1"/>
      <c r="JH249" s="1"/>
      <c r="JI249" s="1"/>
      <c r="JJ249" s="1"/>
      <c r="JK249" s="1"/>
      <c r="JL249" s="1"/>
      <c r="JM249" s="1"/>
      <c r="JN249" s="1"/>
      <c r="JO249" s="1"/>
      <c r="JP249" s="1"/>
      <c r="JQ249" s="1"/>
      <c r="JR249" s="1"/>
      <c r="JS249" s="1"/>
      <c r="JT249" s="1"/>
      <c r="JU249" s="1"/>
      <c r="JV249" s="1"/>
      <c r="JW249" s="1"/>
      <c r="JX249" s="1"/>
      <c r="JY249" s="1"/>
      <c r="JZ249" s="1"/>
      <c r="KA249" s="1"/>
      <c r="KB249" s="1"/>
      <c r="KC249" s="1"/>
      <c r="KD249" s="1"/>
      <c r="KE249" s="1"/>
      <c r="KF249" s="1"/>
      <c r="KG249" s="1"/>
      <c r="KH249" s="1"/>
      <c r="KI249" s="1"/>
      <c r="KJ249" s="1"/>
      <c r="KK249" s="1"/>
      <c r="KL249" s="1"/>
      <c r="KM249" s="1"/>
      <c r="KN249" s="1"/>
      <c r="KO249" s="1"/>
      <c r="KP249" s="1"/>
      <c r="KQ249" s="1"/>
      <c r="KR249" s="1"/>
      <c r="KS249" s="1"/>
      <c r="KT249" s="1"/>
      <c r="KU249" s="1"/>
      <c r="KV249" s="1"/>
      <c r="KW249" s="1"/>
      <c r="KX249" s="1"/>
      <c r="KY249" s="1"/>
      <c r="KZ249" s="1"/>
      <c r="LA249" s="1"/>
      <c r="LB249" s="1"/>
      <c r="LC249" s="1"/>
      <c r="LD249" s="1"/>
      <c r="LE249" s="1"/>
      <c r="LF249" s="1"/>
      <c r="LG249" s="1"/>
      <c r="LH249" s="1"/>
      <c r="LI249" s="1"/>
      <c r="LJ249" s="1"/>
      <c r="LK249" s="1"/>
      <c r="LL249" s="1"/>
      <c r="LM249" s="1"/>
      <c r="LN249" s="1"/>
      <c r="LO249" s="1"/>
      <c r="LP249" s="1"/>
      <c r="LQ249" s="1"/>
      <c r="LR249" s="1"/>
      <c r="LS249" s="1"/>
    </row>
    <row r="250" spans="1:331" s="35" customFormat="1" x14ac:dyDescent="0.25">
      <c r="A250" s="35" t="s">
        <v>986</v>
      </c>
      <c r="B250" s="39" t="s">
        <v>987</v>
      </c>
      <c r="C250" s="13" t="s">
        <v>2074</v>
      </c>
      <c r="D250" s="35">
        <v>1</v>
      </c>
      <c r="E250" s="35" t="s">
        <v>170</v>
      </c>
      <c r="I250" s="35" t="s">
        <v>170</v>
      </c>
      <c r="J250" s="35" t="s">
        <v>988</v>
      </c>
      <c r="K250" s="35" t="s">
        <v>176</v>
      </c>
      <c r="L250" s="35">
        <v>0</v>
      </c>
      <c r="O250" s="35">
        <v>1</v>
      </c>
      <c r="P250" s="35" t="s">
        <v>391</v>
      </c>
      <c r="Q250" s="1" t="s">
        <v>1628</v>
      </c>
      <c r="R250" s="1"/>
      <c r="T250" s="35">
        <v>15</v>
      </c>
      <c r="V250" s="35">
        <v>12</v>
      </c>
      <c r="W250" s="1">
        <v>15</v>
      </c>
      <c r="X250" s="1">
        <v>15</v>
      </c>
      <c r="Y250" s="1" t="s">
        <v>2377</v>
      </c>
      <c r="Z250" s="35">
        <v>7</v>
      </c>
      <c r="AA250" s="1" t="b">
        <v>1</v>
      </c>
      <c r="AB250" s="1"/>
      <c r="AC250" s="57" t="s">
        <v>1426</v>
      </c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/>
      <c r="IY250" s="1"/>
      <c r="IZ250" s="1"/>
      <c r="JA250" s="1"/>
      <c r="JB250" s="1"/>
      <c r="JC250" s="1"/>
      <c r="JD250" s="1"/>
      <c r="JE250" s="1"/>
      <c r="JF250" s="1"/>
      <c r="JG250" s="1"/>
      <c r="JH250" s="1"/>
      <c r="JI250" s="1"/>
      <c r="JJ250" s="1"/>
      <c r="JK250" s="1"/>
      <c r="JL250" s="1"/>
      <c r="JM250" s="1"/>
      <c r="JN250" s="1"/>
      <c r="JO250" s="1"/>
      <c r="JP250" s="1"/>
      <c r="JQ250" s="1"/>
      <c r="JR250" s="1"/>
      <c r="JS250" s="1"/>
      <c r="JT250" s="1"/>
      <c r="JU250" s="1"/>
      <c r="JV250" s="1"/>
      <c r="JW250" s="1"/>
      <c r="JX250" s="1"/>
      <c r="JY250" s="1"/>
      <c r="JZ250" s="1"/>
      <c r="KA250" s="1"/>
      <c r="KB250" s="1"/>
      <c r="KC250" s="1"/>
      <c r="KD250" s="1"/>
      <c r="KE250" s="1"/>
      <c r="KF250" s="1"/>
      <c r="KG250" s="1"/>
      <c r="KH250" s="1"/>
      <c r="KI250" s="1"/>
      <c r="KJ250" s="1"/>
      <c r="KK250" s="1"/>
      <c r="KL250" s="1"/>
      <c r="KM250" s="1"/>
      <c r="KN250" s="1"/>
      <c r="KO250" s="1"/>
      <c r="KP250" s="1"/>
      <c r="KQ250" s="1"/>
      <c r="KR250" s="1"/>
      <c r="KS250" s="1"/>
      <c r="KT250" s="1"/>
      <c r="KU250" s="1"/>
      <c r="KV250" s="1"/>
      <c r="KW250" s="1"/>
      <c r="KX250" s="1"/>
      <c r="KY250" s="1"/>
      <c r="KZ250" s="1"/>
      <c r="LA250" s="1"/>
      <c r="LB250" s="1"/>
      <c r="LC250" s="1"/>
      <c r="LD250" s="1"/>
      <c r="LE250" s="1"/>
      <c r="LF250" s="1"/>
      <c r="LG250" s="1"/>
      <c r="LH250" s="1"/>
      <c r="LI250" s="1"/>
      <c r="LJ250" s="1"/>
      <c r="LK250" s="1"/>
      <c r="LL250" s="1"/>
      <c r="LM250" s="1"/>
      <c r="LN250" s="1"/>
      <c r="LO250" s="1"/>
      <c r="LP250" s="1"/>
      <c r="LQ250" s="1"/>
      <c r="LR250" s="1"/>
      <c r="LS250" s="1"/>
    </row>
    <row r="251" spans="1:331" s="59" customFormat="1" x14ac:dyDescent="0.25">
      <c r="A251" s="59" t="s">
        <v>989</v>
      </c>
      <c r="B251" s="61" t="s">
        <v>990</v>
      </c>
      <c r="C251" s="13" t="s">
        <v>2074</v>
      </c>
      <c r="D251" s="59">
        <v>0</v>
      </c>
      <c r="H251" s="59" t="s">
        <v>991</v>
      </c>
      <c r="I251" s="59" t="s">
        <v>992</v>
      </c>
      <c r="J251" s="59" t="s">
        <v>991</v>
      </c>
      <c r="K251" s="59" t="s">
        <v>992</v>
      </c>
      <c r="L251" s="59">
        <v>1</v>
      </c>
      <c r="M251" s="59" t="s">
        <v>993</v>
      </c>
      <c r="O251" s="59">
        <v>1</v>
      </c>
      <c r="P251" s="59" t="s">
        <v>994</v>
      </c>
      <c r="Q251" s="1"/>
      <c r="R251" s="1" t="s">
        <v>995</v>
      </c>
      <c r="T251" s="59">
        <v>20</v>
      </c>
      <c r="W251" s="1">
        <v>20</v>
      </c>
      <c r="X251" s="1">
        <v>22</v>
      </c>
      <c r="Y251" s="1" t="s">
        <v>2378</v>
      </c>
      <c r="Z251" s="59">
        <v>11</v>
      </c>
      <c r="AA251" s="1" t="b">
        <v>0</v>
      </c>
      <c r="AB251" s="1"/>
      <c r="AC251" s="57" t="s">
        <v>1242</v>
      </c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  <c r="IX251" s="1"/>
      <c r="IY251" s="1"/>
      <c r="IZ251" s="1"/>
      <c r="JA251" s="1"/>
      <c r="JB251" s="1"/>
      <c r="JC251" s="1"/>
      <c r="JD251" s="1"/>
      <c r="JE251" s="1"/>
      <c r="JF251" s="1"/>
      <c r="JG251" s="1"/>
      <c r="JH251" s="1"/>
      <c r="JI251" s="1"/>
      <c r="JJ251" s="1"/>
      <c r="JK251" s="1"/>
      <c r="JL251" s="1"/>
      <c r="JM251" s="1"/>
      <c r="JN251" s="1"/>
      <c r="JO251" s="1"/>
      <c r="JP251" s="1"/>
      <c r="JQ251" s="1"/>
      <c r="JR251" s="1"/>
      <c r="JS251" s="1"/>
      <c r="JT251" s="1"/>
      <c r="JU251" s="1"/>
      <c r="JV251" s="1"/>
      <c r="JW251" s="1"/>
      <c r="JX251" s="1"/>
      <c r="JY251" s="1"/>
      <c r="JZ251" s="1"/>
      <c r="KA251" s="1"/>
      <c r="KB251" s="1"/>
      <c r="KC251" s="1"/>
      <c r="KD251" s="1"/>
      <c r="KE251" s="1"/>
      <c r="KF251" s="1"/>
      <c r="KG251" s="1"/>
      <c r="KH251" s="1"/>
      <c r="KI251" s="1"/>
      <c r="KJ251" s="1"/>
      <c r="KK251" s="1"/>
      <c r="KL251" s="1"/>
      <c r="KM251" s="1"/>
      <c r="KN251" s="1"/>
      <c r="KO251" s="1"/>
      <c r="KP251" s="1"/>
      <c r="KQ251" s="1"/>
      <c r="KR251" s="1"/>
      <c r="KS251" s="1"/>
      <c r="KT251" s="1"/>
      <c r="KU251" s="1"/>
      <c r="KV251" s="1"/>
      <c r="KW251" s="1"/>
      <c r="KX251" s="1"/>
      <c r="KY251" s="1"/>
      <c r="KZ251" s="1"/>
      <c r="LA251" s="1"/>
      <c r="LB251" s="1"/>
      <c r="LC251" s="1"/>
      <c r="LD251" s="1"/>
      <c r="LE251" s="1"/>
      <c r="LF251" s="1"/>
      <c r="LG251" s="1"/>
      <c r="LH251" s="1"/>
      <c r="LI251" s="1"/>
      <c r="LJ251" s="1"/>
      <c r="LK251" s="1"/>
      <c r="LL251" s="1"/>
      <c r="LM251" s="1"/>
      <c r="LN251" s="1"/>
      <c r="LO251" s="1"/>
      <c r="LP251" s="1"/>
      <c r="LQ251" s="1"/>
      <c r="LR251" s="1"/>
      <c r="LS251" s="1"/>
    </row>
    <row r="252" spans="1:331" s="3" customFormat="1" x14ac:dyDescent="0.25">
      <c r="A252" s="3" t="s">
        <v>996</v>
      </c>
      <c r="B252" s="5" t="s">
        <v>997</v>
      </c>
      <c r="C252" s="13" t="s">
        <v>2074</v>
      </c>
      <c r="D252" s="3">
        <v>0</v>
      </c>
      <c r="H252" s="3" t="s">
        <v>998</v>
      </c>
      <c r="I252" s="3" t="s">
        <v>998</v>
      </c>
      <c r="J252" s="3" t="s">
        <v>395</v>
      </c>
      <c r="K252" s="3" t="s">
        <v>998</v>
      </c>
      <c r="L252" s="3">
        <v>1</v>
      </c>
      <c r="M252" s="3" t="s">
        <v>999</v>
      </c>
      <c r="O252" s="3">
        <v>1</v>
      </c>
      <c r="Q252" s="1" t="s">
        <v>606</v>
      </c>
      <c r="R252" s="1"/>
      <c r="T252" s="3">
        <v>8</v>
      </c>
      <c r="W252" s="1">
        <v>8</v>
      </c>
      <c r="X252" s="1">
        <v>11</v>
      </c>
      <c r="Y252" s="1" t="s">
        <v>2379</v>
      </c>
      <c r="Z252" s="3">
        <v>1</v>
      </c>
      <c r="AA252" s="1" t="b">
        <v>1</v>
      </c>
      <c r="AB252" s="1"/>
      <c r="AC252" s="57" t="s">
        <v>1243</v>
      </c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  <c r="IY252" s="1"/>
      <c r="IZ252" s="1"/>
      <c r="JA252" s="1"/>
      <c r="JB252" s="1"/>
      <c r="JC252" s="1"/>
      <c r="JD252" s="1"/>
      <c r="JE252" s="1"/>
      <c r="JF252" s="1"/>
      <c r="JG252" s="1"/>
      <c r="JH252" s="1"/>
      <c r="JI252" s="1"/>
      <c r="JJ252" s="1"/>
      <c r="JK252" s="1"/>
      <c r="JL252" s="1"/>
      <c r="JM252" s="1"/>
      <c r="JN252" s="1"/>
      <c r="JO252" s="1"/>
      <c r="JP252" s="1"/>
      <c r="JQ252" s="1"/>
      <c r="JR252" s="1"/>
      <c r="JS252" s="1"/>
      <c r="JT252" s="1"/>
      <c r="JU252" s="1"/>
      <c r="JV252" s="1"/>
      <c r="JW252" s="1"/>
      <c r="JX252" s="1"/>
      <c r="JY252" s="1"/>
      <c r="JZ252" s="1"/>
      <c r="KA252" s="1"/>
      <c r="KB252" s="1"/>
      <c r="KC252" s="1"/>
      <c r="KD252" s="1"/>
      <c r="KE252" s="1"/>
      <c r="KF252" s="1"/>
      <c r="KG252" s="1"/>
      <c r="KH252" s="1"/>
      <c r="KI252" s="1"/>
      <c r="KJ252" s="1"/>
      <c r="KK252" s="1"/>
      <c r="KL252" s="1"/>
      <c r="KM252" s="1"/>
      <c r="KN252" s="1"/>
      <c r="KO252" s="1"/>
      <c r="KP252" s="1"/>
      <c r="KQ252" s="1"/>
      <c r="KR252" s="1"/>
      <c r="KS252" s="1"/>
      <c r="KT252" s="1"/>
      <c r="KU252" s="1"/>
      <c r="KV252" s="1"/>
      <c r="KW252" s="1"/>
      <c r="KX252" s="1"/>
      <c r="KY252" s="1"/>
      <c r="KZ252" s="1"/>
      <c r="LA252" s="1"/>
      <c r="LB252" s="1"/>
      <c r="LC252" s="1"/>
      <c r="LD252" s="1"/>
      <c r="LE252" s="1"/>
      <c r="LF252" s="1"/>
      <c r="LG252" s="1"/>
      <c r="LH252" s="1"/>
      <c r="LI252" s="1"/>
      <c r="LJ252" s="1"/>
      <c r="LK252" s="1"/>
      <c r="LL252" s="1"/>
      <c r="LM252" s="1"/>
      <c r="LN252" s="1"/>
      <c r="LO252" s="1"/>
      <c r="LP252" s="1"/>
      <c r="LQ252" s="1"/>
      <c r="LR252" s="1"/>
      <c r="LS252" s="1"/>
    </row>
    <row r="253" spans="1:331" s="70" customFormat="1" x14ac:dyDescent="0.25">
      <c r="A253" s="70" t="s">
        <v>1000</v>
      </c>
      <c r="B253" s="73" t="s">
        <v>1001</v>
      </c>
      <c r="C253" s="13" t="s">
        <v>2075</v>
      </c>
      <c r="D253" s="70">
        <v>1</v>
      </c>
      <c r="E253" s="70" t="s">
        <v>1002</v>
      </c>
      <c r="H253" s="70" t="s">
        <v>1003</v>
      </c>
      <c r="I253" s="70" t="s">
        <v>1004</v>
      </c>
      <c r="J253" s="74">
        <v>42999</v>
      </c>
      <c r="K253" s="74" t="s">
        <v>1003</v>
      </c>
      <c r="L253" s="70">
        <v>0</v>
      </c>
      <c r="O253" s="70">
        <v>1</v>
      </c>
      <c r="P253" s="70" t="s">
        <v>1005</v>
      </c>
      <c r="Q253" s="1"/>
      <c r="R253" s="1" t="s">
        <v>1006</v>
      </c>
      <c r="T253" s="70">
        <v>12</v>
      </c>
      <c r="V253" s="70">
        <v>19</v>
      </c>
      <c r="W253" s="70">
        <v>12</v>
      </c>
      <c r="X253" s="1">
        <v>22</v>
      </c>
      <c r="Y253" s="1" t="s">
        <v>2380</v>
      </c>
      <c r="Z253" s="70">
        <v>13</v>
      </c>
      <c r="AA253" s="70" t="b">
        <v>1</v>
      </c>
      <c r="AC253" s="72" t="s">
        <v>1467</v>
      </c>
      <c r="AD253" s="70" t="b">
        <v>1</v>
      </c>
    </row>
    <row r="254" spans="1:331" s="25" customFormat="1" x14ac:dyDescent="0.25">
      <c r="A254" s="25" t="s">
        <v>1007</v>
      </c>
      <c r="B254" s="29" t="s">
        <v>1008</v>
      </c>
      <c r="C254" s="13" t="s">
        <v>2075</v>
      </c>
      <c r="D254" s="25">
        <v>0</v>
      </c>
      <c r="H254" s="25" t="s">
        <v>1009</v>
      </c>
      <c r="I254" s="25" t="s">
        <v>1010</v>
      </c>
      <c r="J254" s="25" t="s">
        <v>1011</v>
      </c>
      <c r="K254" s="25" t="s">
        <v>2131</v>
      </c>
      <c r="L254" s="25">
        <v>0</v>
      </c>
      <c r="O254" s="25">
        <v>0</v>
      </c>
      <c r="Q254" s="1" t="s">
        <v>1629</v>
      </c>
      <c r="R254" s="1"/>
      <c r="T254" s="25">
        <v>8</v>
      </c>
      <c r="V254" s="25">
        <v>12</v>
      </c>
      <c r="W254" s="1">
        <v>8</v>
      </c>
      <c r="X254" s="1">
        <v>19</v>
      </c>
      <c r="Y254" s="1" t="s">
        <v>2381</v>
      </c>
      <c r="Z254" s="25">
        <v>5</v>
      </c>
      <c r="AA254" s="1" t="b">
        <v>1</v>
      </c>
      <c r="AB254" s="1"/>
      <c r="AC254" s="57" t="s">
        <v>1365</v>
      </c>
      <c r="AD254" s="1" t="b">
        <v>1</v>
      </c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  <c r="IY254" s="1"/>
      <c r="IZ254" s="1"/>
      <c r="JA254" s="1"/>
      <c r="JB254" s="1"/>
      <c r="JC254" s="1"/>
      <c r="JD254" s="1"/>
      <c r="JE254" s="1"/>
      <c r="JF254" s="1"/>
      <c r="JG254" s="1"/>
      <c r="JH254" s="1"/>
      <c r="JI254" s="1"/>
      <c r="JJ254" s="1"/>
      <c r="JK254" s="1"/>
      <c r="JL254" s="1"/>
      <c r="JM254" s="1"/>
      <c r="JN254" s="1"/>
      <c r="JO254" s="1"/>
      <c r="JP254" s="1"/>
      <c r="JQ254" s="1"/>
      <c r="JR254" s="1"/>
      <c r="JS254" s="1"/>
      <c r="JT254" s="1"/>
      <c r="JU254" s="1"/>
      <c r="JV254" s="1"/>
      <c r="JW254" s="1"/>
      <c r="JX254" s="1"/>
      <c r="JY254" s="1"/>
      <c r="JZ254" s="1"/>
      <c r="KA254" s="1"/>
      <c r="KB254" s="1"/>
      <c r="KC254" s="1"/>
      <c r="KD254" s="1"/>
      <c r="KE254" s="1"/>
      <c r="KF254" s="1"/>
      <c r="KG254" s="1"/>
      <c r="KH254" s="1"/>
      <c r="KI254" s="1"/>
      <c r="KJ254" s="1"/>
      <c r="KK254" s="1"/>
      <c r="KL254" s="1"/>
      <c r="KM254" s="1"/>
      <c r="KN254" s="1"/>
      <c r="KO254" s="1"/>
      <c r="KP254" s="1"/>
      <c r="KQ254" s="1"/>
      <c r="KR254" s="1"/>
      <c r="KS254" s="1"/>
      <c r="KT254" s="1"/>
      <c r="KU254" s="1"/>
      <c r="KV254" s="1"/>
      <c r="KW254" s="1"/>
      <c r="KX254" s="1"/>
      <c r="KY254" s="1"/>
      <c r="KZ254" s="1"/>
      <c r="LA254" s="1"/>
      <c r="LB254" s="1"/>
      <c r="LC254" s="1"/>
      <c r="LD254" s="1"/>
      <c r="LE254" s="1"/>
      <c r="LF254" s="1"/>
      <c r="LG254" s="1"/>
      <c r="LH254" s="1"/>
      <c r="LI254" s="1"/>
      <c r="LJ254" s="1"/>
      <c r="LK254" s="1"/>
      <c r="LL254" s="1"/>
      <c r="LM254" s="1"/>
      <c r="LN254" s="1"/>
      <c r="LO254" s="1"/>
      <c r="LP254" s="1"/>
      <c r="LQ254" s="1"/>
      <c r="LR254" s="1"/>
      <c r="LS254" s="1"/>
    </row>
    <row r="255" spans="1:331" s="40" customFormat="1" x14ac:dyDescent="0.25">
      <c r="A255" s="40" t="s">
        <v>1012</v>
      </c>
      <c r="B255" s="44" t="s">
        <v>1013</v>
      </c>
      <c r="C255" s="13" t="s">
        <v>2075</v>
      </c>
      <c r="D255" s="40">
        <v>0</v>
      </c>
      <c r="H255" s="40" t="s">
        <v>1014</v>
      </c>
      <c r="I255" s="40" t="s">
        <v>1015</v>
      </c>
      <c r="J255" s="40" t="s">
        <v>1014</v>
      </c>
      <c r="K255" s="40" t="s">
        <v>2132</v>
      </c>
      <c r="L255" s="40">
        <v>0</v>
      </c>
      <c r="O255" s="40">
        <v>1</v>
      </c>
      <c r="P255" s="81">
        <v>42914</v>
      </c>
      <c r="Q255" s="1" t="s">
        <v>1630</v>
      </c>
      <c r="R255" s="1"/>
      <c r="S255" s="40">
        <v>6</v>
      </c>
      <c r="U255" s="40">
        <v>16</v>
      </c>
      <c r="W255" s="1">
        <v>6</v>
      </c>
      <c r="X255" s="1">
        <v>19</v>
      </c>
      <c r="Y255" s="1" t="s">
        <v>2382</v>
      </c>
      <c r="Z255" s="40">
        <v>8</v>
      </c>
      <c r="AA255" s="1" t="b">
        <v>1</v>
      </c>
      <c r="AB255" s="1"/>
      <c r="AC255" s="57" t="s">
        <v>1660</v>
      </c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  <c r="IY255" s="1"/>
      <c r="IZ255" s="1"/>
      <c r="JA255" s="1"/>
      <c r="JB255" s="1"/>
      <c r="JC255" s="1"/>
      <c r="JD255" s="1"/>
      <c r="JE255" s="1"/>
      <c r="JF255" s="1"/>
      <c r="JG255" s="1"/>
      <c r="JH255" s="1"/>
      <c r="JI255" s="1"/>
      <c r="JJ255" s="1"/>
      <c r="JK255" s="1"/>
      <c r="JL255" s="1"/>
      <c r="JM255" s="1"/>
      <c r="JN255" s="1"/>
      <c r="JO255" s="1"/>
      <c r="JP255" s="1"/>
      <c r="JQ255" s="1"/>
      <c r="JR255" s="1"/>
      <c r="JS255" s="1"/>
      <c r="JT255" s="1"/>
      <c r="JU255" s="1"/>
      <c r="JV255" s="1"/>
      <c r="JW255" s="1"/>
      <c r="JX255" s="1"/>
      <c r="JY255" s="1"/>
      <c r="JZ255" s="1"/>
      <c r="KA255" s="1"/>
      <c r="KB255" s="1"/>
      <c r="KC255" s="1"/>
      <c r="KD255" s="1"/>
      <c r="KE255" s="1"/>
      <c r="KF255" s="1"/>
      <c r="KG255" s="1"/>
      <c r="KH255" s="1"/>
      <c r="KI255" s="1"/>
      <c r="KJ255" s="1"/>
      <c r="KK255" s="1"/>
      <c r="KL255" s="1"/>
      <c r="KM255" s="1"/>
      <c r="KN255" s="1"/>
      <c r="KO255" s="1"/>
      <c r="KP255" s="1"/>
      <c r="KQ255" s="1"/>
      <c r="KR255" s="1"/>
      <c r="KS255" s="1"/>
      <c r="KT255" s="1"/>
      <c r="KU255" s="1"/>
      <c r="KV255" s="1"/>
      <c r="KW255" s="1"/>
      <c r="KX255" s="1"/>
      <c r="KY255" s="1"/>
      <c r="KZ255" s="1"/>
      <c r="LA255" s="1"/>
      <c r="LB255" s="1"/>
      <c r="LC255" s="1"/>
      <c r="LD255" s="1"/>
      <c r="LE255" s="1"/>
      <c r="LF255" s="1"/>
      <c r="LG255" s="1"/>
      <c r="LH255" s="1"/>
      <c r="LI255" s="1"/>
      <c r="LJ255" s="1"/>
      <c r="LK255" s="1"/>
      <c r="LL255" s="1"/>
      <c r="LM255" s="1"/>
      <c r="LN255" s="1"/>
      <c r="LO255" s="1"/>
      <c r="LP255" s="1"/>
      <c r="LQ255" s="1"/>
      <c r="LR255" s="1"/>
      <c r="LS255" s="1"/>
    </row>
    <row r="256" spans="1:331" s="25" customFormat="1" x14ac:dyDescent="0.25">
      <c r="A256" s="25" t="s">
        <v>1016</v>
      </c>
      <c r="B256" s="29" t="s">
        <v>1017</v>
      </c>
      <c r="C256" s="13" t="s">
        <v>2075</v>
      </c>
      <c r="D256" s="25">
        <v>0</v>
      </c>
      <c r="H256" s="25" t="s">
        <v>1018</v>
      </c>
      <c r="I256" s="25" t="s">
        <v>1019</v>
      </c>
      <c r="J256" s="25" t="s">
        <v>1020</v>
      </c>
      <c r="K256" s="25" t="s">
        <v>1018</v>
      </c>
      <c r="L256" s="25">
        <v>0</v>
      </c>
      <c r="O256" s="25">
        <v>0</v>
      </c>
      <c r="Q256" s="1" t="s">
        <v>1631</v>
      </c>
      <c r="R256" s="1"/>
      <c r="S256" s="25">
        <v>14</v>
      </c>
      <c r="U256" s="25">
        <v>11</v>
      </c>
      <c r="W256" s="1">
        <v>14</v>
      </c>
      <c r="X256" s="1">
        <v>12</v>
      </c>
      <c r="Y256" s="1" t="s">
        <v>2383</v>
      </c>
      <c r="Z256" s="25">
        <v>5</v>
      </c>
      <c r="AA256" s="1" t="b">
        <v>1</v>
      </c>
      <c r="AB256" s="1"/>
      <c r="AC256" s="57" t="s">
        <v>1366</v>
      </c>
      <c r="AD256" s="1" t="b">
        <v>1</v>
      </c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  <c r="IY256" s="1"/>
      <c r="IZ256" s="1"/>
      <c r="JA256" s="1"/>
      <c r="JB256" s="1"/>
      <c r="JC256" s="1"/>
      <c r="JD256" s="1"/>
      <c r="JE256" s="1"/>
      <c r="JF256" s="1"/>
      <c r="JG256" s="1"/>
      <c r="JH256" s="1"/>
      <c r="JI256" s="1"/>
      <c r="JJ256" s="1"/>
      <c r="JK256" s="1"/>
      <c r="JL256" s="1"/>
      <c r="JM256" s="1"/>
      <c r="JN256" s="1"/>
      <c r="JO256" s="1"/>
      <c r="JP256" s="1"/>
      <c r="JQ256" s="1"/>
      <c r="JR256" s="1"/>
      <c r="JS256" s="1"/>
      <c r="JT256" s="1"/>
      <c r="JU256" s="1"/>
      <c r="JV256" s="1"/>
      <c r="JW256" s="1"/>
      <c r="JX256" s="1"/>
      <c r="JY256" s="1"/>
      <c r="JZ256" s="1"/>
      <c r="KA256" s="1"/>
      <c r="KB256" s="1"/>
      <c r="KC256" s="1"/>
      <c r="KD256" s="1"/>
      <c r="KE256" s="1"/>
      <c r="KF256" s="1"/>
      <c r="KG256" s="1"/>
      <c r="KH256" s="1"/>
      <c r="KI256" s="1"/>
      <c r="KJ256" s="1"/>
      <c r="KK256" s="1"/>
      <c r="KL256" s="1"/>
      <c r="KM256" s="1"/>
      <c r="KN256" s="1"/>
      <c r="KO256" s="1"/>
      <c r="KP256" s="1"/>
      <c r="KQ256" s="1"/>
      <c r="KR256" s="1"/>
      <c r="KS256" s="1"/>
      <c r="KT256" s="1"/>
      <c r="KU256" s="1"/>
      <c r="KV256" s="1"/>
      <c r="KW256" s="1"/>
      <c r="KX256" s="1"/>
      <c r="KY256" s="1"/>
      <c r="KZ256" s="1"/>
      <c r="LA256" s="1"/>
      <c r="LB256" s="1"/>
      <c r="LC256" s="1"/>
      <c r="LD256" s="1"/>
      <c r="LE256" s="1"/>
      <c r="LF256" s="1"/>
      <c r="LG256" s="1"/>
      <c r="LH256" s="1"/>
      <c r="LI256" s="1"/>
      <c r="LJ256" s="1"/>
      <c r="LK256" s="1"/>
      <c r="LL256" s="1"/>
      <c r="LM256" s="1"/>
      <c r="LN256" s="1"/>
      <c r="LO256" s="1"/>
      <c r="LP256" s="1"/>
      <c r="LQ256" s="1"/>
      <c r="LR256" s="1"/>
      <c r="LS256" s="1"/>
    </row>
    <row r="257" spans="1:331" s="40" customFormat="1" x14ac:dyDescent="0.25">
      <c r="A257" s="40" t="s">
        <v>1021</v>
      </c>
      <c r="B257" s="44" t="s">
        <v>1022</v>
      </c>
      <c r="C257" s="13" t="s">
        <v>2075</v>
      </c>
      <c r="D257" s="40">
        <v>0</v>
      </c>
      <c r="H257" s="40" t="s">
        <v>1023</v>
      </c>
      <c r="I257" s="40" t="s">
        <v>1024</v>
      </c>
      <c r="J257" s="40" t="s">
        <v>1025</v>
      </c>
      <c r="K257" s="40" t="s">
        <v>2133</v>
      </c>
      <c r="L257" s="40">
        <v>0</v>
      </c>
      <c r="O257" s="40">
        <v>1</v>
      </c>
      <c r="P257" s="40" t="s">
        <v>1026</v>
      </c>
      <c r="Q257" s="1" t="s">
        <v>1632</v>
      </c>
      <c r="R257" s="1"/>
      <c r="S257" s="40">
        <v>15</v>
      </c>
      <c r="U257" s="40">
        <v>14</v>
      </c>
      <c r="W257" s="1">
        <v>15</v>
      </c>
      <c r="X257" s="1">
        <v>18</v>
      </c>
      <c r="Y257" s="1" t="s">
        <v>2384</v>
      </c>
      <c r="Z257" s="40">
        <v>8</v>
      </c>
      <c r="AA257" s="1" t="b">
        <v>1</v>
      </c>
      <c r="AB257" s="1"/>
      <c r="AC257" s="57" t="s">
        <v>1468</v>
      </c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  <c r="IY257" s="1"/>
      <c r="IZ257" s="1"/>
      <c r="JA257" s="1"/>
      <c r="JB257" s="1"/>
      <c r="JC257" s="1"/>
      <c r="JD257" s="1"/>
      <c r="JE257" s="1"/>
      <c r="JF257" s="1"/>
      <c r="JG257" s="1"/>
      <c r="JH257" s="1"/>
      <c r="JI257" s="1"/>
      <c r="JJ257" s="1"/>
      <c r="JK257" s="1"/>
      <c r="JL257" s="1"/>
      <c r="JM257" s="1"/>
      <c r="JN257" s="1"/>
      <c r="JO257" s="1"/>
      <c r="JP257" s="1"/>
      <c r="JQ257" s="1"/>
      <c r="JR257" s="1"/>
      <c r="JS257" s="1"/>
      <c r="JT257" s="1"/>
      <c r="JU257" s="1"/>
      <c r="JV257" s="1"/>
      <c r="JW257" s="1"/>
      <c r="JX257" s="1"/>
      <c r="JY257" s="1"/>
      <c r="JZ257" s="1"/>
      <c r="KA257" s="1"/>
      <c r="KB257" s="1"/>
      <c r="KC257" s="1"/>
      <c r="KD257" s="1"/>
      <c r="KE257" s="1"/>
      <c r="KF257" s="1"/>
      <c r="KG257" s="1"/>
      <c r="KH257" s="1"/>
      <c r="KI257" s="1"/>
      <c r="KJ257" s="1"/>
      <c r="KK257" s="1"/>
      <c r="KL257" s="1"/>
      <c r="KM257" s="1"/>
      <c r="KN257" s="1"/>
      <c r="KO257" s="1"/>
      <c r="KP257" s="1"/>
      <c r="KQ257" s="1"/>
      <c r="KR257" s="1"/>
      <c r="KS257" s="1"/>
      <c r="KT257" s="1"/>
      <c r="KU257" s="1"/>
      <c r="KV257" s="1"/>
      <c r="KW257" s="1"/>
      <c r="KX257" s="1"/>
      <c r="KY257" s="1"/>
      <c r="KZ257" s="1"/>
      <c r="LA257" s="1"/>
      <c r="LB257" s="1"/>
      <c r="LC257" s="1"/>
      <c r="LD257" s="1"/>
      <c r="LE257" s="1"/>
      <c r="LF257" s="1"/>
      <c r="LG257" s="1"/>
      <c r="LH257" s="1"/>
      <c r="LI257" s="1"/>
      <c r="LJ257" s="1"/>
      <c r="LK257" s="1"/>
      <c r="LL257" s="1"/>
      <c r="LM257" s="1"/>
      <c r="LN257" s="1"/>
      <c r="LO257" s="1"/>
      <c r="LP257" s="1"/>
      <c r="LQ257" s="1"/>
      <c r="LR257" s="1"/>
      <c r="LS257" s="1"/>
    </row>
    <row r="258" spans="1:331" s="40" customFormat="1" x14ac:dyDescent="0.25">
      <c r="A258" s="40" t="s">
        <v>1027</v>
      </c>
      <c r="B258" s="44" t="s">
        <v>1028</v>
      </c>
      <c r="C258" s="13" t="s">
        <v>2075</v>
      </c>
      <c r="D258" s="40">
        <v>0</v>
      </c>
      <c r="H258" s="40" t="s">
        <v>1029</v>
      </c>
      <c r="I258" s="40" t="s">
        <v>1030</v>
      </c>
      <c r="J258" s="40" t="s">
        <v>1031</v>
      </c>
      <c r="K258" s="40" t="s">
        <v>2134</v>
      </c>
      <c r="L258" s="40">
        <v>0</v>
      </c>
      <c r="O258" s="40">
        <v>1</v>
      </c>
      <c r="P258" s="40" t="s">
        <v>1032</v>
      </c>
      <c r="Q258" s="1" t="s">
        <v>1187</v>
      </c>
      <c r="R258" s="1"/>
      <c r="S258" s="40">
        <v>12</v>
      </c>
      <c r="U258" s="40">
        <v>17</v>
      </c>
      <c r="W258" s="1">
        <v>12</v>
      </c>
      <c r="X258" s="1">
        <v>24</v>
      </c>
      <c r="Y258" s="1" t="s">
        <v>2385</v>
      </c>
      <c r="Z258" s="40">
        <v>8</v>
      </c>
      <c r="AA258" s="1" t="b">
        <v>1</v>
      </c>
      <c r="AB258" s="1"/>
      <c r="AC258" s="57" t="s">
        <v>1410</v>
      </c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  <c r="IY258" s="1"/>
      <c r="IZ258" s="1"/>
      <c r="JA258" s="1"/>
      <c r="JB258" s="1"/>
      <c r="JC258" s="1"/>
      <c r="JD258" s="1"/>
      <c r="JE258" s="1"/>
      <c r="JF258" s="1"/>
      <c r="JG258" s="1"/>
      <c r="JH258" s="1"/>
      <c r="JI258" s="1"/>
      <c r="JJ258" s="1"/>
      <c r="JK258" s="1"/>
      <c r="JL258" s="1"/>
      <c r="JM258" s="1"/>
      <c r="JN258" s="1"/>
      <c r="JO258" s="1"/>
      <c r="JP258" s="1"/>
      <c r="JQ258" s="1"/>
      <c r="JR258" s="1"/>
      <c r="JS258" s="1"/>
      <c r="JT258" s="1"/>
      <c r="JU258" s="1"/>
      <c r="JV258" s="1"/>
      <c r="JW258" s="1"/>
      <c r="JX258" s="1"/>
      <c r="JY258" s="1"/>
      <c r="JZ258" s="1"/>
      <c r="KA258" s="1"/>
      <c r="KB258" s="1"/>
      <c r="KC258" s="1"/>
      <c r="KD258" s="1"/>
      <c r="KE258" s="1"/>
      <c r="KF258" s="1"/>
      <c r="KG258" s="1"/>
      <c r="KH258" s="1"/>
      <c r="KI258" s="1"/>
      <c r="KJ258" s="1"/>
      <c r="KK258" s="1"/>
      <c r="KL258" s="1"/>
      <c r="KM258" s="1"/>
      <c r="KN258" s="1"/>
      <c r="KO258" s="1"/>
      <c r="KP258" s="1"/>
      <c r="KQ258" s="1"/>
      <c r="KR258" s="1"/>
      <c r="KS258" s="1"/>
      <c r="KT258" s="1"/>
      <c r="KU258" s="1"/>
      <c r="KV258" s="1"/>
      <c r="KW258" s="1"/>
      <c r="KX258" s="1"/>
      <c r="KY258" s="1"/>
      <c r="KZ258" s="1"/>
      <c r="LA258" s="1"/>
      <c r="LB258" s="1"/>
      <c r="LC258" s="1"/>
      <c r="LD258" s="1"/>
      <c r="LE258" s="1"/>
      <c r="LF258" s="1"/>
      <c r="LG258" s="1"/>
      <c r="LH258" s="1"/>
      <c r="LI258" s="1"/>
      <c r="LJ258" s="1"/>
      <c r="LK258" s="1"/>
      <c r="LL258" s="1"/>
      <c r="LM258" s="1"/>
      <c r="LN258" s="1"/>
      <c r="LO258" s="1"/>
      <c r="LP258" s="1"/>
      <c r="LQ258" s="1"/>
      <c r="LR258" s="1"/>
      <c r="LS258" s="1"/>
    </row>
    <row r="259" spans="1:331" s="70" customFormat="1" x14ac:dyDescent="0.25">
      <c r="A259" s="70" t="s">
        <v>1033</v>
      </c>
      <c r="B259" s="73" t="s">
        <v>1034</v>
      </c>
      <c r="C259" s="13" t="s">
        <v>2075</v>
      </c>
      <c r="D259" s="70">
        <v>1</v>
      </c>
      <c r="E259" s="70" t="s">
        <v>1035</v>
      </c>
      <c r="H259" s="70" t="s">
        <v>1036</v>
      </c>
      <c r="I259" s="70" t="s">
        <v>1035</v>
      </c>
      <c r="J259" s="70" t="s">
        <v>1036</v>
      </c>
      <c r="K259" s="70" t="s">
        <v>1036</v>
      </c>
      <c r="L259" s="70">
        <v>0</v>
      </c>
      <c r="O259" s="70">
        <v>1</v>
      </c>
      <c r="P259" s="70" t="s">
        <v>1037</v>
      </c>
      <c r="Q259" s="1"/>
      <c r="R259" s="1" t="s">
        <v>1038</v>
      </c>
      <c r="T259" s="70">
        <v>15</v>
      </c>
      <c r="V259" s="70">
        <v>15</v>
      </c>
      <c r="W259" s="70">
        <v>15</v>
      </c>
      <c r="X259" s="1">
        <v>16</v>
      </c>
      <c r="Y259" s="1" t="s">
        <v>2386</v>
      </c>
      <c r="Z259" s="70">
        <v>13</v>
      </c>
      <c r="AA259" s="70" t="b">
        <v>1</v>
      </c>
      <c r="AC259" s="72" t="s">
        <v>1461</v>
      </c>
    </row>
    <row r="260" spans="1:331" s="25" customFormat="1" x14ac:dyDescent="0.25">
      <c r="A260" s="25" t="s">
        <v>1039</v>
      </c>
      <c r="B260" s="29" t="s">
        <v>1040</v>
      </c>
      <c r="C260" s="13" t="s">
        <v>2075</v>
      </c>
      <c r="D260" s="25">
        <v>0</v>
      </c>
      <c r="H260" s="25" t="s">
        <v>1041</v>
      </c>
      <c r="I260" s="25" t="s">
        <v>1042</v>
      </c>
      <c r="J260" s="25" t="s">
        <v>1042</v>
      </c>
      <c r="K260" s="25" t="s">
        <v>1042</v>
      </c>
      <c r="L260" s="25">
        <v>0</v>
      </c>
      <c r="O260" s="25">
        <v>0</v>
      </c>
      <c r="Q260" s="1" t="s">
        <v>1633</v>
      </c>
      <c r="R260" s="1"/>
      <c r="S260" s="25">
        <v>8</v>
      </c>
      <c r="U260" s="25">
        <v>9</v>
      </c>
      <c r="W260" s="1">
        <v>8</v>
      </c>
      <c r="X260" s="1">
        <v>12</v>
      </c>
      <c r="Y260" s="1" t="s">
        <v>2387</v>
      </c>
      <c r="Z260" s="25">
        <v>5</v>
      </c>
      <c r="AA260" s="1" t="b">
        <v>1</v>
      </c>
      <c r="AB260" s="1"/>
      <c r="AC260" s="57" t="s">
        <v>1367</v>
      </c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  <c r="IY260" s="1"/>
      <c r="IZ260" s="1"/>
      <c r="JA260" s="1"/>
      <c r="JB260" s="1"/>
      <c r="JC260" s="1"/>
      <c r="JD260" s="1"/>
      <c r="JE260" s="1"/>
      <c r="JF260" s="1"/>
      <c r="JG260" s="1"/>
      <c r="JH260" s="1"/>
      <c r="JI260" s="1"/>
      <c r="JJ260" s="1"/>
      <c r="JK260" s="1"/>
      <c r="JL260" s="1"/>
      <c r="JM260" s="1"/>
      <c r="JN260" s="1"/>
      <c r="JO260" s="1"/>
      <c r="JP260" s="1"/>
      <c r="JQ260" s="1"/>
      <c r="JR260" s="1"/>
      <c r="JS260" s="1"/>
      <c r="JT260" s="1"/>
      <c r="JU260" s="1"/>
      <c r="JV260" s="1"/>
      <c r="JW260" s="1"/>
      <c r="JX260" s="1"/>
      <c r="JY260" s="1"/>
      <c r="JZ260" s="1"/>
      <c r="KA260" s="1"/>
      <c r="KB260" s="1"/>
      <c r="KC260" s="1"/>
      <c r="KD260" s="1"/>
      <c r="KE260" s="1"/>
      <c r="KF260" s="1"/>
      <c r="KG260" s="1"/>
      <c r="KH260" s="1"/>
      <c r="KI260" s="1"/>
      <c r="KJ260" s="1"/>
      <c r="KK260" s="1"/>
      <c r="KL260" s="1"/>
      <c r="KM260" s="1"/>
      <c r="KN260" s="1"/>
      <c r="KO260" s="1"/>
      <c r="KP260" s="1"/>
      <c r="KQ260" s="1"/>
      <c r="KR260" s="1"/>
      <c r="KS260" s="1"/>
      <c r="KT260" s="1"/>
      <c r="KU260" s="1"/>
      <c r="KV260" s="1"/>
      <c r="KW260" s="1"/>
      <c r="KX260" s="1"/>
      <c r="KY260" s="1"/>
      <c r="KZ260" s="1"/>
      <c r="LA260" s="1"/>
      <c r="LB260" s="1"/>
      <c r="LC260" s="1"/>
      <c r="LD260" s="1"/>
      <c r="LE260" s="1"/>
      <c r="LF260" s="1"/>
      <c r="LG260" s="1"/>
      <c r="LH260" s="1"/>
      <c r="LI260" s="1"/>
      <c r="LJ260" s="1"/>
      <c r="LK260" s="1"/>
      <c r="LL260" s="1"/>
      <c r="LM260" s="1"/>
      <c r="LN260" s="1"/>
      <c r="LO260" s="1"/>
      <c r="LP260" s="1"/>
      <c r="LQ260" s="1"/>
      <c r="LR260" s="1"/>
      <c r="LS260" s="1"/>
    </row>
    <row r="261" spans="1:331" s="25" customFormat="1" x14ac:dyDescent="0.25">
      <c r="A261" s="25" t="s">
        <v>1043</v>
      </c>
      <c r="B261" s="29" t="s">
        <v>1044</v>
      </c>
      <c r="C261" s="13" t="s">
        <v>2075</v>
      </c>
      <c r="D261" s="25">
        <v>0</v>
      </c>
      <c r="H261" s="25" t="s">
        <v>1045</v>
      </c>
      <c r="I261" s="25" t="s">
        <v>1046</v>
      </c>
      <c r="J261" s="25" t="s">
        <v>1047</v>
      </c>
      <c r="K261" s="25" t="s">
        <v>1045</v>
      </c>
      <c r="L261" s="25">
        <v>0</v>
      </c>
      <c r="O261" s="25">
        <v>0</v>
      </c>
      <c r="Q261" s="1" t="s">
        <v>1634</v>
      </c>
      <c r="R261" s="1"/>
      <c r="T261" s="25">
        <v>9</v>
      </c>
      <c r="V261" s="25">
        <v>8</v>
      </c>
      <c r="W261" s="1">
        <v>9</v>
      </c>
      <c r="X261" s="1">
        <v>18</v>
      </c>
      <c r="Y261" s="1" t="s">
        <v>2388</v>
      </c>
      <c r="Z261" s="25">
        <v>5</v>
      </c>
      <c r="AA261" s="1" t="b">
        <v>1</v>
      </c>
      <c r="AB261" s="1"/>
      <c r="AC261" s="57" t="s">
        <v>1368</v>
      </c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  <c r="IY261" s="1"/>
      <c r="IZ261" s="1"/>
      <c r="JA261" s="1"/>
      <c r="JB261" s="1"/>
      <c r="JC261" s="1"/>
      <c r="JD261" s="1"/>
      <c r="JE261" s="1"/>
      <c r="JF261" s="1"/>
      <c r="JG261" s="1"/>
      <c r="JH261" s="1"/>
      <c r="JI261" s="1"/>
      <c r="JJ261" s="1"/>
      <c r="JK261" s="1"/>
      <c r="JL261" s="1"/>
      <c r="JM261" s="1"/>
      <c r="JN261" s="1"/>
      <c r="JO261" s="1"/>
      <c r="JP261" s="1"/>
      <c r="JQ261" s="1"/>
      <c r="JR261" s="1"/>
      <c r="JS261" s="1"/>
      <c r="JT261" s="1"/>
      <c r="JU261" s="1"/>
      <c r="JV261" s="1"/>
      <c r="JW261" s="1"/>
      <c r="JX261" s="1"/>
      <c r="JY261" s="1"/>
      <c r="JZ261" s="1"/>
      <c r="KA261" s="1"/>
      <c r="KB261" s="1"/>
      <c r="KC261" s="1"/>
      <c r="KD261" s="1"/>
      <c r="KE261" s="1"/>
      <c r="KF261" s="1"/>
      <c r="KG261" s="1"/>
      <c r="KH261" s="1"/>
      <c r="KI261" s="1"/>
      <c r="KJ261" s="1"/>
      <c r="KK261" s="1"/>
      <c r="KL261" s="1"/>
      <c r="KM261" s="1"/>
      <c r="KN261" s="1"/>
      <c r="KO261" s="1"/>
      <c r="KP261" s="1"/>
      <c r="KQ261" s="1"/>
      <c r="KR261" s="1"/>
      <c r="KS261" s="1"/>
      <c r="KT261" s="1"/>
      <c r="KU261" s="1"/>
      <c r="KV261" s="1"/>
      <c r="KW261" s="1"/>
      <c r="KX261" s="1"/>
      <c r="KY261" s="1"/>
      <c r="KZ261" s="1"/>
      <c r="LA261" s="1"/>
      <c r="LB261" s="1"/>
      <c r="LC261" s="1"/>
      <c r="LD261" s="1"/>
      <c r="LE261" s="1"/>
      <c r="LF261" s="1"/>
      <c r="LG261" s="1"/>
      <c r="LH261" s="1"/>
      <c r="LI261" s="1"/>
      <c r="LJ261" s="1"/>
      <c r="LK261" s="1"/>
      <c r="LL261" s="1"/>
      <c r="LM261" s="1"/>
      <c r="LN261" s="1"/>
      <c r="LO261" s="1"/>
      <c r="LP261" s="1"/>
      <c r="LQ261" s="1"/>
      <c r="LR261" s="1"/>
      <c r="LS261" s="1"/>
    </row>
    <row r="262" spans="1:331" s="30" customFormat="1" x14ac:dyDescent="0.25">
      <c r="A262" s="30" t="s">
        <v>1048</v>
      </c>
      <c r="B262" s="34" t="s">
        <v>1049</v>
      </c>
      <c r="C262" s="13" t="s">
        <v>2075</v>
      </c>
      <c r="D262" s="30">
        <v>1</v>
      </c>
      <c r="E262" s="30" t="s">
        <v>1050</v>
      </c>
      <c r="H262" s="30" t="s">
        <v>1051</v>
      </c>
      <c r="I262" s="30" t="s">
        <v>1052</v>
      </c>
      <c r="J262" s="30" t="s">
        <v>1051</v>
      </c>
      <c r="K262" s="30" t="s">
        <v>1050</v>
      </c>
      <c r="L262" s="30">
        <v>0</v>
      </c>
      <c r="O262" s="30">
        <v>0</v>
      </c>
      <c r="Q262" s="1" t="s">
        <v>1635</v>
      </c>
      <c r="R262" s="1"/>
      <c r="S262" s="30">
        <v>8</v>
      </c>
      <c r="U262" s="30">
        <v>7</v>
      </c>
      <c r="W262" s="1">
        <v>8</v>
      </c>
      <c r="X262" s="1">
        <v>15</v>
      </c>
      <c r="Y262" s="1" t="s">
        <v>2389</v>
      </c>
      <c r="Z262" s="30">
        <v>6</v>
      </c>
      <c r="AA262" s="1" t="b">
        <v>1</v>
      </c>
      <c r="AB262" s="1"/>
      <c r="AC262" s="57" t="s">
        <v>1417</v>
      </c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  <c r="IY262" s="1"/>
      <c r="IZ262" s="1"/>
      <c r="JA262" s="1"/>
      <c r="JB262" s="1"/>
      <c r="JC262" s="1"/>
      <c r="JD262" s="1"/>
      <c r="JE262" s="1"/>
      <c r="JF262" s="1"/>
      <c r="JG262" s="1"/>
      <c r="JH262" s="1"/>
      <c r="JI262" s="1"/>
      <c r="JJ262" s="1"/>
      <c r="JK262" s="1"/>
      <c r="JL262" s="1"/>
      <c r="JM262" s="1"/>
      <c r="JN262" s="1"/>
      <c r="JO262" s="1"/>
      <c r="JP262" s="1"/>
      <c r="JQ262" s="1"/>
      <c r="JR262" s="1"/>
      <c r="JS262" s="1"/>
      <c r="JT262" s="1"/>
      <c r="JU262" s="1"/>
      <c r="JV262" s="1"/>
      <c r="JW262" s="1"/>
      <c r="JX262" s="1"/>
      <c r="JY262" s="1"/>
      <c r="JZ262" s="1"/>
      <c r="KA262" s="1"/>
      <c r="KB262" s="1"/>
      <c r="KC262" s="1"/>
      <c r="KD262" s="1"/>
      <c r="KE262" s="1"/>
      <c r="KF262" s="1"/>
      <c r="KG262" s="1"/>
      <c r="KH262" s="1"/>
      <c r="KI262" s="1"/>
      <c r="KJ262" s="1"/>
      <c r="KK262" s="1"/>
      <c r="KL262" s="1"/>
      <c r="KM262" s="1"/>
      <c r="KN262" s="1"/>
      <c r="KO262" s="1"/>
      <c r="KP262" s="1"/>
      <c r="KQ262" s="1"/>
      <c r="KR262" s="1"/>
      <c r="KS262" s="1"/>
      <c r="KT262" s="1"/>
      <c r="KU262" s="1"/>
      <c r="KV262" s="1"/>
      <c r="KW262" s="1"/>
      <c r="KX262" s="1"/>
      <c r="KY262" s="1"/>
      <c r="KZ262" s="1"/>
      <c r="LA262" s="1"/>
      <c r="LB262" s="1"/>
      <c r="LC262" s="1"/>
      <c r="LD262" s="1"/>
      <c r="LE262" s="1"/>
      <c r="LF262" s="1"/>
      <c r="LG262" s="1"/>
      <c r="LH262" s="1"/>
      <c r="LI262" s="1"/>
      <c r="LJ262" s="1"/>
      <c r="LK262" s="1"/>
      <c r="LL262" s="1"/>
      <c r="LM262" s="1"/>
      <c r="LN262" s="1"/>
      <c r="LO262" s="1"/>
      <c r="LP262" s="1"/>
      <c r="LQ262" s="1"/>
      <c r="LR262" s="1"/>
      <c r="LS262" s="1"/>
    </row>
    <row r="263" spans="1:331" s="35" customFormat="1" x14ac:dyDescent="0.25">
      <c r="A263" s="35" t="s">
        <v>1053</v>
      </c>
      <c r="B263" s="39" t="s">
        <v>1054</v>
      </c>
      <c r="C263" s="13" t="s">
        <v>2075</v>
      </c>
      <c r="D263" s="35">
        <v>1</v>
      </c>
      <c r="E263" s="35" t="s">
        <v>1055</v>
      </c>
      <c r="H263" s="35" t="s">
        <v>1056</v>
      </c>
      <c r="I263" s="35" t="s">
        <v>1057</v>
      </c>
      <c r="J263" s="35" t="s">
        <v>1058</v>
      </c>
      <c r="K263" s="35" t="s">
        <v>1055</v>
      </c>
      <c r="L263" s="35">
        <v>0</v>
      </c>
      <c r="O263" s="35">
        <v>1</v>
      </c>
      <c r="P263" s="35" t="s">
        <v>1059</v>
      </c>
      <c r="Q263" s="1" t="s">
        <v>1636</v>
      </c>
      <c r="R263" s="1"/>
      <c r="S263" s="35">
        <v>12</v>
      </c>
      <c r="V263" s="35">
        <v>10</v>
      </c>
      <c r="W263" s="1">
        <v>12</v>
      </c>
      <c r="X263" s="1">
        <v>16</v>
      </c>
      <c r="Y263" s="1" t="s">
        <v>2390</v>
      </c>
      <c r="Z263" s="35">
        <v>7</v>
      </c>
      <c r="AA263" s="1" t="b">
        <v>1</v>
      </c>
      <c r="AB263" s="1"/>
      <c r="AC263" s="57" t="s">
        <v>1469</v>
      </c>
      <c r="AD263" s="1" t="b">
        <v>1</v>
      </c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  <c r="IY263" s="1"/>
      <c r="IZ263" s="1"/>
      <c r="JA263" s="1"/>
      <c r="JB263" s="1"/>
      <c r="JC263" s="1"/>
      <c r="JD263" s="1"/>
      <c r="JE263" s="1"/>
      <c r="JF263" s="1"/>
      <c r="JG263" s="1"/>
      <c r="JH263" s="1"/>
      <c r="JI263" s="1"/>
      <c r="JJ263" s="1"/>
      <c r="JK263" s="1"/>
      <c r="JL263" s="1"/>
      <c r="JM263" s="1"/>
      <c r="JN263" s="1"/>
      <c r="JO263" s="1"/>
      <c r="JP263" s="1"/>
      <c r="JQ263" s="1"/>
      <c r="JR263" s="1"/>
      <c r="JS263" s="1"/>
      <c r="JT263" s="1"/>
      <c r="JU263" s="1"/>
      <c r="JV263" s="1"/>
      <c r="JW263" s="1"/>
      <c r="JX263" s="1"/>
      <c r="JY263" s="1"/>
      <c r="JZ263" s="1"/>
      <c r="KA263" s="1"/>
      <c r="KB263" s="1"/>
      <c r="KC263" s="1"/>
      <c r="KD263" s="1"/>
      <c r="KE263" s="1"/>
      <c r="KF263" s="1"/>
      <c r="KG263" s="1"/>
      <c r="KH263" s="1"/>
      <c r="KI263" s="1"/>
      <c r="KJ263" s="1"/>
      <c r="KK263" s="1"/>
      <c r="KL263" s="1"/>
      <c r="KM263" s="1"/>
      <c r="KN263" s="1"/>
      <c r="KO263" s="1"/>
      <c r="KP263" s="1"/>
      <c r="KQ263" s="1"/>
      <c r="KR263" s="1"/>
      <c r="KS263" s="1"/>
      <c r="KT263" s="1"/>
      <c r="KU263" s="1"/>
      <c r="KV263" s="1"/>
      <c r="KW263" s="1"/>
      <c r="KX263" s="1"/>
      <c r="KY263" s="1"/>
      <c r="KZ263" s="1"/>
      <c r="LA263" s="1"/>
      <c r="LB263" s="1"/>
      <c r="LC263" s="1"/>
      <c r="LD263" s="1"/>
      <c r="LE263" s="1"/>
      <c r="LF263" s="1"/>
      <c r="LG263" s="1"/>
      <c r="LH263" s="1"/>
      <c r="LI263" s="1"/>
      <c r="LJ263" s="1"/>
      <c r="LK263" s="1"/>
      <c r="LL263" s="1"/>
      <c r="LM263" s="1"/>
      <c r="LN263" s="1"/>
      <c r="LO263" s="1"/>
      <c r="LP263" s="1"/>
      <c r="LQ263" s="1"/>
      <c r="LR263" s="1"/>
      <c r="LS263" s="1"/>
    </row>
    <row r="264" spans="1:331" s="49" customFormat="1" x14ac:dyDescent="0.25">
      <c r="A264" s="49" t="s">
        <v>1060</v>
      </c>
      <c r="B264" s="51" t="s">
        <v>1061</v>
      </c>
      <c r="C264" s="13" t="s">
        <v>2075</v>
      </c>
      <c r="D264" s="49">
        <v>0</v>
      </c>
      <c r="H264" s="49" t="s">
        <v>1062</v>
      </c>
      <c r="I264" s="49" t="s">
        <v>1063</v>
      </c>
      <c r="J264" s="49" t="s">
        <v>1063</v>
      </c>
      <c r="K264" s="49" t="s">
        <v>1063</v>
      </c>
      <c r="L264" s="49">
        <v>0</v>
      </c>
      <c r="O264" s="49">
        <v>1</v>
      </c>
      <c r="Q264" s="1"/>
      <c r="R264" s="1" t="s">
        <v>1035</v>
      </c>
      <c r="S264" s="49">
        <v>7</v>
      </c>
      <c r="U264" s="49">
        <v>8</v>
      </c>
      <c r="W264" s="1">
        <v>7</v>
      </c>
      <c r="X264" s="1">
        <v>9</v>
      </c>
      <c r="Y264" s="1" t="s">
        <v>2391</v>
      </c>
      <c r="Z264" s="49">
        <v>9</v>
      </c>
      <c r="AA264" s="1" t="b">
        <v>1</v>
      </c>
      <c r="AB264" s="1"/>
      <c r="AC264" s="57" t="s">
        <v>1470</v>
      </c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  <c r="IY264" s="1"/>
      <c r="IZ264" s="1"/>
      <c r="JA264" s="1"/>
      <c r="JB264" s="1"/>
      <c r="JC264" s="1"/>
      <c r="JD264" s="1"/>
      <c r="JE264" s="1"/>
      <c r="JF264" s="1"/>
      <c r="JG264" s="1"/>
      <c r="JH264" s="1"/>
      <c r="JI264" s="1"/>
      <c r="JJ264" s="1"/>
      <c r="JK264" s="1"/>
      <c r="JL264" s="1"/>
      <c r="JM264" s="1"/>
      <c r="JN264" s="1"/>
      <c r="JO264" s="1"/>
      <c r="JP264" s="1"/>
      <c r="JQ264" s="1"/>
      <c r="JR264" s="1"/>
      <c r="JS264" s="1"/>
      <c r="JT264" s="1"/>
      <c r="JU264" s="1"/>
      <c r="JV264" s="1"/>
      <c r="JW264" s="1"/>
      <c r="JX264" s="1"/>
      <c r="JY264" s="1"/>
      <c r="JZ264" s="1"/>
      <c r="KA264" s="1"/>
      <c r="KB264" s="1"/>
      <c r="KC264" s="1"/>
      <c r="KD264" s="1"/>
      <c r="KE264" s="1"/>
      <c r="KF264" s="1"/>
      <c r="KG264" s="1"/>
      <c r="KH264" s="1"/>
      <c r="KI264" s="1"/>
      <c r="KJ264" s="1"/>
      <c r="KK264" s="1"/>
      <c r="KL264" s="1"/>
      <c r="KM264" s="1"/>
      <c r="KN264" s="1"/>
      <c r="KO264" s="1"/>
      <c r="KP264" s="1"/>
      <c r="KQ264" s="1"/>
      <c r="KR264" s="1"/>
      <c r="KS264" s="1"/>
      <c r="KT264" s="1"/>
      <c r="KU264" s="1"/>
      <c r="KV264" s="1"/>
      <c r="KW264" s="1"/>
      <c r="KX264" s="1"/>
      <c r="KY264" s="1"/>
      <c r="KZ264" s="1"/>
      <c r="LA264" s="1"/>
      <c r="LB264" s="1"/>
      <c r="LC264" s="1"/>
      <c r="LD264" s="1"/>
      <c r="LE264" s="1"/>
      <c r="LF264" s="1"/>
      <c r="LG264" s="1"/>
      <c r="LH264" s="1"/>
      <c r="LI264" s="1"/>
      <c r="LJ264" s="1"/>
      <c r="LK264" s="1"/>
      <c r="LL264" s="1"/>
      <c r="LM264" s="1"/>
      <c r="LN264" s="1"/>
      <c r="LO264" s="1"/>
      <c r="LP264" s="1"/>
      <c r="LQ264" s="1"/>
      <c r="LR264" s="1"/>
      <c r="LS264" s="1"/>
    </row>
    <row r="265" spans="1:331" s="65" customFormat="1" x14ac:dyDescent="0.25">
      <c r="A265" s="65" t="s">
        <v>1064</v>
      </c>
      <c r="B265" s="67" t="s">
        <v>1065</v>
      </c>
      <c r="C265" s="13" t="s">
        <v>2075</v>
      </c>
      <c r="D265" s="65">
        <v>1</v>
      </c>
      <c r="E265" s="65" t="s">
        <v>1066</v>
      </c>
      <c r="H265" s="65" t="s">
        <v>1067</v>
      </c>
      <c r="I265" s="65" t="s">
        <v>1068</v>
      </c>
      <c r="J265" s="65" t="s">
        <v>1069</v>
      </c>
      <c r="K265" s="65" t="s">
        <v>2135</v>
      </c>
      <c r="L265" s="65">
        <v>0</v>
      </c>
      <c r="O265" s="65">
        <v>1</v>
      </c>
      <c r="Q265" s="1"/>
      <c r="R265" s="1" t="s">
        <v>1070</v>
      </c>
      <c r="S265" s="65">
        <v>10</v>
      </c>
      <c r="T265" s="65">
        <v>10</v>
      </c>
      <c r="V265" s="65">
        <v>15</v>
      </c>
      <c r="W265" s="65">
        <v>10</v>
      </c>
      <c r="X265" s="1">
        <v>19</v>
      </c>
      <c r="Y265" s="1" t="s">
        <v>2392</v>
      </c>
      <c r="Z265" s="65">
        <v>12</v>
      </c>
      <c r="AA265" s="65" t="b">
        <v>1</v>
      </c>
      <c r="AC265" s="68" t="s">
        <v>1425</v>
      </c>
      <c r="AD265" s="65" t="b">
        <v>1</v>
      </c>
    </row>
    <row r="266" spans="1:331" s="49" customFormat="1" x14ac:dyDescent="0.25">
      <c r="A266" s="49" t="s">
        <v>1071</v>
      </c>
      <c r="B266" s="51" t="s">
        <v>1072</v>
      </c>
      <c r="C266" s="13" t="s">
        <v>2075</v>
      </c>
      <c r="D266" s="49">
        <v>0</v>
      </c>
      <c r="H266" s="49" t="s">
        <v>1050</v>
      </c>
      <c r="I266" s="49" t="s">
        <v>663</v>
      </c>
      <c r="J266" s="49" t="s">
        <v>1073</v>
      </c>
      <c r="K266" s="49" t="s">
        <v>1050</v>
      </c>
      <c r="L266" s="49">
        <v>0</v>
      </c>
      <c r="O266" s="49">
        <v>1</v>
      </c>
      <c r="Q266" s="1"/>
      <c r="R266" s="1" t="s">
        <v>1073</v>
      </c>
      <c r="S266" s="49">
        <v>14</v>
      </c>
      <c r="U266" s="49">
        <v>13</v>
      </c>
      <c r="W266" s="1">
        <v>14</v>
      </c>
      <c r="X266" s="1">
        <v>15</v>
      </c>
      <c r="Y266" s="1" t="s">
        <v>2393</v>
      </c>
      <c r="Z266" s="49">
        <v>9</v>
      </c>
      <c r="AA266" s="1" t="b">
        <v>1</v>
      </c>
      <c r="AB266" s="1"/>
      <c r="AC266" s="57" t="s">
        <v>1471</v>
      </c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  <c r="IY266" s="1"/>
      <c r="IZ266" s="1"/>
      <c r="JA266" s="1"/>
      <c r="JB266" s="1"/>
      <c r="JC266" s="1"/>
      <c r="JD266" s="1"/>
      <c r="JE266" s="1"/>
      <c r="JF266" s="1"/>
      <c r="JG266" s="1"/>
      <c r="JH266" s="1"/>
      <c r="JI266" s="1"/>
      <c r="JJ266" s="1"/>
      <c r="JK266" s="1"/>
      <c r="JL266" s="1"/>
      <c r="JM266" s="1"/>
      <c r="JN266" s="1"/>
      <c r="JO266" s="1"/>
      <c r="JP266" s="1"/>
      <c r="JQ266" s="1"/>
      <c r="JR266" s="1"/>
      <c r="JS266" s="1"/>
      <c r="JT266" s="1"/>
      <c r="JU266" s="1"/>
      <c r="JV266" s="1"/>
      <c r="JW266" s="1"/>
      <c r="JX266" s="1"/>
      <c r="JY266" s="1"/>
      <c r="JZ266" s="1"/>
      <c r="KA266" s="1"/>
      <c r="KB266" s="1"/>
      <c r="KC266" s="1"/>
      <c r="KD266" s="1"/>
      <c r="KE266" s="1"/>
      <c r="KF266" s="1"/>
      <c r="KG266" s="1"/>
      <c r="KH266" s="1"/>
      <c r="KI266" s="1"/>
      <c r="KJ266" s="1"/>
      <c r="KK266" s="1"/>
      <c r="KL266" s="1"/>
      <c r="KM266" s="1"/>
      <c r="KN266" s="1"/>
      <c r="KO266" s="1"/>
      <c r="KP266" s="1"/>
      <c r="KQ266" s="1"/>
      <c r="KR266" s="1"/>
      <c r="KS266" s="1"/>
      <c r="KT266" s="1"/>
      <c r="KU266" s="1"/>
      <c r="KV266" s="1"/>
      <c r="KW266" s="1"/>
      <c r="KX266" s="1"/>
      <c r="KY266" s="1"/>
      <c r="KZ266" s="1"/>
      <c r="LA266" s="1"/>
      <c r="LB266" s="1"/>
      <c r="LC266" s="1"/>
      <c r="LD266" s="1"/>
      <c r="LE266" s="1"/>
      <c r="LF266" s="1"/>
      <c r="LG266" s="1"/>
      <c r="LH266" s="1"/>
      <c r="LI266" s="1"/>
      <c r="LJ266" s="1"/>
      <c r="LK266" s="1"/>
      <c r="LL266" s="1"/>
      <c r="LM266" s="1"/>
      <c r="LN266" s="1"/>
      <c r="LO266" s="1"/>
      <c r="LP266" s="1"/>
      <c r="LQ266" s="1"/>
      <c r="LR266" s="1"/>
      <c r="LS266" s="1"/>
    </row>
    <row r="267" spans="1:331" s="65" customFormat="1" x14ac:dyDescent="0.25">
      <c r="A267" s="65" t="s">
        <v>1074</v>
      </c>
      <c r="B267" s="67" t="s">
        <v>1075</v>
      </c>
      <c r="C267" s="13" t="s">
        <v>2075</v>
      </c>
      <c r="D267" s="65">
        <v>1</v>
      </c>
      <c r="E267" s="65" t="s">
        <v>1076</v>
      </c>
      <c r="H267" s="65" t="s">
        <v>1077</v>
      </c>
      <c r="I267" s="65" t="s">
        <v>1076</v>
      </c>
      <c r="J267" s="65" t="s">
        <v>1077</v>
      </c>
      <c r="K267" s="65" t="s">
        <v>2136</v>
      </c>
      <c r="L267" s="65">
        <v>0</v>
      </c>
      <c r="O267" s="65">
        <v>1</v>
      </c>
      <c r="Q267" s="1"/>
      <c r="R267" s="13" t="s">
        <v>2590</v>
      </c>
      <c r="S267" s="65">
        <v>16</v>
      </c>
      <c r="U267" s="65">
        <v>16</v>
      </c>
      <c r="W267" s="65">
        <v>16</v>
      </c>
      <c r="X267" s="1">
        <v>17</v>
      </c>
      <c r="Y267" s="1" t="s">
        <v>2394</v>
      </c>
      <c r="Z267" s="65">
        <v>12</v>
      </c>
      <c r="AA267" s="65" t="b">
        <v>1</v>
      </c>
      <c r="AC267" s="68" t="s">
        <v>1943</v>
      </c>
    </row>
    <row r="268" spans="1:331" s="45" customFormat="1" x14ac:dyDescent="0.25">
      <c r="A268" s="45" t="s">
        <v>1078</v>
      </c>
      <c r="C268" s="1" t="s">
        <v>2075</v>
      </c>
      <c r="D268" s="45">
        <v>0</v>
      </c>
      <c r="H268" s="45" t="s">
        <v>1079</v>
      </c>
      <c r="I268" s="45" t="s">
        <v>1079</v>
      </c>
      <c r="J268" s="45" t="s">
        <v>1080</v>
      </c>
      <c r="K268" s="45" t="s">
        <v>1079</v>
      </c>
      <c r="L268" s="45">
        <v>0</v>
      </c>
      <c r="O268" s="45">
        <v>1</v>
      </c>
      <c r="P268" s="45" t="s">
        <v>1081</v>
      </c>
      <c r="Q268" s="1" t="s">
        <v>1637</v>
      </c>
      <c r="R268" s="1"/>
      <c r="S268" s="45">
        <v>7</v>
      </c>
      <c r="W268" s="1"/>
      <c r="X268" s="1"/>
      <c r="Y268" s="1"/>
      <c r="Z268" s="45">
        <v>-1</v>
      </c>
      <c r="AA268" s="1" t="b">
        <v>0</v>
      </c>
      <c r="AB268" s="1"/>
      <c r="AC268" s="57" t="s">
        <v>1315</v>
      </c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  <c r="IY268" s="1"/>
      <c r="IZ268" s="1"/>
      <c r="JA268" s="1"/>
      <c r="JB268" s="1"/>
      <c r="JC268" s="1"/>
      <c r="JD268" s="1"/>
      <c r="JE268" s="1"/>
      <c r="JF268" s="1"/>
      <c r="JG268" s="1"/>
      <c r="JH268" s="1"/>
      <c r="JI268" s="1"/>
      <c r="JJ268" s="1"/>
      <c r="JK268" s="1"/>
      <c r="JL268" s="1"/>
      <c r="JM268" s="1"/>
      <c r="JN268" s="1"/>
      <c r="JO268" s="1"/>
      <c r="JP268" s="1"/>
      <c r="JQ268" s="1"/>
      <c r="JR268" s="1"/>
      <c r="JS268" s="1"/>
      <c r="JT268" s="1"/>
      <c r="JU268" s="1"/>
      <c r="JV268" s="1"/>
      <c r="JW268" s="1"/>
      <c r="JX268" s="1"/>
      <c r="JY268" s="1"/>
      <c r="JZ268" s="1"/>
      <c r="KA268" s="1"/>
      <c r="KB268" s="1"/>
      <c r="KC268" s="1"/>
      <c r="KD268" s="1"/>
      <c r="KE268" s="1"/>
      <c r="KF268" s="1"/>
      <c r="KG268" s="1"/>
      <c r="KH268" s="1"/>
      <c r="KI268" s="1"/>
      <c r="KJ268" s="1"/>
      <c r="KK268" s="1"/>
      <c r="KL268" s="1"/>
      <c r="KM268" s="1"/>
      <c r="KN268" s="1"/>
      <c r="KO268" s="1"/>
      <c r="KP268" s="1"/>
      <c r="KQ268" s="1"/>
      <c r="KR268" s="1"/>
      <c r="KS268" s="1"/>
      <c r="KT268" s="1"/>
      <c r="KU268" s="1"/>
      <c r="KV268" s="1"/>
      <c r="KW268" s="1"/>
      <c r="KX268" s="1"/>
      <c r="KY268" s="1"/>
      <c r="KZ268" s="1"/>
      <c r="LA268" s="1"/>
      <c r="LB268" s="1"/>
      <c r="LC268" s="1"/>
      <c r="LD268" s="1"/>
      <c r="LE268" s="1"/>
      <c r="LF268" s="1"/>
      <c r="LG268" s="1"/>
      <c r="LH268" s="1"/>
      <c r="LI268" s="1"/>
      <c r="LJ268" s="1"/>
      <c r="LK268" s="1"/>
      <c r="LL268" s="1"/>
      <c r="LM268" s="1"/>
      <c r="LN268" s="1"/>
      <c r="LO268" s="1"/>
      <c r="LP268" s="1"/>
      <c r="LQ268" s="1"/>
      <c r="LR268" s="1"/>
      <c r="LS268" s="1"/>
    </row>
    <row r="269" spans="1:331" s="25" customFormat="1" x14ac:dyDescent="0.25">
      <c r="A269" s="25" t="s">
        <v>1082</v>
      </c>
      <c r="B269" s="29" t="s">
        <v>1083</v>
      </c>
      <c r="C269" s="13" t="s">
        <v>2075</v>
      </c>
      <c r="D269" s="25">
        <v>0</v>
      </c>
      <c r="H269" s="25" t="s">
        <v>1084</v>
      </c>
      <c r="I269" s="25" t="s">
        <v>1085</v>
      </c>
      <c r="J269" s="25" t="s">
        <v>1084</v>
      </c>
      <c r="K269" s="25" t="s">
        <v>1084</v>
      </c>
      <c r="L269" s="25">
        <v>0</v>
      </c>
      <c r="O269" s="25">
        <v>0</v>
      </c>
      <c r="Q269" s="1" t="s">
        <v>1638</v>
      </c>
      <c r="R269" s="1"/>
      <c r="S269" s="25">
        <v>10</v>
      </c>
      <c r="U269" s="25">
        <v>8</v>
      </c>
      <c r="W269" s="1">
        <v>10</v>
      </c>
      <c r="X269" s="1">
        <v>8</v>
      </c>
      <c r="Y269" s="1" t="s">
        <v>2395</v>
      </c>
      <c r="Z269" s="25">
        <v>5</v>
      </c>
      <c r="AA269" s="1" t="b">
        <v>1</v>
      </c>
      <c r="AB269" s="1"/>
      <c r="AC269" s="57" t="s">
        <v>1371</v>
      </c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  <c r="IY269" s="1"/>
      <c r="IZ269" s="1"/>
      <c r="JA269" s="1"/>
      <c r="JB269" s="1"/>
      <c r="JC269" s="1"/>
      <c r="JD269" s="1"/>
      <c r="JE269" s="1"/>
      <c r="JF269" s="1"/>
      <c r="JG269" s="1"/>
      <c r="JH269" s="1"/>
      <c r="JI269" s="1"/>
      <c r="JJ269" s="1"/>
      <c r="JK269" s="1"/>
      <c r="JL269" s="1"/>
      <c r="JM269" s="1"/>
      <c r="JN269" s="1"/>
      <c r="JO269" s="1"/>
      <c r="JP269" s="1"/>
      <c r="JQ269" s="1"/>
      <c r="JR269" s="1"/>
      <c r="JS269" s="1"/>
      <c r="JT269" s="1"/>
      <c r="JU269" s="1"/>
      <c r="JV269" s="1"/>
      <c r="JW269" s="1"/>
      <c r="JX269" s="1"/>
      <c r="JY269" s="1"/>
      <c r="JZ269" s="1"/>
      <c r="KA269" s="1"/>
      <c r="KB269" s="1"/>
      <c r="KC269" s="1"/>
      <c r="KD269" s="1"/>
      <c r="KE269" s="1"/>
      <c r="KF269" s="1"/>
      <c r="KG269" s="1"/>
      <c r="KH269" s="1"/>
      <c r="KI269" s="1"/>
      <c r="KJ269" s="1"/>
      <c r="KK269" s="1"/>
      <c r="KL269" s="1"/>
      <c r="KM269" s="1"/>
      <c r="KN269" s="1"/>
      <c r="KO269" s="1"/>
      <c r="KP269" s="1"/>
      <c r="KQ269" s="1"/>
      <c r="KR269" s="1"/>
      <c r="KS269" s="1"/>
      <c r="KT269" s="1"/>
      <c r="KU269" s="1"/>
      <c r="KV269" s="1"/>
      <c r="KW269" s="1"/>
      <c r="KX269" s="1"/>
      <c r="KY269" s="1"/>
      <c r="KZ269" s="1"/>
      <c r="LA269" s="1"/>
      <c r="LB269" s="1"/>
      <c r="LC269" s="1"/>
      <c r="LD269" s="1"/>
      <c r="LE269" s="1"/>
      <c r="LF269" s="1"/>
      <c r="LG269" s="1"/>
      <c r="LH269" s="1"/>
      <c r="LI269" s="1"/>
      <c r="LJ269" s="1"/>
      <c r="LK269" s="1"/>
      <c r="LL269" s="1"/>
      <c r="LM269" s="1"/>
      <c r="LN269" s="1"/>
      <c r="LO269" s="1"/>
      <c r="LP269" s="1"/>
      <c r="LQ269" s="1"/>
      <c r="LR269" s="1"/>
      <c r="LS269" s="1"/>
    </row>
    <row r="270" spans="1:331" s="25" customFormat="1" x14ac:dyDescent="0.25">
      <c r="A270" s="25" t="s">
        <v>1086</v>
      </c>
      <c r="B270" s="29" t="s">
        <v>1087</v>
      </c>
      <c r="C270" s="13" t="s">
        <v>2075</v>
      </c>
      <c r="D270" s="25">
        <v>0</v>
      </c>
      <c r="H270" s="25" t="s">
        <v>1088</v>
      </c>
      <c r="I270" s="25" t="s">
        <v>1089</v>
      </c>
      <c r="J270" s="25" t="s">
        <v>1088</v>
      </c>
      <c r="K270" s="25" t="s">
        <v>1088</v>
      </c>
      <c r="L270" s="25">
        <v>0</v>
      </c>
      <c r="O270" s="25">
        <v>0</v>
      </c>
      <c r="Q270" s="1" t="s">
        <v>1639</v>
      </c>
      <c r="R270" s="1"/>
      <c r="T270" s="25">
        <v>7</v>
      </c>
      <c r="V270" s="25">
        <v>6</v>
      </c>
      <c r="W270" s="1">
        <v>7</v>
      </c>
      <c r="X270" s="1">
        <v>13</v>
      </c>
      <c r="Y270" s="1" t="s">
        <v>2396</v>
      </c>
      <c r="Z270" s="25">
        <v>5</v>
      </c>
      <c r="AA270" s="1" t="b">
        <v>1</v>
      </c>
      <c r="AB270" s="1"/>
      <c r="AC270" s="57" t="s">
        <v>1372</v>
      </c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  <c r="IY270" s="1"/>
      <c r="IZ270" s="1"/>
      <c r="JA270" s="1"/>
      <c r="JB270" s="1"/>
      <c r="JC270" s="1"/>
      <c r="JD270" s="1"/>
      <c r="JE270" s="1"/>
      <c r="JF270" s="1"/>
      <c r="JG270" s="1"/>
      <c r="JH270" s="1"/>
      <c r="JI270" s="1"/>
      <c r="JJ270" s="1"/>
      <c r="JK270" s="1"/>
      <c r="JL270" s="1"/>
      <c r="JM270" s="1"/>
      <c r="JN270" s="1"/>
      <c r="JO270" s="1"/>
      <c r="JP270" s="1"/>
      <c r="JQ270" s="1"/>
      <c r="JR270" s="1"/>
      <c r="JS270" s="1"/>
      <c r="JT270" s="1"/>
      <c r="JU270" s="1"/>
      <c r="JV270" s="1"/>
      <c r="JW270" s="1"/>
      <c r="JX270" s="1"/>
      <c r="JY270" s="1"/>
      <c r="JZ270" s="1"/>
      <c r="KA270" s="1"/>
      <c r="KB270" s="1"/>
      <c r="KC270" s="1"/>
      <c r="KD270" s="1"/>
      <c r="KE270" s="1"/>
      <c r="KF270" s="1"/>
      <c r="KG270" s="1"/>
      <c r="KH270" s="1"/>
      <c r="KI270" s="1"/>
      <c r="KJ270" s="1"/>
      <c r="KK270" s="1"/>
      <c r="KL270" s="1"/>
      <c r="KM270" s="1"/>
      <c r="KN270" s="1"/>
      <c r="KO270" s="1"/>
      <c r="KP270" s="1"/>
      <c r="KQ270" s="1"/>
      <c r="KR270" s="1"/>
      <c r="KS270" s="1"/>
      <c r="KT270" s="1"/>
      <c r="KU270" s="1"/>
      <c r="KV270" s="1"/>
      <c r="KW270" s="1"/>
      <c r="KX270" s="1"/>
      <c r="KY270" s="1"/>
      <c r="KZ270" s="1"/>
      <c r="LA270" s="1"/>
      <c r="LB270" s="1"/>
      <c r="LC270" s="1"/>
      <c r="LD270" s="1"/>
      <c r="LE270" s="1"/>
      <c r="LF270" s="1"/>
      <c r="LG270" s="1"/>
      <c r="LH270" s="1"/>
      <c r="LI270" s="1"/>
      <c r="LJ270" s="1"/>
      <c r="LK270" s="1"/>
      <c r="LL270" s="1"/>
      <c r="LM270" s="1"/>
      <c r="LN270" s="1"/>
      <c r="LO270" s="1"/>
      <c r="LP270" s="1"/>
      <c r="LQ270" s="1"/>
      <c r="LR270" s="1"/>
      <c r="LS270" s="1"/>
    </row>
    <row r="271" spans="1:331" s="40" customFormat="1" x14ac:dyDescent="0.25">
      <c r="A271" s="40" t="s">
        <v>1090</v>
      </c>
      <c r="B271" s="44" t="s">
        <v>1091</v>
      </c>
      <c r="C271" s="13" t="s">
        <v>2075</v>
      </c>
      <c r="D271" s="40">
        <v>0</v>
      </c>
      <c r="H271" s="40" t="s">
        <v>1092</v>
      </c>
      <c r="I271" s="40" t="s">
        <v>1093</v>
      </c>
      <c r="J271" s="40" t="s">
        <v>1094</v>
      </c>
      <c r="K271" s="40" t="s">
        <v>1092</v>
      </c>
      <c r="L271" s="40">
        <v>0</v>
      </c>
      <c r="O271" s="40">
        <v>1</v>
      </c>
      <c r="P271" s="40" t="s">
        <v>1095</v>
      </c>
      <c r="Q271" s="1" t="s">
        <v>1640</v>
      </c>
      <c r="R271" s="1"/>
      <c r="T271" s="40">
        <v>8</v>
      </c>
      <c r="V271" s="40">
        <v>10</v>
      </c>
      <c r="W271" s="1">
        <v>8</v>
      </c>
      <c r="X271" s="1">
        <v>18</v>
      </c>
      <c r="Y271" s="1" t="s">
        <v>2397</v>
      </c>
      <c r="Z271" s="40">
        <v>8</v>
      </c>
      <c r="AA271" s="1" t="b">
        <v>1</v>
      </c>
      <c r="AB271" s="1"/>
      <c r="AC271" s="57" t="s">
        <v>1472</v>
      </c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  <c r="IY271" s="1"/>
      <c r="IZ271" s="1"/>
      <c r="JA271" s="1"/>
      <c r="JB271" s="1"/>
      <c r="JC271" s="1"/>
      <c r="JD271" s="1"/>
      <c r="JE271" s="1"/>
      <c r="JF271" s="1"/>
      <c r="JG271" s="1"/>
      <c r="JH271" s="1"/>
      <c r="JI271" s="1"/>
      <c r="JJ271" s="1"/>
      <c r="JK271" s="1"/>
      <c r="JL271" s="1"/>
      <c r="JM271" s="1"/>
      <c r="JN271" s="1"/>
      <c r="JO271" s="1"/>
      <c r="JP271" s="1"/>
      <c r="JQ271" s="1"/>
      <c r="JR271" s="1"/>
      <c r="JS271" s="1"/>
      <c r="JT271" s="1"/>
      <c r="JU271" s="1"/>
      <c r="JV271" s="1"/>
      <c r="JW271" s="1"/>
      <c r="JX271" s="1"/>
      <c r="JY271" s="1"/>
      <c r="JZ271" s="1"/>
      <c r="KA271" s="1"/>
      <c r="KB271" s="1"/>
      <c r="KC271" s="1"/>
      <c r="KD271" s="1"/>
      <c r="KE271" s="1"/>
      <c r="KF271" s="1"/>
      <c r="KG271" s="1"/>
      <c r="KH271" s="1"/>
      <c r="KI271" s="1"/>
      <c r="KJ271" s="1"/>
      <c r="KK271" s="1"/>
      <c r="KL271" s="1"/>
      <c r="KM271" s="1"/>
      <c r="KN271" s="1"/>
      <c r="KO271" s="1"/>
      <c r="KP271" s="1"/>
      <c r="KQ271" s="1"/>
      <c r="KR271" s="1"/>
      <c r="KS271" s="1"/>
      <c r="KT271" s="1"/>
      <c r="KU271" s="1"/>
      <c r="KV271" s="1"/>
      <c r="KW271" s="1"/>
      <c r="KX271" s="1"/>
      <c r="KY271" s="1"/>
      <c r="KZ271" s="1"/>
      <c r="LA271" s="1"/>
      <c r="LB271" s="1"/>
      <c r="LC271" s="1"/>
      <c r="LD271" s="1"/>
      <c r="LE271" s="1"/>
      <c r="LF271" s="1"/>
      <c r="LG271" s="1"/>
      <c r="LH271" s="1"/>
      <c r="LI271" s="1"/>
      <c r="LJ271" s="1"/>
      <c r="LK271" s="1"/>
      <c r="LL271" s="1"/>
      <c r="LM271" s="1"/>
      <c r="LN271" s="1"/>
      <c r="LO271" s="1"/>
      <c r="LP271" s="1"/>
      <c r="LQ271" s="1"/>
      <c r="LR271" s="1"/>
      <c r="LS271" s="1"/>
    </row>
    <row r="272" spans="1:331" s="40" customFormat="1" x14ac:dyDescent="0.25">
      <c r="A272" s="40" t="s">
        <v>1096</v>
      </c>
      <c r="B272" s="44" t="s">
        <v>1097</v>
      </c>
      <c r="C272" s="13" t="s">
        <v>2075</v>
      </c>
      <c r="D272" s="40">
        <v>0</v>
      </c>
      <c r="H272" s="40" t="s">
        <v>555</v>
      </c>
      <c r="I272" s="40" t="s">
        <v>1098</v>
      </c>
      <c r="J272" s="40" t="s">
        <v>1099</v>
      </c>
      <c r="K272" s="40" t="s">
        <v>800</v>
      </c>
      <c r="L272" s="40">
        <v>0</v>
      </c>
      <c r="O272" s="40">
        <v>1</v>
      </c>
      <c r="P272" s="40" t="s">
        <v>150</v>
      </c>
      <c r="Q272" s="1" t="s">
        <v>1641</v>
      </c>
      <c r="R272" s="1"/>
      <c r="T272" s="40">
        <v>10</v>
      </c>
      <c r="V272" s="40">
        <v>10</v>
      </c>
      <c r="W272" s="1">
        <v>10</v>
      </c>
      <c r="X272" s="1">
        <v>17</v>
      </c>
      <c r="Y272" s="1" t="s">
        <v>2398</v>
      </c>
      <c r="Z272" s="40">
        <v>8</v>
      </c>
      <c r="AA272" s="1" t="b">
        <v>1</v>
      </c>
      <c r="AB272" s="1"/>
      <c r="AC272" s="57" t="s">
        <v>1374</v>
      </c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  <c r="IY272" s="1"/>
      <c r="IZ272" s="1"/>
      <c r="JA272" s="1"/>
      <c r="JB272" s="1"/>
      <c r="JC272" s="1"/>
      <c r="JD272" s="1"/>
      <c r="JE272" s="1"/>
      <c r="JF272" s="1"/>
      <c r="JG272" s="1"/>
      <c r="JH272" s="1"/>
      <c r="JI272" s="1"/>
      <c r="JJ272" s="1"/>
      <c r="JK272" s="1"/>
      <c r="JL272" s="1"/>
      <c r="JM272" s="1"/>
      <c r="JN272" s="1"/>
      <c r="JO272" s="1"/>
      <c r="JP272" s="1"/>
      <c r="JQ272" s="1"/>
      <c r="JR272" s="1"/>
      <c r="JS272" s="1"/>
      <c r="JT272" s="1"/>
      <c r="JU272" s="1"/>
      <c r="JV272" s="1"/>
      <c r="JW272" s="1"/>
      <c r="JX272" s="1"/>
      <c r="JY272" s="1"/>
      <c r="JZ272" s="1"/>
      <c r="KA272" s="1"/>
      <c r="KB272" s="1"/>
      <c r="KC272" s="1"/>
      <c r="KD272" s="1"/>
      <c r="KE272" s="1"/>
      <c r="KF272" s="1"/>
      <c r="KG272" s="1"/>
      <c r="KH272" s="1"/>
      <c r="KI272" s="1"/>
      <c r="KJ272" s="1"/>
      <c r="KK272" s="1"/>
      <c r="KL272" s="1"/>
      <c r="KM272" s="1"/>
      <c r="KN272" s="1"/>
      <c r="KO272" s="1"/>
      <c r="KP272" s="1"/>
      <c r="KQ272" s="1"/>
      <c r="KR272" s="1"/>
      <c r="KS272" s="1"/>
      <c r="KT272" s="1"/>
      <c r="KU272" s="1"/>
      <c r="KV272" s="1"/>
      <c r="KW272" s="1"/>
      <c r="KX272" s="1"/>
      <c r="KY272" s="1"/>
      <c r="KZ272" s="1"/>
      <c r="LA272" s="1"/>
      <c r="LB272" s="1"/>
      <c r="LC272" s="1"/>
      <c r="LD272" s="1"/>
      <c r="LE272" s="1"/>
      <c r="LF272" s="1"/>
      <c r="LG272" s="1"/>
      <c r="LH272" s="1"/>
      <c r="LI272" s="1"/>
      <c r="LJ272" s="1"/>
      <c r="LK272" s="1"/>
      <c r="LL272" s="1"/>
      <c r="LM272" s="1"/>
      <c r="LN272" s="1"/>
      <c r="LO272" s="1"/>
      <c r="LP272" s="1"/>
      <c r="LQ272" s="1"/>
      <c r="LR272" s="1"/>
      <c r="LS272" s="1"/>
    </row>
    <row r="273" spans="1:331" s="59" customFormat="1" x14ac:dyDescent="0.25">
      <c r="A273" s="59" t="s">
        <v>1100</v>
      </c>
      <c r="B273" s="61" t="s">
        <v>1101</v>
      </c>
      <c r="C273" s="13" t="s">
        <v>2075</v>
      </c>
      <c r="D273" s="59">
        <v>0</v>
      </c>
      <c r="H273" s="59" t="s">
        <v>850</v>
      </c>
      <c r="I273" s="59" t="s">
        <v>601</v>
      </c>
      <c r="J273" s="59" t="s">
        <v>850</v>
      </c>
      <c r="K273" s="59" t="s">
        <v>601</v>
      </c>
      <c r="L273" s="59">
        <v>1</v>
      </c>
      <c r="M273" s="59" t="s">
        <v>1102</v>
      </c>
      <c r="O273" s="59">
        <v>1</v>
      </c>
      <c r="Q273" s="1"/>
      <c r="R273" s="1" t="s">
        <v>1103</v>
      </c>
      <c r="T273" s="59">
        <v>19</v>
      </c>
      <c r="V273" s="59">
        <v>18</v>
      </c>
      <c r="W273" s="1">
        <v>19</v>
      </c>
      <c r="X273" s="1">
        <v>15</v>
      </c>
      <c r="Y273" s="1" t="s">
        <v>2399</v>
      </c>
      <c r="Z273" s="59">
        <v>11</v>
      </c>
      <c r="AA273" s="1" t="b">
        <v>1</v>
      </c>
      <c r="AB273" s="1"/>
      <c r="AC273" s="57" t="s">
        <v>1401</v>
      </c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  <c r="IY273" s="1"/>
      <c r="IZ273" s="1"/>
      <c r="JA273" s="1"/>
      <c r="JB273" s="1"/>
      <c r="JC273" s="1"/>
      <c r="JD273" s="1"/>
      <c r="JE273" s="1"/>
      <c r="JF273" s="1"/>
      <c r="JG273" s="1"/>
      <c r="JH273" s="1"/>
      <c r="JI273" s="1"/>
      <c r="JJ273" s="1"/>
      <c r="JK273" s="1"/>
      <c r="JL273" s="1"/>
      <c r="JM273" s="1"/>
      <c r="JN273" s="1"/>
      <c r="JO273" s="1"/>
      <c r="JP273" s="1"/>
      <c r="JQ273" s="1"/>
      <c r="JR273" s="1"/>
      <c r="JS273" s="1"/>
      <c r="JT273" s="1"/>
      <c r="JU273" s="1"/>
      <c r="JV273" s="1"/>
      <c r="JW273" s="1"/>
      <c r="JX273" s="1"/>
      <c r="JY273" s="1"/>
      <c r="JZ273" s="1"/>
      <c r="KA273" s="1"/>
      <c r="KB273" s="1"/>
      <c r="KC273" s="1"/>
      <c r="KD273" s="1"/>
      <c r="KE273" s="1"/>
      <c r="KF273" s="1"/>
      <c r="KG273" s="1"/>
      <c r="KH273" s="1"/>
      <c r="KI273" s="1"/>
      <c r="KJ273" s="1"/>
      <c r="KK273" s="1"/>
      <c r="KL273" s="1"/>
      <c r="KM273" s="1"/>
      <c r="KN273" s="1"/>
      <c r="KO273" s="1"/>
      <c r="KP273" s="1"/>
      <c r="KQ273" s="1"/>
      <c r="KR273" s="1"/>
      <c r="KS273" s="1"/>
      <c r="KT273" s="1"/>
      <c r="KU273" s="1"/>
      <c r="KV273" s="1"/>
      <c r="KW273" s="1"/>
      <c r="KX273" s="1"/>
      <c r="KY273" s="1"/>
      <c r="KZ273" s="1"/>
      <c r="LA273" s="1"/>
      <c r="LB273" s="1"/>
      <c r="LC273" s="1"/>
      <c r="LD273" s="1"/>
      <c r="LE273" s="1"/>
      <c r="LF273" s="1"/>
      <c r="LG273" s="1"/>
      <c r="LH273" s="1"/>
      <c r="LI273" s="1"/>
      <c r="LJ273" s="1"/>
      <c r="LK273" s="1"/>
      <c r="LL273" s="1"/>
      <c r="LM273" s="1"/>
      <c r="LN273" s="1"/>
      <c r="LO273" s="1"/>
      <c r="LP273" s="1"/>
      <c r="LQ273" s="1"/>
      <c r="LR273" s="1"/>
      <c r="LS273" s="1"/>
    </row>
    <row r="274" spans="1:331" s="49" customFormat="1" x14ac:dyDescent="0.25">
      <c r="A274" s="49" t="s">
        <v>1104</v>
      </c>
      <c r="B274" s="51" t="s">
        <v>1105</v>
      </c>
      <c r="C274" s="13" t="s">
        <v>2075</v>
      </c>
      <c r="D274" s="49">
        <v>0</v>
      </c>
      <c r="H274" s="49" t="s">
        <v>1106</v>
      </c>
      <c r="I274" s="49" t="s">
        <v>1107</v>
      </c>
      <c r="J274" s="49" t="s">
        <v>1106</v>
      </c>
      <c r="K274" s="49" t="s">
        <v>1107</v>
      </c>
      <c r="L274" s="49">
        <v>0</v>
      </c>
      <c r="O274" s="49">
        <v>1</v>
      </c>
      <c r="Q274" s="1"/>
      <c r="R274" s="1" t="s">
        <v>1108</v>
      </c>
      <c r="S274" s="49">
        <v>24</v>
      </c>
      <c r="U274" s="49">
        <v>26</v>
      </c>
      <c r="W274" s="1">
        <v>24</v>
      </c>
      <c r="X274" s="1">
        <v>22</v>
      </c>
      <c r="Y274" s="1" t="s">
        <v>2400</v>
      </c>
      <c r="Z274" s="49">
        <v>9</v>
      </c>
      <c r="AA274" s="1" t="b">
        <v>1</v>
      </c>
      <c r="AB274" s="1"/>
      <c r="AC274" s="57" t="s">
        <v>1423</v>
      </c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  <c r="IY274" s="1"/>
      <c r="IZ274" s="1"/>
      <c r="JA274" s="1"/>
      <c r="JB274" s="1"/>
      <c r="JC274" s="1"/>
      <c r="JD274" s="1"/>
      <c r="JE274" s="1"/>
      <c r="JF274" s="1"/>
      <c r="JG274" s="1"/>
      <c r="JH274" s="1"/>
      <c r="JI274" s="1"/>
      <c r="JJ274" s="1"/>
      <c r="JK274" s="1"/>
      <c r="JL274" s="1"/>
      <c r="JM274" s="1"/>
      <c r="JN274" s="1"/>
      <c r="JO274" s="1"/>
      <c r="JP274" s="1"/>
      <c r="JQ274" s="1"/>
      <c r="JR274" s="1"/>
      <c r="JS274" s="1"/>
      <c r="JT274" s="1"/>
      <c r="JU274" s="1"/>
      <c r="JV274" s="1"/>
      <c r="JW274" s="1"/>
      <c r="JX274" s="1"/>
      <c r="JY274" s="1"/>
      <c r="JZ274" s="1"/>
      <c r="KA274" s="1"/>
      <c r="KB274" s="1"/>
      <c r="KC274" s="1"/>
      <c r="KD274" s="1"/>
      <c r="KE274" s="1"/>
      <c r="KF274" s="1"/>
      <c r="KG274" s="1"/>
      <c r="KH274" s="1"/>
      <c r="KI274" s="1"/>
      <c r="KJ274" s="1"/>
      <c r="KK274" s="1"/>
      <c r="KL274" s="1"/>
      <c r="KM274" s="1"/>
      <c r="KN274" s="1"/>
      <c r="KO274" s="1"/>
      <c r="KP274" s="1"/>
      <c r="KQ274" s="1"/>
      <c r="KR274" s="1"/>
      <c r="KS274" s="1"/>
      <c r="KT274" s="1"/>
      <c r="KU274" s="1"/>
      <c r="KV274" s="1"/>
      <c r="KW274" s="1"/>
      <c r="KX274" s="1"/>
      <c r="KY274" s="1"/>
      <c r="KZ274" s="1"/>
      <c r="LA274" s="1"/>
      <c r="LB274" s="1"/>
      <c r="LC274" s="1"/>
      <c r="LD274" s="1"/>
      <c r="LE274" s="1"/>
      <c r="LF274" s="1"/>
      <c r="LG274" s="1"/>
      <c r="LH274" s="1"/>
      <c r="LI274" s="1"/>
      <c r="LJ274" s="1"/>
      <c r="LK274" s="1"/>
      <c r="LL274" s="1"/>
      <c r="LM274" s="1"/>
      <c r="LN274" s="1"/>
      <c r="LO274" s="1"/>
      <c r="LP274" s="1"/>
      <c r="LQ274" s="1"/>
      <c r="LR274" s="1"/>
      <c r="LS274" s="1"/>
    </row>
    <row r="275" spans="1:331" s="49" customFormat="1" x14ac:dyDescent="0.25">
      <c r="A275" s="49" t="s">
        <v>1109</v>
      </c>
      <c r="B275" s="51" t="s">
        <v>1110</v>
      </c>
      <c r="C275" s="13" t="s">
        <v>2075</v>
      </c>
      <c r="D275" s="49">
        <v>0</v>
      </c>
      <c r="H275" s="49" t="s">
        <v>1111</v>
      </c>
      <c r="I275" s="49" t="s">
        <v>1112</v>
      </c>
      <c r="J275" s="49" t="s">
        <v>1113</v>
      </c>
      <c r="K275" s="49" t="s">
        <v>1111</v>
      </c>
      <c r="L275" s="49">
        <v>0</v>
      </c>
      <c r="O275" s="49">
        <v>0</v>
      </c>
      <c r="Q275" s="1"/>
      <c r="R275" s="1" t="s">
        <v>584</v>
      </c>
      <c r="T275" s="49">
        <v>7</v>
      </c>
      <c r="V275" s="49">
        <v>10</v>
      </c>
      <c r="W275" s="1">
        <v>7</v>
      </c>
      <c r="X275" s="1">
        <v>11</v>
      </c>
      <c r="Y275" s="1" t="s">
        <v>2401</v>
      </c>
      <c r="Z275" s="49">
        <v>9</v>
      </c>
      <c r="AA275" s="1" t="b">
        <v>1</v>
      </c>
      <c r="AB275" s="1"/>
      <c r="AC275" s="57" t="s">
        <v>1442</v>
      </c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  <c r="IY275" s="1"/>
      <c r="IZ275" s="1"/>
      <c r="JA275" s="1"/>
      <c r="JB275" s="1"/>
      <c r="JC275" s="1"/>
      <c r="JD275" s="1"/>
      <c r="JE275" s="1"/>
      <c r="JF275" s="1"/>
      <c r="JG275" s="1"/>
      <c r="JH275" s="1"/>
      <c r="JI275" s="1"/>
      <c r="JJ275" s="1"/>
      <c r="JK275" s="1"/>
      <c r="JL275" s="1"/>
      <c r="JM275" s="1"/>
      <c r="JN275" s="1"/>
      <c r="JO275" s="1"/>
      <c r="JP275" s="1"/>
      <c r="JQ275" s="1"/>
      <c r="JR275" s="1"/>
      <c r="JS275" s="1"/>
      <c r="JT275" s="1"/>
      <c r="JU275" s="1"/>
      <c r="JV275" s="1"/>
      <c r="JW275" s="1"/>
      <c r="JX275" s="1"/>
      <c r="JY275" s="1"/>
      <c r="JZ275" s="1"/>
      <c r="KA275" s="1"/>
      <c r="KB275" s="1"/>
      <c r="KC275" s="1"/>
      <c r="KD275" s="1"/>
      <c r="KE275" s="1"/>
      <c r="KF275" s="1"/>
      <c r="KG275" s="1"/>
      <c r="KH275" s="1"/>
      <c r="KI275" s="1"/>
      <c r="KJ275" s="1"/>
      <c r="KK275" s="1"/>
      <c r="KL275" s="1"/>
      <c r="KM275" s="1"/>
      <c r="KN275" s="1"/>
      <c r="KO275" s="1"/>
      <c r="KP275" s="1"/>
      <c r="KQ275" s="1"/>
      <c r="KR275" s="1"/>
      <c r="KS275" s="1"/>
      <c r="KT275" s="1"/>
      <c r="KU275" s="1"/>
      <c r="KV275" s="1"/>
      <c r="KW275" s="1"/>
      <c r="KX275" s="1"/>
      <c r="KY275" s="1"/>
      <c r="KZ275" s="1"/>
      <c r="LA275" s="1"/>
      <c r="LB275" s="1"/>
      <c r="LC275" s="1"/>
      <c r="LD275" s="1"/>
      <c r="LE275" s="1"/>
      <c r="LF275" s="1"/>
      <c r="LG275" s="1"/>
      <c r="LH275" s="1"/>
      <c r="LI275" s="1"/>
      <c r="LJ275" s="1"/>
      <c r="LK275" s="1"/>
      <c r="LL275" s="1"/>
      <c r="LM275" s="1"/>
      <c r="LN275" s="1"/>
      <c r="LO275" s="1"/>
      <c r="LP275" s="1"/>
      <c r="LQ275" s="1"/>
      <c r="LR275" s="1"/>
      <c r="LS275" s="1"/>
    </row>
    <row r="276" spans="1:331" s="45" customFormat="1" x14ac:dyDescent="0.25">
      <c r="A276" s="45" t="s">
        <v>1114</v>
      </c>
      <c r="B276" s="45" t="s">
        <v>1115</v>
      </c>
      <c r="C276" s="1" t="s">
        <v>2075</v>
      </c>
      <c r="D276" s="45">
        <v>0</v>
      </c>
      <c r="H276" s="45" t="s">
        <v>1116</v>
      </c>
      <c r="I276" s="45" t="s">
        <v>1116</v>
      </c>
      <c r="J276" s="45" t="s">
        <v>1116</v>
      </c>
      <c r="K276" s="45" t="s">
        <v>1116</v>
      </c>
      <c r="L276" s="45">
        <v>0</v>
      </c>
      <c r="O276" s="45">
        <v>1</v>
      </c>
      <c r="P276" s="45" t="s">
        <v>847</v>
      </c>
      <c r="Q276" s="1" t="s">
        <v>1642</v>
      </c>
      <c r="R276" s="1"/>
      <c r="S276" s="45">
        <v>12</v>
      </c>
      <c r="W276" s="1"/>
      <c r="X276" s="1"/>
      <c r="Y276" s="1"/>
      <c r="Z276" s="45">
        <v>-1</v>
      </c>
      <c r="AA276" s="1" t="b">
        <v>0</v>
      </c>
      <c r="AB276" s="1"/>
      <c r="AC276" s="57" t="s">
        <v>1473</v>
      </c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  <c r="IX276" s="1"/>
      <c r="IY276" s="1"/>
      <c r="IZ276" s="1"/>
      <c r="JA276" s="1"/>
      <c r="JB276" s="1"/>
      <c r="JC276" s="1"/>
      <c r="JD276" s="1"/>
      <c r="JE276" s="1"/>
      <c r="JF276" s="1"/>
      <c r="JG276" s="1"/>
      <c r="JH276" s="1"/>
      <c r="JI276" s="1"/>
      <c r="JJ276" s="1"/>
      <c r="JK276" s="1"/>
      <c r="JL276" s="1"/>
      <c r="JM276" s="1"/>
      <c r="JN276" s="1"/>
      <c r="JO276" s="1"/>
      <c r="JP276" s="1"/>
      <c r="JQ276" s="1"/>
      <c r="JR276" s="1"/>
      <c r="JS276" s="1"/>
      <c r="JT276" s="1"/>
      <c r="JU276" s="1"/>
      <c r="JV276" s="1"/>
      <c r="JW276" s="1"/>
      <c r="JX276" s="1"/>
      <c r="JY276" s="1"/>
      <c r="JZ276" s="1"/>
      <c r="KA276" s="1"/>
      <c r="KB276" s="1"/>
      <c r="KC276" s="1"/>
      <c r="KD276" s="1"/>
      <c r="KE276" s="1"/>
      <c r="KF276" s="1"/>
      <c r="KG276" s="1"/>
      <c r="KH276" s="1"/>
      <c r="KI276" s="1"/>
      <c r="KJ276" s="1"/>
      <c r="KK276" s="1"/>
      <c r="KL276" s="1"/>
      <c r="KM276" s="1"/>
      <c r="KN276" s="1"/>
      <c r="KO276" s="1"/>
      <c r="KP276" s="1"/>
      <c r="KQ276" s="1"/>
      <c r="KR276" s="1"/>
      <c r="KS276" s="1"/>
      <c r="KT276" s="1"/>
      <c r="KU276" s="1"/>
      <c r="KV276" s="1"/>
      <c r="KW276" s="1"/>
      <c r="KX276" s="1"/>
      <c r="KY276" s="1"/>
      <c r="KZ276" s="1"/>
      <c r="LA276" s="1"/>
      <c r="LB276" s="1"/>
      <c r="LC276" s="1"/>
      <c r="LD276" s="1"/>
      <c r="LE276" s="1"/>
      <c r="LF276" s="1"/>
      <c r="LG276" s="1"/>
      <c r="LH276" s="1"/>
      <c r="LI276" s="1"/>
      <c r="LJ276" s="1"/>
      <c r="LK276" s="1"/>
      <c r="LL276" s="1"/>
      <c r="LM276" s="1"/>
      <c r="LN276" s="1"/>
      <c r="LO276" s="1"/>
      <c r="LP276" s="1"/>
      <c r="LQ276" s="1"/>
      <c r="LR276" s="1"/>
      <c r="LS276" s="1"/>
    </row>
    <row r="277" spans="1:331" s="3" customFormat="1" x14ac:dyDescent="0.25">
      <c r="A277" s="3" t="s">
        <v>1117</v>
      </c>
      <c r="B277" s="5" t="s">
        <v>1118</v>
      </c>
      <c r="C277" s="13" t="s">
        <v>2075</v>
      </c>
      <c r="D277" s="3">
        <v>0</v>
      </c>
      <c r="H277" s="3" t="s">
        <v>1119</v>
      </c>
      <c r="I277" s="3" t="s">
        <v>1119</v>
      </c>
      <c r="J277" s="3" t="s">
        <v>837</v>
      </c>
      <c r="K277" s="3" t="s">
        <v>1119</v>
      </c>
      <c r="L277" s="3">
        <v>1</v>
      </c>
      <c r="M277" s="3" t="s">
        <v>1120</v>
      </c>
      <c r="O277" s="3">
        <v>1</v>
      </c>
      <c r="P277" s="3" t="s">
        <v>838</v>
      </c>
      <c r="Q277" s="1" t="s">
        <v>1643</v>
      </c>
      <c r="R277" s="1"/>
      <c r="T277" s="3">
        <v>22</v>
      </c>
      <c r="V277" s="3">
        <v>6</v>
      </c>
      <c r="W277" s="1">
        <v>22</v>
      </c>
      <c r="X277" s="1">
        <v>14</v>
      </c>
      <c r="Y277" s="1" t="s">
        <v>2402</v>
      </c>
      <c r="Z277" s="3">
        <v>1</v>
      </c>
      <c r="AA277" s="1" t="b">
        <v>1</v>
      </c>
      <c r="AB277" s="1"/>
      <c r="AC277" s="57" t="s">
        <v>1402</v>
      </c>
      <c r="AD277" s="1" t="b">
        <v>1</v>
      </c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  <c r="IY277" s="1"/>
      <c r="IZ277" s="1"/>
      <c r="JA277" s="1"/>
      <c r="JB277" s="1"/>
      <c r="JC277" s="1"/>
      <c r="JD277" s="1"/>
      <c r="JE277" s="1"/>
      <c r="JF277" s="1"/>
      <c r="JG277" s="1"/>
      <c r="JH277" s="1"/>
      <c r="JI277" s="1"/>
      <c r="JJ277" s="1"/>
      <c r="JK277" s="1"/>
      <c r="JL277" s="1"/>
      <c r="JM277" s="1"/>
      <c r="JN277" s="1"/>
      <c r="JO277" s="1"/>
      <c r="JP277" s="1"/>
      <c r="JQ277" s="1"/>
      <c r="JR277" s="1"/>
      <c r="JS277" s="1"/>
      <c r="JT277" s="1"/>
      <c r="JU277" s="1"/>
      <c r="JV277" s="1"/>
      <c r="JW277" s="1"/>
      <c r="JX277" s="1"/>
      <c r="JY277" s="1"/>
      <c r="JZ277" s="1"/>
      <c r="KA277" s="1"/>
      <c r="KB277" s="1"/>
      <c r="KC277" s="1"/>
      <c r="KD277" s="1"/>
      <c r="KE277" s="1"/>
      <c r="KF277" s="1"/>
      <c r="KG277" s="1"/>
      <c r="KH277" s="1"/>
      <c r="KI277" s="1"/>
      <c r="KJ277" s="1"/>
      <c r="KK277" s="1"/>
      <c r="KL277" s="1"/>
      <c r="KM277" s="1"/>
      <c r="KN277" s="1"/>
      <c r="KO277" s="1"/>
      <c r="KP277" s="1"/>
      <c r="KQ277" s="1"/>
      <c r="KR277" s="1"/>
      <c r="KS277" s="1"/>
      <c r="KT277" s="1"/>
      <c r="KU277" s="1"/>
      <c r="KV277" s="1"/>
      <c r="KW277" s="1"/>
      <c r="KX277" s="1"/>
      <c r="KY277" s="1"/>
      <c r="KZ277" s="1"/>
      <c r="LA277" s="1"/>
      <c r="LB277" s="1"/>
      <c r="LC277" s="1"/>
      <c r="LD277" s="1"/>
      <c r="LE277" s="1"/>
      <c r="LF277" s="1"/>
      <c r="LG277" s="1"/>
      <c r="LH277" s="1"/>
      <c r="LI277" s="1"/>
      <c r="LJ277" s="1"/>
      <c r="LK277" s="1"/>
      <c r="LL277" s="1"/>
      <c r="LM277" s="1"/>
      <c r="LN277" s="1"/>
      <c r="LO277" s="1"/>
      <c r="LP277" s="1"/>
      <c r="LQ277" s="1"/>
      <c r="LR277" s="1"/>
      <c r="LS277" s="1"/>
    </row>
    <row r="278" spans="1:331" s="3" customFormat="1" x14ac:dyDescent="0.25">
      <c r="A278" s="3" t="s">
        <v>1121</v>
      </c>
      <c r="B278" s="5" t="s">
        <v>1122</v>
      </c>
      <c r="C278" s="13" t="s">
        <v>2075</v>
      </c>
      <c r="D278" s="3">
        <v>0</v>
      </c>
      <c r="H278" s="3" t="s">
        <v>1123</v>
      </c>
      <c r="I278" s="3" t="s">
        <v>1123</v>
      </c>
      <c r="J278" s="3" t="s">
        <v>1123</v>
      </c>
      <c r="K278" s="3" t="s">
        <v>1123</v>
      </c>
      <c r="L278" s="3">
        <v>3</v>
      </c>
      <c r="M278" s="3" t="s">
        <v>1124</v>
      </c>
      <c r="N278" s="3" t="s">
        <v>1124</v>
      </c>
      <c r="O278" s="3">
        <v>1</v>
      </c>
      <c r="P278" s="3" t="s">
        <v>1125</v>
      </c>
      <c r="Q278" s="1" t="s">
        <v>1644</v>
      </c>
      <c r="R278" s="1"/>
      <c r="T278" s="3">
        <v>10</v>
      </c>
      <c r="V278" s="3">
        <v>32</v>
      </c>
      <c r="W278" s="1">
        <v>10</v>
      </c>
      <c r="X278" s="1">
        <v>20</v>
      </c>
      <c r="Y278" s="1" t="s">
        <v>2403</v>
      </c>
      <c r="Z278" s="3">
        <v>1</v>
      </c>
      <c r="AA278" s="1" t="b">
        <v>1</v>
      </c>
      <c r="AB278" s="1"/>
      <c r="AC278" s="57" t="s">
        <v>1403</v>
      </c>
      <c r="AD278" s="1" t="b">
        <v>1</v>
      </c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  <c r="IY278" s="1"/>
      <c r="IZ278" s="1"/>
      <c r="JA278" s="1"/>
      <c r="JB278" s="1"/>
      <c r="JC278" s="1"/>
      <c r="JD278" s="1"/>
      <c r="JE278" s="1"/>
      <c r="JF278" s="1"/>
      <c r="JG278" s="1"/>
      <c r="JH278" s="1"/>
      <c r="JI278" s="1"/>
      <c r="JJ278" s="1"/>
      <c r="JK278" s="1"/>
      <c r="JL278" s="1"/>
      <c r="JM278" s="1"/>
      <c r="JN278" s="1"/>
      <c r="JO278" s="1"/>
      <c r="JP278" s="1"/>
      <c r="JQ278" s="1"/>
      <c r="JR278" s="1"/>
      <c r="JS278" s="1"/>
      <c r="JT278" s="1"/>
      <c r="JU278" s="1"/>
      <c r="JV278" s="1"/>
      <c r="JW278" s="1"/>
      <c r="JX278" s="1"/>
      <c r="JY278" s="1"/>
      <c r="JZ278" s="1"/>
      <c r="KA278" s="1"/>
      <c r="KB278" s="1"/>
      <c r="KC278" s="1"/>
      <c r="KD278" s="1"/>
      <c r="KE278" s="1"/>
      <c r="KF278" s="1"/>
      <c r="KG278" s="1"/>
      <c r="KH278" s="1"/>
      <c r="KI278" s="1"/>
      <c r="KJ278" s="1"/>
      <c r="KK278" s="1"/>
      <c r="KL278" s="1"/>
      <c r="KM278" s="1"/>
      <c r="KN278" s="1"/>
      <c r="KO278" s="1"/>
      <c r="KP278" s="1"/>
      <c r="KQ278" s="1"/>
      <c r="KR278" s="1"/>
      <c r="KS278" s="1"/>
      <c r="KT278" s="1"/>
      <c r="KU278" s="1"/>
      <c r="KV278" s="1"/>
      <c r="KW278" s="1"/>
      <c r="KX278" s="1"/>
      <c r="KY278" s="1"/>
      <c r="KZ278" s="1"/>
      <c r="LA278" s="1"/>
      <c r="LB278" s="1"/>
      <c r="LC278" s="1"/>
      <c r="LD278" s="1"/>
      <c r="LE278" s="1"/>
      <c r="LF278" s="1"/>
      <c r="LG278" s="1"/>
      <c r="LH278" s="1"/>
      <c r="LI278" s="1"/>
      <c r="LJ278" s="1"/>
      <c r="LK278" s="1"/>
      <c r="LL278" s="1"/>
      <c r="LM278" s="1"/>
      <c r="LN278" s="1"/>
      <c r="LO278" s="1"/>
      <c r="LP278" s="1"/>
      <c r="LQ278" s="1"/>
      <c r="LR278" s="1"/>
      <c r="LS278" s="1"/>
    </row>
    <row r="279" spans="1:331" s="25" customFormat="1" x14ac:dyDescent="0.25">
      <c r="A279" s="25" t="s">
        <v>1126</v>
      </c>
      <c r="B279" s="29" t="s">
        <v>1127</v>
      </c>
      <c r="C279" s="13" t="s">
        <v>2075</v>
      </c>
      <c r="D279" s="25">
        <v>0</v>
      </c>
      <c r="H279" s="25" t="s">
        <v>1128</v>
      </c>
      <c r="I279" s="25" t="s">
        <v>1128</v>
      </c>
      <c r="J279" s="25" t="s">
        <v>1129</v>
      </c>
      <c r="K279" s="25" t="s">
        <v>1128</v>
      </c>
      <c r="L279" s="25">
        <v>0</v>
      </c>
      <c r="O279" s="25">
        <v>0</v>
      </c>
      <c r="Q279" s="1" t="s">
        <v>1645</v>
      </c>
      <c r="R279" s="1"/>
      <c r="T279" s="25">
        <v>6</v>
      </c>
      <c r="W279" s="1">
        <v>6</v>
      </c>
      <c r="X279" s="1">
        <v>17</v>
      </c>
      <c r="Y279" s="1" t="s">
        <v>2404</v>
      </c>
      <c r="Z279" s="25">
        <v>5</v>
      </c>
      <c r="AA279" s="1" t="b">
        <v>1</v>
      </c>
      <c r="AB279" s="1"/>
      <c r="AC279" s="57" t="s">
        <v>1370</v>
      </c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  <c r="IY279" s="1"/>
      <c r="IZ279" s="1"/>
      <c r="JA279" s="1"/>
      <c r="JB279" s="1"/>
      <c r="JC279" s="1"/>
      <c r="JD279" s="1"/>
      <c r="JE279" s="1"/>
      <c r="JF279" s="1"/>
      <c r="JG279" s="1"/>
      <c r="JH279" s="1"/>
      <c r="JI279" s="1"/>
      <c r="JJ279" s="1"/>
      <c r="JK279" s="1"/>
      <c r="JL279" s="1"/>
      <c r="JM279" s="1"/>
      <c r="JN279" s="1"/>
      <c r="JO279" s="1"/>
      <c r="JP279" s="1"/>
      <c r="JQ279" s="1"/>
      <c r="JR279" s="1"/>
      <c r="JS279" s="1"/>
      <c r="JT279" s="1"/>
      <c r="JU279" s="1"/>
      <c r="JV279" s="1"/>
      <c r="JW279" s="1"/>
      <c r="JX279" s="1"/>
      <c r="JY279" s="1"/>
      <c r="JZ279" s="1"/>
      <c r="KA279" s="1"/>
      <c r="KB279" s="1"/>
      <c r="KC279" s="1"/>
      <c r="KD279" s="1"/>
      <c r="KE279" s="1"/>
      <c r="KF279" s="1"/>
      <c r="KG279" s="1"/>
      <c r="KH279" s="1"/>
      <c r="KI279" s="1"/>
      <c r="KJ279" s="1"/>
      <c r="KK279" s="1"/>
      <c r="KL279" s="1"/>
      <c r="KM279" s="1"/>
      <c r="KN279" s="1"/>
      <c r="KO279" s="1"/>
      <c r="KP279" s="1"/>
      <c r="KQ279" s="1"/>
      <c r="KR279" s="1"/>
      <c r="KS279" s="1"/>
      <c r="KT279" s="1"/>
      <c r="KU279" s="1"/>
      <c r="KV279" s="1"/>
      <c r="KW279" s="1"/>
      <c r="KX279" s="1"/>
      <c r="KY279" s="1"/>
      <c r="KZ279" s="1"/>
      <c r="LA279" s="1"/>
      <c r="LB279" s="1"/>
      <c r="LC279" s="1"/>
      <c r="LD279" s="1"/>
      <c r="LE279" s="1"/>
      <c r="LF279" s="1"/>
      <c r="LG279" s="1"/>
      <c r="LH279" s="1"/>
      <c r="LI279" s="1"/>
      <c r="LJ279" s="1"/>
      <c r="LK279" s="1"/>
      <c r="LL279" s="1"/>
      <c r="LM279" s="1"/>
      <c r="LN279" s="1"/>
      <c r="LO279" s="1"/>
      <c r="LP279" s="1"/>
      <c r="LQ279" s="1"/>
      <c r="LR279" s="1"/>
      <c r="LS279" s="1"/>
    </row>
    <row r="280" spans="1:331" s="45" customFormat="1" x14ac:dyDescent="0.25">
      <c r="A280" s="45" t="s">
        <v>1130</v>
      </c>
      <c r="B280" s="45" t="s">
        <v>1131</v>
      </c>
      <c r="C280" s="1" t="s">
        <v>2075</v>
      </c>
      <c r="D280" s="45">
        <v>0</v>
      </c>
      <c r="H280" s="45" t="s">
        <v>1132</v>
      </c>
      <c r="I280" s="45" t="s">
        <v>1132</v>
      </c>
      <c r="J280" s="45" t="s">
        <v>1133</v>
      </c>
      <c r="K280" s="45" t="s">
        <v>1132</v>
      </c>
      <c r="L280" s="45">
        <v>0</v>
      </c>
      <c r="O280" s="45">
        <v>1</v>
      </c>
      <c r="P280" s="45" t="s">
        <v>1134</v>
      </c>
      <c r="Q280" s="1" t="s">
        <v>1646</v>
      </c>
      <c r="R280" s="1"/>
      <c r="S280" s="45">
        <v>8</v>
      </c>
      <c r="W280" s="1"/>
      <c r="X280" s="1"/>
      <c r="Y280" s="1"/>
      <c r="Z280" s="45">
        <v>-1</v>
      </c>
      <c r="AA280" s="1" t="b">
        <v>0</v>
      </c>
      <c r="AB280" s="1"/>
      <c r="AC280" s="57" t="s">
        <v>1454</v>
      </c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  <c r="IY280" s="1"/>
      <c r="IZ280" s="1"/>
      <c r="JA280" s="1"/>
      <c r="JB280" s="1"/>
      <c r="JC280" s="1"/>
      <c r="JD280" s="1"/>
      <c r="JE280" s="1"/>
      <c r="JF280" s="1"/>
      <c r="JG280" s="1"/>
      <c r="JH280" s="1"/>
      <c r="JI280" s="1"/>
      <c r="JJ280" s="1"/>
      <c r="JK280" s="1"/>
      <c r="JL280" s="1"/>
      <c r="JM280" s="1"/>
      <c r="JN280" s="1"/>
      <c r="JO280" s="1"/>
      <c r="JP280" s="1"/>
      <c r="JQ280" s="1"/>
      <c r="JR280" s="1"/>
      <c r="JS280" s="1"/>
      <c r="JT280" s="1"/>
      <c r="JU280" s="1"/>
      <c r="JV280" s="1"/>
      <c r="JW280" s="1"/>
      <c r="JX280" s="1"/>
      <c r="JY280" s="1"/>
      <c r="JZ280" s="1"/>
      <c r="KA280" s="1"/>
      <c r="KB280" s="1"/>
      <c r="KC280" s="1"/>
      <c r="KD280" s="1"/>
      <c r="KE280" s="1"/>
      <c r="KF280" s="1"/>
      <c r="KG280" s="1"/>
      <c r="KH280" s="1"/>
      <c r="KI280" s="1"/>
      <c r="KJ280" s="1"/>
      <c r="KK280" s="1"/>
      <c r="KL280" s="1"/>
      <c r="KM280" s="1"/>
      <c r="KN280" s="1"/>
      <c r="KO280" s="1"/>
      <c r="KP280" s="1"/>
      <c r="KQ280" s="1"/>
      <c r="KR280" s="1"/>
      <c r="KS280" s="1"/>
      <c r="KT280" s="1"/>
      <c r="KU280" s="1"/>
      <c r="KV280" s="1"/>
      <c r="KW280" s="1"/>
      <c r="KX280" s="1"/>
      <c r="KY280" s="1"/>
      <c r="KZ280" s="1"/>
      <c r="LA280" s="1"/>
      <c r="LB280" s="1"/>
      <c r="LC280" s="1"/>
      <c r="LD280" s="1"/>
      <c r="LE280" s="1"/>
      <c r="LF280" s="1"/>
      <c r="LG280" s="1"/>
      <c r="LH280" s="1"/>
      <c r="LI280" s="1"/>
      <c r="LJ280" s="1"/>
      <c r="LK280" s="1"/>
      <c r="LL280" s="1"/>
      <c r="LM280" s="1"/>
      <c r="LN280" s="1"/>
      <c r="LO280" s="1"/>
      <c r="LP280" s="1"/>
      <c r="LQ280" s="1"/>
      <c r="LR280" s="1"/>
      <c r="LS280" s="1"/>
    </row>
    <row r="281" spans="1:331" s="59" customFormat="1" x14ac:dyDescent="0.25">
      <c r="A281" s="59" t="s">
        <v>1135</v>
      </c>
      <c r="B281" s="61" t="s">
        <v>1136</v>
      </c>
      <c r="C281" s="13" t="s">
        <v>2075</v>
      </c>
      <c r="D281" s="59">
        <v>0</v>
      </c>
      <c r="H281" s="59" t="s">
        <v>1137</v>
      </c>
      <c r="I281" s="59" t="s">
        <v>1138</v>
      </c>
      <c r="J281" s="62">
        <v>44084</v>
      </c>
      <c r="K281" s="62" t="s">
        <v>2137</v>
      </c>
      <c r="L281" s="59">
        <v>1</v>
      </c>
      <c r="M281" s="59" t="s">
        <v>1139</v>
      </c>
      <c r="O281" s="59">
        <v>1</v>
      </c>
      <c r="P281" s="59" t="s">
        <v>1140</v>
      </c>
      <c r="Q281" s="1"/>
      <c r="R281" s="13" t="s">
        <v>1611</v>
      </c>
      <c r="S281" s="59">
        <v>10</v>
      </c>
      <c r="V281" s="59">
        <v>10</v>
      </c>
      <c r="W281" s="1">
        <v>10</v>
      </c>
      <c r="X281" s="1">
        <v>9</v>
      </c>
      <c r="Y281" s="1" t="s">
        <v>2405</v>
      </c>
      <c r="Z281" s="59">
        <v>11</v>
      </c>
      <c r="AA281" s="1" t="b">
        <v>1</v>
      </c>
      <c r="AB281" s="1"/>
      <c r="AC281" s="57" t="s">
        <v>2591</v>
      </c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  <c r="IX281" s="1"/>
      <c r="IY281" s="1"/>
      <c r="IZ281" s="1"/>
      <c r="JA281" s="1"/>
      <c r="JB281" s="1"/>
      <c r="JC281" s="1"/>
      <c r="JD281" s="1"/>
      <c r="JE281" s="1"/>
      <c r="JF281" s="1"/>
      <c r="JG281" s="1"/>
      <c r="JH281" s="1"/>
      <c r="JI281" s="1"/>
      <c r="JJ281" s="1"/>
      <c r="JK281" s="1"/>
      <c r="JL281" s="1"/>
      <c r="JM281" s="1"/>
      <c r="JN281" s="1"/>
      <c r="JO281" s="1"/>
      <c r="JP281" s="1"/>
      <c r="JQ281" s="1"/>
      <c r="JR281" s="1"/>
      <c r="JS281" s="1"/>
      <c r="JT281" s="1"/>
      <c r="JU281" s="1"/>
      <c r="JV281" s="1"/>
      <c r="JW281" s="1"/>
      <c r="JX281" s="1"/>
      <c r="JY281" s="1"/>
      <c r="JZ281" s="1"/>
      <c r="KA281" s="1"/>
      <c r="KB281" s="1"/>
      <c r="KC281" s="1"/>
      <c r="KD281" s="1"/>
      <c r="KE281" s="1"/>
      <c r="KF281" s="1"/>
      <c r="KG281" s="1"/>
      <c r="KH281" s="1"/>
      <c r="KI281" s="1"/>
      <c r="KJ281" s="1"/>
      <c r="KK281" s="1"/>
      <c r="KL281" s="1"/>
      <c r="KM281" s="1"/>
      <c r="KN281" s="1"/>
      <c r="KO281" s="1"/>
      <c r="KP281" s="1"/>
      <c r="KQ281" s="1"/>
      <c r="KR281" s="1"/>
      <c r="KS281" s="1"/>
      <c r="KT281" s="1"/>
      <c r="KU281" s="1"/>
      <c r="KV281" s="1"/>
      <c r="KW281" s="1"/>
      <c r="KX281" s="1"/>
      <c r="KY281" s="1"/>
      <c r="KZ281" s="1"/>
      <c r="LA281" s="1"/>
      <c r="LB281" s="1"/>
      <c r="LC281" s="1"/>
      <c r="LD281" s="1"/>
      <c r="LE281" s="1"/>
      <c r="LF281" s="1"/>
      <c r="LG281" s="1"/>
      <c r="LH281" s="1"/>
      <c r="LI281" s="1"/>
      <c r="LJ281" s="1"/>
      <c r="LK281" s="1"/>
      <c r="LL281" s="1"/>
      <c r="LM281" s="1"/>
      <c r="LN281" s="1"/>
      <c r="LO281" s="1"/>
      <c r="LP281" s="1"/>
      <c r="LQ281" s="1"/>
      <c r="LR281" s="1"/>
      <c r="LS281" s="1"/>
    </row>
    <row r="282" spans="1:331" s="45" customFormat="1" x14ac:dyDescent="0.25">
      <c r="A282" s="45" t="s">
        <v>1141</v>
      </c>
      <c r="C282" s="1" t="s">
        <v>2075</v>
      </c>
      <c r="D282" s="45">
        <v>0</v>
      </c>
      <c r="H282" s="45" t="s">
        <v>1143</v>
      </c>
      <c r="I282" s="45" t="s">
        <v>1144</v>
      </c>
      <c r="J282" s="45" t="s">
        <v>1145</v>
      </c>
      <c r="K282" s="45" t="s">
        <v>2138</v>
      </c>
      <c r="L282" s="45">
        <v>0</v>
      </c>
      <c r="O282" s="45">
        <v>1</v>
      </c>
      <c r="Q282" s="1"/>
      <c r="R282" s="1" t="s">
        <v>1146</v>
      </c>
      <c r="S282" s="45">
        <v>32</v>
      </c>
      <c r="W282" s="1"/>
      <c r="X282" s="1"/>
      <c r="Y282" s="1"/>
      <c r="Z282" s="45">
        <v>-1</v>
      </c>
      <c r="AA282" s="1" t="b">
        <v>0</v>
      </c>
      <c r="AB282" s="1"/>
      <c r="AC282" s="57" t="s">
        <v>1238</v>
      </c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  <c r="IX282" s="1"/>
      <c r="IY282" s="1"/>
      <c r="IZ282" s="1"/>
      <c r="JA282" s="1"/>
      <c r="JB282" s="1"/>
      <c r="JC282" s="1"/>
      <c r="JD282" s="1"/>
      <c r="JE282" s="1"/>
      <c r="JF282" s="1"/>
      <c r="JG282" s="1"/>
      <c r="JH282" s="1"/>
      <c r="JI282" s="1"/>
      <c r="JJ282" s="1"/>
      <c r="JK282" s="1"/>
      <c r="JL282" s="1"/>
      <c r="JM282" s="1"/>
      <c r="JN282" s="1"/>
      <c r="JO282" s="1"/>
      <c r="JP282" s="1"/>
      <c r="JQ282" s="1"/>
      <c r="JR282" s="1"/>
      <c r="JS282" s="1"/>
      <c r="JT282" s="1"/>
      <c r="JU282" s="1"/>
      <c r="JV282" s="1"/>
      <c r="JW282" s="1"/>
      <c r="JX282" s="1"/>
      <c r="JY282" s="1"/>
      <c r="JZ282" s="1"/>
      <c r="KA282" s="1"/>
      <c r="KB282" s="1"/>
      <c r="KC282" s="1"/>
      <c r="KD282" s="1"/>
      <c r="KE282" s="1"/>
      <c r="KF282" s="1"/>
      <c r="KG282" s="1"/>
      <c r="KH282" s="1"/>
      <c r="KI282" s="1"/>
      <c r="KJ282" s="1"/>
      <c r="KK282" s="1"/>
      <c r="KL282" s="1"/>
      <c r="KM282" s="1"/>
      <c r="KN282" s="1"/>
      <c r="KO282" s="1"/>
      <c r="KP282" s="1"/>
      <c r="KQ282" s="1"/>
      <c r="KR282" s="1"/>
      <c r="KS282" s="1"/>
      <c r="KT282" s="1"/>
      <c r="KU282" s="1"/>
      <c r="KV282" s="1"/>
      <c r="KW282" s="1"/>
      <c r="KX282" s="1"/>
      <c r="KY282" s="1"/>
      <c r="KZ282" s="1"/>
      <c r="LA282" s="1"/>
      <c r="LB282" s="1"/>
      <c r="LC282" s="1"/>
      <c r="LD282" s="1"/>
      <c r="LE282" s="1"/>
      <c r="LF282" s="1"/>
      <c r="LG282" s="1"/>
      <c r="LH282" s="1"/>
      <c r="LI282" s="1"/>
      <c r="LJ282" s="1"/>
      <c r="LK282" s="1"/>
      <c r="LL282" s="1"/>
      <c r="LM282" s="1"/>
      <c r="LN282" s="1"/>
      <c r="LO282" s="1"/>
      <c r="LP282" s="1"/>
      <c r="LQ282" s="1"/>
      <c r="LR282" s="1"/>
      <c r="LS282" s="1"/>
    </row>
    <row r="283" spans="1:331" s="25" customFormat="1" x14ac:dyDescent="0.25">
      <c r="A283" s="25" t="s">
        <v>1147</v>
      </c>
      <c r="B283" s="29" t="s">
        <v>1148</v>
      </c>
      <c r="C283" s="13" t="s">
        <v>2075</v>
      </c>
      <c r="D283" s="25">
        <v>0</v>
      </c>
      <c r="H283" s="25" t="s">
        <v>1149</v>
      </c>
      <c r="I283" s="25" t="s">
        <v>1149</v>
      </c>
      <c r="J283" s="48">
        <v>43780</v>
      </c>
      <c r="K283" s="48" t="s">
        <v>1149</v>
      </c>
      <c r="L283" s="25">
        <v>0</v>
      </c>
      <c r="O283" s="25">
        <v>0</v>
      </c>
      <c r="Q283" s="1" t="s">
        <v>1647</v>
      </c>
      <c r="R283" s="1"/>
      <c r="T283" s="25">
        <v>15</v>
      </c>
      <c r="V283" s="25">
        <v>13</v>
      </c>
      <c r="W283" s="1">
        <v>15</v>
      </c>
      <c r="X283" s="1">
        <v>16</v>
      </c>
      <c r="Y283" s="1" t="s">
        <v>2406</v>
      </c>
      <c r="Z283" s="25">
        <v>5</v>
      </c>
      <c r="AA283" s="1" t="b">
        <v>1</v>
      </c>
      <c r="AB283" s="1"/>
      <c r="AC283" s="57" t="s">
        <v>1411</v>
      </c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  <c r="IX283" s="1"/>
      <c r="IY283" s="1"/>
      <c r="IZ283" s="1"/>
      <c r="JA283" s="1"/>
      <c r="JB283" s="1"/>
      <c r="JC283" s="1"/>
      <c r="JD283" s="1"/>
      <c r="JE283" s="1"/>
      <c r="JF283" s="1"/>
      <c r="JG283" s="1"/>
      <c r="JH283" s="1"/>
      <c r="JI283" s="1"/>
      <c r="JJ283" s="1"/>
      <c r="JK283" s="1"/>
      <c r="JL283" s="1"/>
      <c r="JM283" s="1"/>
      <c r="JN283" s="1"/>
      <c r="JO283" s="1"/>
      <c r="JP283" s="1"/>
      <c r="JQ283" s="1"/>
      <c r="JR283" s="1"/>
      <c r="JS283" s="1"/>
      <c r="JT283" s="1"/>
      <c r="JU283" s="1"/>
      <c r="JV283" s="1"/>
      <c r="JW283" s="1"/>
      <c r="JX283" s="1"/>
      <c r="JY283" s="1"/>
      <c r="JZ283" s="1"/>
      <c r="KA283" s="1"/>
      <c r="KB283" s="1"/>
      <c r="KC283" s="1"/>
      <c r="KD283" s="1"/>
      <c r="KE283" s="1"/>
      <c r="KF283" s="1"/>
      <c r="KG283" s="1"/>
      <c r="KH283" s="1"/>
      <c r="KI283" s="1"/>
      <c r="KJ283" s="1"/>
      <c r="KK283" s="1"/>
      <c r="KL283" s="1"/>
      <c r="KM283" s="1"/>
      <c r="KN283" s="1"/>
      <c r="KO283" s="1"/>
      <c r="KP283" s="1"/>
      <c r="KQ283" s="1"/>
      <c r="KR283" s="1"/>
      <c r="KS283" s="1"/>
      <c r="KT283" s="1"/>
      <c r="KU283" s="1"/>
      <c r="KV283" s="1"/>
      <c r="KW283" s="1"/>
      <c r="KX283" s="1"/>
      <c r="KY283" s="1"/>
      <c r="KZ283" s="1"/>
      <c r="LA283" s="1"/>
      <c r="LB283" s="1"/>
      <c r="LC283" s="1"/>
      <c r="LD283" s="1"/>
      <c r="LE283" s="1"/>
      <c r="LF283" s="1"/>
      <c r="LG283" s="1"/>
      <c r="LH283" s="1"/>
      <c r="LI283" s="1"/>
      <c r="LJ283" s="1"/>
      <c r="LK283" s="1"/>
      <c r="LL283" s="1"/>
      <c r="LM283" s="1"/>
      <c r="LN283" s="1"/>
      <c r="LO283" s="1"/>
      <c r="LP283" s="1"/>
      <c r="LQ283" s="1"/>
      <c r="LR283" s="1"/>
      <c r="LS283" s="1"/>
    </row>
    <row r="284" spans="1:331" s="40" customFormat="1" x14ac:dyDescent="0.25">
      <c r="A284" s="40" t="s">
        <v>1150</v>
      </c>
      <c r="B284" s="44" t="s">
        <v>1151</v>
      </c>
      <c r="C284" s="13" t="s">
        <v>2075</v>
      </c>
      <c r="D284" s="40">
        <v>0</v>
      </c>
      <c r="H284" s="40" t="s">
        <v>1152</v>
      </c>
      <c r="I284" s="40" t="s">
        <v>1153</v>
      </c>
      <c r="J284" s="40" t="s">
        <v>1152</v>
      </c>
      <c r="K284" s="40" t="s">
        <v>2139</v>
      </c>
      <c r="L284" s="40">
        <v>0</v>
      </c>
      <c r="O284" s="40">
        <v>1</v>
      </c>
      <c r="P284" s="40" t="s">
        <v>819</v>
      </c>
      <c r="Q284" s="1" t="s">
        <v>1648</v>
      </c>
      <c r="R284" s="1"/>
      <c r="S284" s="40">
        <v>10</v>
      </c>
      <c r="T284" s="40">
        <v>10</v>
      </c>
      <c r="W284" s="1">
        <v>10</v>
      </c>
      <c r="X284" s="1">
        <v>21</v>
      </c>
      <c r="Y284" s="1" t="s">
        <v>2407</v>
      </c>
      <c r="Z284" s="40">
        <v>8</v>
      </c>
      <c r="AA284" s="1" t="b">
        <v>1</v>
      </c>
      <c r="AB284" s="1"/>
      <c r="AC284" s="57" t="s">
        <v>1445</v>
      </c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  <c r="IX284" s="1"/>
      <c r="IY284" s="1"/>
      <c r="IZ284" s="1"/>
      <c r="JA284" s="1"/>
      <c r="JB284" s="1"/>
      <c r="JC284" s="1"/>
      <c r="JD284" s="1"/>
      <c r="JE284" s="1"/>
      <c r="JF284" s="1"/>
      <c r="JG284" s="1"/>
      <c r="JH284" s="1"/>
      <c r="JI284" s="1"/>
      <c r="JJ284" s="1"/>
      <c r="JK284" s="1"/>
      <c r="JL284" s="1"/>
      <c r="JM284" s="1"/>
      <c r="JN284" s="1"/>
      <c r="JO284" s="1"/>
      <c r="JP284" s="1"/>
      <c r="JQ284" s="1"/>
      <c r="JR284" s="1"/>
      <c r="JS284" s="1"/>
      <c r="JT284" s="1"/>
      <c r="JU284" s="1"/>
      <c r="JV284" s="1"/>
      <c r="JW284" s="1"/>
      <c r="JX284" s="1"/>
      <c r="JY284" s="1"/>
      <c r="JZ284" s="1"/>
      <c r="KA284" s="1"/>
      <c r="KB284" s="1"/>
      <c r="KC284" s="1"/>
      <c r="KD284" s="1"/>
      <c r="KE284" s="1"/>
      <c r="KF284" s="1"/>
      <c r="KG284" s="1"/>
      <c r="KH284" s="1"/>
      <c r="KI284" s="1"/>
      <c r="KJ284" s="1"/>
      <c r="KK284" s="1"/>
      <c r="KL284" s="1"/>
      <c r="KM284" s="1"/>
      <c r="KN284" s="1"/>
      <c r="KO284" s="1"/>
      <c r="KP284" s="1"/>
      <c r="KQ284" s="1"/>
      <c r="KR284" s="1"/>
      <c r="KS284" s="1"/>
      <c r="KT284" s="1"/>
      <c r="KU284" s="1"/>
      <c r="KV284" s="1"/>
      <c r="KW284" s="1"/>
      <c r="KX284" s="1"/>
      <c r="KY284" s="1"/>
      <c r="KZ284" s="1"/>
      <c r="LA284" s="1"/>
      <c r="LB284" s="1"/>
      <c r="LC284" s="1"/>
      <c r="LD284" s="1"/>
      <c r="LE284" s="1"/>
      <c r="LF284" s="1"/>
      <c r="LG284" s="1"/>
      <c r="LH284" s="1"/>
      <c r="LI284" s="1"/>
      <c r="LJ284" s="1"/>
      <c r="LK284" s="1"/>
      <c r="LL284" s="1"/>
      <c r="LM284" s="1"/>
      <c r="LN284" s="1"/>
      <c r="LO284" s="1"/>
      <c r="LP284" s="1"/>
      <c r="LQ284" s="1"/>
      <c r="LR284" s="1"/>
      <c r="LS284" s="1"/>
    </row>
    <row r="285" spans="1:331" s="75" customFormat="1" x14ac:dyDescent="0.25">
      <c r="A285" s="75" t="s">
        <v>1154</v>
      </c>
      <c r="B285" s="79" t="s">
        <v>1155</v>
      </c>
      <c r="C285" s="13" t="s">
        <v>2075</v>
      </c>
      <c r="D285" s="75">
        <v>0</v>
      </c>
      <c r="H285" s="75" t="s">
        <v>1156</v>
      </c>
      <c r="I285" s="75" t="s">
        <v>1157</v>
      </c>
      <c r="J285" s="75" t="s">
        <v>1158</v>
      </c>
      <c r="K285" s="75" t="s">
        <v>1156</v>
      </c>
      <c r="L285" s="75">
        <v>0</v>
      </c>
      <c r="O285" s="75">
        <v>1</v>
      </c>
      <c r="P285" s="75" t="s">
        <v>1159</v>
      </c>
      <c r="Q285" s="1"/>
      <c r="R285" s="1" t="s">
        <v>1160</v>
      </c>
      <c r="T285" s="75">
        <v>10</v>
      </c>
      <c r="V285" s="75">
        <v>9</v>
      </c>
      <c r="W285" s="75">
        <v>10</v>
      </c>
      <c r="X285" s="1">
        <v>20</v>
      </c>
      <c r="Y285" s="1" t="s">
        <v>2408</v>
      </c>
      <c r="Z285" s="75">
        <v>14</v>
      </c>
      <c r="AA285" s="75" t="b">
        <v>1</v>
      </c>
      <c r="AC285" s="78" t="s">
        <v>1311</v>
      </c>
    </row>
    <row r="286" spans="1:331" s="40" customFormat="1" x14ac:dyDescent="0.25">
      <c r="A286" s="40" t="s">
        <v>1161</v>
      </c>
      <c r="B286" s="44" t="s">
        <v>1162</v>
      </c>
      <c r="C286" s="13" t="s">
        <v>2075</v>
      </c>
      <c r="D286" s="40">
        <v>0</v>
      </c>
      <c r="H286" s="40" t="s">
        <v>1163</v>
      </c>
      <c r="I286" s="40" t="s">
        <v>1164</v>
      </c>
      <c r="J286" s="40" t="s">
        <v>1163</v>
      </c>
      <c r="K286" s="40" t="s">
        <v>1163</v>
      </c>
      <c r="L286" s="40">
        <v>0</v>
      </c>
      <c r="O286" s="40">
        <v>1</v>
      </c>
      <c r="P286" s="40" t="s">
        <v>1165</v>
      </c>
      <c r="Q286" s="1" t="s">
        <v>1649</v>
      </c>
      <c r="R286" s="1"/>
      <c r="S286" s="40">
        <v>5</v>
      </c>
      <c r="T286" s="40">
        <v>12</v>
      </c>
      <c r="V286" s="40">
        <v>12</v>
      </c>
      <c r="W286" s="1">
        <v>12</v>
      </c>
      <c r="X286" s="1">
        <v>14</v>
      </c>
      <c r="Y286" s="1" t="s">
        <v>2409</v>
      </c>
      <c r="Z286" s="40">
        <v>8</v>
      </c>
      <c r="AA286" s="1" t="b">
        <v>1</v>
      </c>
      <c r="AB286" s="1"/>
      <c r="AC286" s="57" t="s">
        <v>1449</v>
      </c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  <c r="IY286" s="1"/>
      <c r="IZ286" s="1"/>
      <c r="JA286" s="1"/>
      <c r="JB286" s="1"/>
      <c r="JC286" s="1"/>
      <c r="JD286" s="1"/>
      <c r="JE286" s="1"/>
      <c r="JF286" s="1"/>
      <c r="JG286" s="1"/>
      <c r="JH286" s="1"/>
      <c r="JI286" s="1"/>
      <c r="JJ286" s="1"/>
      <c r="JK286" s="1"/>
      <c r="JL286" s="1"/>
      <c r="JM286" s="1"/>
      <c r="JN286" s="1"/>
      <c r="JO286" s="1"/>
      <c r="JP286" s="1"/>
      <c r="JQ286" s="1"/>
      <c r="JR286" s="1"/>
      <c r="JS286" s="1"/>
      <c r="JT286" s="1"/>
      <c r="JU286" s="1"/>
      <c r="JV286" s="1"/>
      <c r="JW286" s="1"/>
      <c r="JX286" s="1"/>
      <c r="JY286" s="1"/>
      <c r="JZ286" s="1"/>
      <c r="KA286" s="1"/>
      <c r="KB286" s="1"/>
      <c r="KC286" s="1"/>
      <c r="KD286" s="1"/>
      <c r="KE286" s="1"/>
      <c r="KF286" s="1"/>
      <c r="KG286" s="1"/>
      <c r="KH286" s="1"/>
      <c r="KI286" s="1"/>
      <c r="KJ286" s="1"/>
      <c r="KK286" s="1"/>
      <c r="KL286" s="1"/>
      <c r="KM286" s="1"/>
      <c r="KN286" s="1"/>
      <c r="KO286" s="1"/>
      <c r="KP286" s="1"/>
      <c r="KQ286" s="1"/>
      <c r="KR286" s="1"/>
      <c r="KS286" s="1"/>
      <c r="KT286" s="1"/>
      <c r="KU286" s="1"/>
      <c r="KV286" s="1"/>
      <c r="KW286" s="1"/>
      <c r="KX286" s="1"/>
      <c r="KY286" s="1"/>
      <c r="KZ286" s="1"/>
      <c r="LA286" s="1"/>
      <c r="LB286" s="1"/>
      <c r="LC286" s="1"/>
      <c r="LD286" s="1"/>
      <c r="LE286" s="1"/>
      <c r="LF286" s="1"/>
      <c r="LG286" s="1"/>
      <c r="LH286" s="1"/>
      <c r="LI286" s="1"/>
      <c r="LJ286" s="1"/>
      <c r="LK286" s="1"/>
      <c r="LL286" s="1"/>
      <c r="LM286" s="1"/>
      <c r="LN286" s="1"/>
      <c r="LO286" s="1"/>
      <c r="LP286" s="1"/>
      <c r="LQ286" s="1"/>
      <c r="LR286" s="1"/>
      <c r="LS286" s="1"/>
    </row>
    <row r="287" spans="1:331" s="25" customFormat="1" x14ac:dyDescent="0.25">
      <c r="A287" s="25" t="s">
        <v>1166</v>
      </c>
      <c r="B287" s="29" t="s">
        <v>1167</v>
      </c>
      <c r="C287" s="13" t="s">
        <v>2075</v>
      </c>
      <c r="D287" s="25">
        <v>0</v>
      </c>
      <c r="H287" s="25" t="s">
        <v>1168</v>
      </c>
      <c r="I287" s="25" t="s">
        <v>1169</v>
      </c>
      <c r="J287" s="25" t="s">
        <v>1168</v>
      </c>
      <c r="K287" s="25" t="s">
        <v>1168</v>
      </c>
      <c r="L287" s="25">
        <v>0</v>
      </c>
      <c r="O287" s="25">
        <v>0</v>
      </c>
      <c r="Q287" s="1" t="s">
        <v>1650</v>
      </c>
      <c r="R287" s="1"/>
      <c r="T287" s="25">
        <v>8</v>
      </c>
      <c r="V287" s="25">
        <v>7</v>
      </c>
      <c r="W287" s="1">
        <v>8</v>
      </c>
      <c r="X287" s="1">
        <v>13</v>
      </c>
      <c r="Y287" s="1" t="s">
        <v>2410</v>
      </c>
      <c r="Z287" s="25">
        <v>5</v>
      </c>
      <c r="AA287" s="1" t="b">
        <v>1</v>
      </c>
      <c r="AB287" s="1"/>
      <c r="AC287" s="57" t="s">
        <v>1328</v>
      </c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  <c r="IX287" s="1"/>
      <c r="IY287" s="1"/>
      <c r="IZ287" s="1"/>
      <c r="JA287" s="1"/>
      <c r="JB287" s="1"/>
      <c r="JC287" s="1"/>
      <c r="JD287" s="1"/>
      <c r="JE287" s="1"/>
      <c r="JF287" s="1"/>
      <c r="JG287" s="1"/>
      <c r="JH287" s="1"/>
      <c r="JI287" s="1"/>
      <c r="JJ287" s="1"/>
      <c r="JK287" s="1"/>
      <c r="JL287" s="1"/>
      <c r="JM287" s="1"/>
      <c r="JN287" s="1"/>
      <c r="JO287" s="1"/>
      <c r="JP287" s="1"/>
      <c r="JQ287" s="1"/>
      <c r="JR287" s="1"/>
      <c r="JS287" s="1"/>
      <c r="JT287" s="1"/>
      <c r="JU287" s="1"/>
      <c r="JV287" s="1"/>
      <c r="JW287" s="1"/>
      <c r="JX287" s="1"/>
      <c r="JY287" s="1"/>
      <c r="JZ287" s="1"/>
      <c r="KA287" s="1"/>
      <c r="KB287" s="1"/>
      <c r="KC287" s="1"/>
      <c r="KD287" s="1"/>
      <c r="KE287" s="1"/>
      <c r="KF287" s="1"/>
      <c r="KG287" s="1"/>
      <c r="KH287" s="1"/>
      <c r="KI287" s="1"/>
      <c r="KJ287" s="1"/>
      <c r="KK287" s="1"/>
      <c r="KL287" s="1"/>
      <c r="KM287" s="1"/>
      <c r="KN287" s="1"/>
      <c r="KO287" s="1"/>
      <c r="KP287" s="1"/>
      <c r="KQ287" s="1"/>
      <c r="KR287" s="1"/>
      <c r="KS287" s="1"/>
      <c r="KT287" s="1"/>
      <c r="KU287" s="1"/>
      <c r="KV287" s="1"/>
      <c r="KW287" s="1"/>
      <c r="KX287" s="1"/>
      <c r="KY287" s="1"/>
      <c r="KZ287" s="1"/>
      <c r="LA287" s="1"/>
      <c r="LB287" s="1"/>
      <c r="LC287" s="1"/>
      <c r="LD287" s="1"/>
      <c r="LE287" s="1"/>
      <c r="LF287" s="1"/>
      <c r="LG287" s="1"/>
      <c r="LH287" s="1"/>
      <c r="LI287" s="1"/>
      <c r="LJ287" s="1"/>
      <c r="LK287" s="1"/>
      <c r="LL287" s="1"/>
      <c r="LM287" s="1"/>
      <c r="LN287" s="1"/>
      <c r="LO287" s="1"/>
      <c r="LP287" s="1"/>
      <c r="LQ287" s="1"/>
      <c r="LR287" s="1"/>
      <c r="LS287" s="1"/>
    </row>
    <row r="288" spans="1:331" s="49" customFormat="1" x14ac:dyDescent="0.25">
      <c r="A288" s="49" t="s">
        <v>1170</v>
      </c>
      <c r="B288" s="51" t="s">
        <v>1171</v>
      </c>
      <c r="C288" s="13" t="s">
        <v>2075</v>
      </c>
      <c r="D288" s="49">
        <v>0</v>
      </c>
      <c r="H288" s="49" t="s">
        <v>1172</v>
      </c>
      <c r="I288" s="49" t="s">
        <v>1173</v>
      </c>
      <c r="J288" s="49" t="s">
        <v>1172</v>
      </c>
      <c r="K288" s="49" t="s">
        <v>1172</v>
      </c>
      <c r="L288" s="49">
        <v>0</v>
      </c>
      <c r="O288" s="49">
        <v>1</v>
      </c>
      <c r="Q288" s="1"/>
      <c r="R288" s="1" t="s">
        <v>1174</v>
      </c>
      <c r="S288" s="49">
        <v>12</v>
      </c>
      <c r="U288" s="49">
        <v>6</v>
      </c>
      <c r="W288" s="1">
        <v>12</v>
      </c>
      <c r="X288" s="1">
        <v>19</v>
      </c>
      <c r="Y288" s="1" t="s">
        <v>2411</v>
      </c>
      <c r="Z288" s="49">
        <v>9</v>
      </c>
      <c r="AA288" s="1" t="b">
        <v>1</v>
      </c>
      <c r="AB288" s="1"/>
      <c r="AC288" s="57" t="s">
        <v>1448</v>
      </c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/>
      <c r="IY288" s="1"/>
      <c r="IZ288" s="1"/>
      <c r="JA288" s="1"/>
      <c r="JB288" s="1"/>
      <c r="JC288" s="1"/>
      <c r="JD288" s="1"/>
      <c r="JE288" s="1"/>
      <c r="JF288" s="1"/>
      <c r="JG288" s="1"/>
      <c r="JH288" s="1"/>
      <c r="JI288" s="1"/>
      <c r="JJ288" s="1"/>
      <c r="JK288" s="1"/>
      <c r="JL288" s="1"/>
      <c r="JM288" s="1"/>
      <c r="JN288" s="1"/>
      <c r="JO288" s="1"/>
      <c r="JP288" s="1"/>
      <c r="JQ288" s="1"/>
      <c r="JR288" s="1"/>
      <c r="JS288" s="1"/>
      <c r="JT288" s="1"/>
      <c r="JU288" s="1"/>
      <c r="JV288" s="1"/>
      <c r="JW288" s="1"/>
      <c r="JX288" s="1"/>
      <c r="JY288" s="1"/>
      <c r="JZ288" s="1"/>
      <c r="KA288" s="1"/>
      <c r="KB288" s="1"/>
      <c r="KC288" s="1"/>
      <c r="KD288" s="1"/>
      <c r="KE288" s="1"/>
      <c r="KF288" s="1"/>
      <c r="KG288" s="1"/>
      <c r="KH288" s="1"/>
      <c r="KI288" s="1"/>
      <c r="KJ288" s="1"/>
      <c r="KK288" s="1"/>
      <c r="KL288" s="1"/>
      <c r="KM288" s="1"/>
      <c r="KN288" s="1"/>
      <c r="KO288" s="1"/>
      <c r="KP288" s="1"/>
      <c r="KQ288" s="1"/>
      <c r="KR288" s="1"/>
      <c r="KS288" s="1"/>
      <c r="KT288" s="1"/>
      <c r="KU288" s="1"/>
      <c r="KV288" s="1"/>
      <c r="KW288" s="1"/>
      <c r="KX288" s="1"/>
      <c r="KY288" s="1"/>
      <c r="KZ288" s="1"/>
      <c r="LA288" s="1"/>
      <c r="LB288" s="1"/>
      <c r="LC288" s="1"/>
      <c r="LD288" s="1"/>
      <c r="LE288" s="1"/>
      <c r="LF288" s="1"/>
      <c r="LG288" s="1"/>
      <c r="LH288" s="1"/>
      <c r="LI288" s="1"/>
      <c r="LJ288" s="1"/>
      <c r="LK288" s="1"/>
      <c r="LL288" s="1"/>
      <c r="LM288" s="1"/>
      <c r="LN288" s="1"/>
      <c r="LO288" s="1"/>
      <c r="LP288" s="1"/>
      <c r="LQ288" s="1"/>
      <c r="LR288" s="1"/>
      <c r="LS288" s="1"/>
    </row>
    <row r="289" spans="1:331" s="25" customFormat="1" x14ac:dyDescent="0.25">
      <c r="A289" s="25" t="s">
        <v>1175</v>
      </c>
      <c r="B289" s="29" t="s">
        <v>1176</v>
      </c>
      <c r="C289" s="13" t="s">
        <v>2075</v>
      </c>
      <c r="D289" s="25">
        <v>0</v>
      </c>
      <c r="H289" s="25" t="s">
        <v>1177</v>
      </c>
      <c r="I289" s="25" t="s">
        <v>1178</v>
      </c>
      <c r="J289" s="25" t="s">
        <v>1177</v>
      </c>
      <c r="K289" s="25" t="s">
        <v>1177</v>
      </c>
      <c r="L289" s="25">
        <v>0</v>
      </c>
      <c r="O289" s="25">
        <v>0</v>
      </c>
      <c r="Q289" s="1" t="s">
        <v>1651</v>
      </c>
      <c r="R289" s="1"/>
      <c r="S289" s="25">
        <v>7</v>
      </c>
      <c r="T289" s="25">
        <v>7</v>
      </c>
      <c r="U289" s="25">
        <v>7</v>
      </c>
      <c r="V289" s="25">
        <v>6</v>
      </c>
      <c r="W289" s="1">
        <v>7</v>
      </c>
      <c r="X289" s="1">
        <v>11</v>
      </c>
      <c r="Y289" s="1" t="s">
        <v>2412</v>
      </c>
      <c r="Z289" s="25">
        <v>5</v>
      </c>
      <c r="AA289" s="1" t="b">
        <v>1</v>
      </c>
      <c r="AB289" s="1"/>
      <c r="AC289" s="63" t="s">
        <v>1369</v>
      </c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  <c r="IY289" s="1"/>
      <c r="IZ289" s="1"/>
      <c r="JA289" s="1"/>
      <c r="JB289" s="1"/>
      <c r="JC289" s="1"/>
      <c r="JD289" s="1"/>
      <c r="JE289" s="1"/>
      <c r="JF289" s="1"/>
      <c r="JG289" s="1"/>
      <c r="JH289" s="1"/>
      <c r="JI289" s="1"/>
      <c r="JJ289" s="1"/>
      <c r="JK289" s="1"/>
      <c r="JL289" s="1"/>
      <c r="JM289" s="1"/>
      <c r="JN289" s="1"/>
      <c r="JO289" s="1"/>
      <c r="JP289" s="1"/>
      <c r="JQ289" s="1"/>
      <c r="JR289" s="1"/>
      <c r="JS289" s="1"/>
      <c r="JT289" s="1"/>
      <c r="JU289" s="1"/>
      <c r="JV289" s="1"/>
      <c r="JW289" s="1"/>
      <c r="JX289" s="1"/>
      <c r="JY289" s="1"/>
      <c r="JZ289" s="1"/>
      <c r="KA289" s="1"/>
      <c r="KB289" s="1"/>
      <c r="KC289" s="1"/>
      <c r="KD289" s="1"/>
      <c r="KE289" s="1"/>
      <c r="KF289" s="1"/>
      <c r="KG289" s="1"/>
      <c r="KH289" s="1"/>
      <c r="KI289" s="1"/>
      <c r="KJ289" s="1"/>
      <c r="KK289" s="1"/>
      <c r="KL289" s="1"/>
      <c r="KM289" s="1"/>
      <c r="KN289" s="1"/>
      <c r="KO289" s="1"/>
      <c r="KP289" s="1"/>
      <c r="KQ289" s="1"/>
      <c r="KR289" s="1"/>
      <c r="KS289" s="1"/>
      <c r="KT289" s="1"/>
      <c r="KU289" s="1"/>
      <c r="KV289" s="1"/>
      <c r="KW289" s="1"/>
      <c r="KX289" s="1"/>
      <c r="KY289" s="1"/>
      <c r="KZ289" s="1"/>
      <c r="LA289" s="1"/>
      <c r="LB289" s="1"/>
      <c r="LC289" s="1"/>
      <c r="LD289" s="1"/>
      <c r="LE289" s="1"/>
      <c r="LF289" s="1"/>
      <c r="LG289" s="1"/>
      <c r="LH289" s="1"/>
      <c r="LI289" s="1"/>
      <c r="LJ289" s="1"/>
      <c r="LK289" s="1"/>
      <c r="LL289" s="1"/>
      <c r="LM289" s="1"/>
      <c r="LN289" s="1"/>
      <c r="LO289" s="1"/>
      <c r="LP289" s="1"/>
      <c r="LQ289" s="1"/>
      <c r="LR289" s="1"/>
      <c r="LS289" s="1"/>
    </row>
    <row r="290" spans="1:331" s="59" customFormat="1" x14ac:dyDescent="0.25">
      <c r="A290" s="59" t="s">
        <v>1179</v>
      </c>
      <c r="B290" s="61" t="s">
        <v>1180</v>
      </c>
      <c r="C290" s="13" t="s">
        <v>2075</v>
      </c>
      <c r="D290" s="59">
        <v>0</v>
      </c>
      <c r="H290" s="59" t="s">
        <v>1181</v>
      </c>
      <c r="I290" s="59" t="s">
        <v>1182</v>
      </c>
      <c r="J290" s="62">
        <v>43496</v>
      </c>
      <c r="K290" s="62" t="s">
        <v>1181</v>
      </c>
      <c r="L290" s="59">
        <v>1</v>
      </c>
      <c r="M290" s="59" t="s">
        <v>1183</v>
      </c>
      <c r="O290" s="59">
        <v>1</v>
      </c>
      <c r="Q290" s="1"/>
      <c r="R290" s="1" t="s">
        <v>1184</v>
      </c>
      <c r="S290" s="59">
        <v>11</v>
      </c>
      <c r="U290" s="59">
        <v>15</v>
      </c>
      <c r="W290" s="1">
        <v>11</v>
      </c>
      <c r="X290" s="1">
        <v>14</v>
      </c>
      <c r="Y290" s="1" t="s">
        <v>2413</v>
      </c>
      <c r="Z290" s="59">
        <v>11</v>
      </c>
      <c r="AA290" s="1" t="b">
        <v>1</v>
      </c>
      <c r="AB290" s="1"/>
      <c r="AC290" s="57" t="s">
        <v>1948</v>
      </c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  <c r="IY290" s="1"/>
      <c r="IZ290" s="1"/>
      <c r="JA290" s="1"/>
      <c r="JB290" s="1"/>
      <c r="JC290" s="1"/>
      <c r="JD290" s="1"/>
      <c r="JE290" s="1"/>
      <c r="JF290" s="1"/>
      <c r="JG290" s="1"/>
      <c r="JH290" s="1"/>
      <c r="JI290" s="1"/>
      <c r="JJ290" s="1"/>
      <c r="JK290" s="1"/>
      <c r="JL290" s="1"/>
      <c r="JM290" s="1"/>
      <c r="JN290" s="1"/>
      <c r="JO290" s="1"/>
      <c r="JP290" s="1"/>
      <c r="JQ290" s="1"/>
      <c r="JR290" s="1"/>
      <c r="JS290" s="1"/>
      <c r="JT290" s="1"/>
      <c r="JU290" s="1"/>
      <c r="JV290" s="1"/>
      <c r="JW290" s="1"/>
      <c r="JX290" s="1"/>
      <c r="JY290" s="1"/>
      <c r="JZ290" s="1"/>
      <c r="KA290" s="1"/>
      <c r="KB290" s="1"/>
      <c r="KC290" s="1"/>
      <c r="KD290" s="1"/>
      <c r="KE290" s="1"/>
      <c r="KF290" s="1"/>
      <c r="KG290" s="1"/>
      <c r="KH290" s="1"/>
      <c r="KI290" s="1"/>
      <c r="KJ290" s="1"/>
      <c r="KK290" s="1"/>
      <c r="KL290" s="1"/>
      <c r="KM290" s="1"/>
      <c r="KN290" s="1"/>
      <c r="KO290" s="1"/>
      <c r="KP290" s="1"/>
      <c r="KQ290" s="1"/>
      <c r="KR290" s="1"/>
      <c r="KS290" s="1"/>
      <c r="KT290" s="1"/>
      <c r="KU290" s="1"/>
      <c r="KV290" s="1"/>
      <c r="KW290" s="1"/>
      <c r="KX290" s="1"/>
      <c r="KY290" s="1"/>
      <c r="KZ290" s="1"/>
      <c r="LA290" s="1"/>
      <c r="LB290" s="1"/>
      <c r="LC290" s="1"/>
      <c r="LD290" s="1"/>
      <c r="LE290" s="1"/>
      <c r="LF290" s="1"/>
      <c r="LG290" s="1"/>
      <c r="LH290" s="1"/>
      <c r="LI290" s="1"/>
      <c r="LJ290" s="1"/>
      <c r="LK290" s="1"/>
      <c r="LL290" s="1"/>
      <c r="LM290" s="1"/>
      <c r="LN290" s="1"/>
      <c r="LO290" s="1"/>
      <c r="LP290" s="1"/>
      <c r="LQ290" s="1"/>
      <c r="LR290" s="1"/>
      <c r="LS290" s="1"/>
    </row>
    <row r="291" spans="1:331" s="75" customFormat="1" x14ac:dyDescent="0.25">
      <c r="A291" s="75" t="s">
        <v>1185</v>
      </c>
      <c r="B291" s="79" t="s">
        <v>1186</v>
      </c>
      <c r="C291" s="13" t="s">
        <v>2075</v>
      </c>
      <c r="D291" s="75">
        <v>0</v>
      </c>
      <c r="H291" s="75" t="s">
        <v>1187</v>
      </c>
      <c r="I291" s="75" t="s">
        <v>1188</v>
      </c>
      <c r="J291" s="75" t="s">
        <v>1187</v>
      </c>
      <c r="K291" s="75" t="s">
        <v>2140</v>
      </c>
      <c r="L291" s="75">
        <v>0</v>
      </c>
      <c r="O291" s="75">
        <v>1</v>
      </c>
      <c r="P291" s="75" t="s">
        <v>1189</v>
      </c>
      <c r="Q291" s="1"/>
      <c r="R291" s="1" t="s">
        <v>1190</v>
      </c>
      <c r="S291" s="75">
        <v>16</v>
      </c>
      <c r="U291" s="75">
        <v>12</v>
      </c>
      <c r="W291" s="75">
        <v>16</v>
      </c>
      <c r="X291" s="1">
        <v>17</v>
      </c>
      <c r="Y291" s="1" t="s">
        <v>2414</v>
      </c>
      <c r="Z291" s="75">
        <v>14</v>
      </c>
      <c r="AA291" s="75" t="b">
        <v>1</v>
      </c>
      <c r="AC291" s="78" t="s">
        <v>1446</v>
      </c>
    </row>
    <row r="292" spans="1:331" s="3" customFormat="1" x14ac:dyDescent="0.25">
      <c r="A292" s="3" t="s">
        <v>1191</v>
      </c>
      <c r="B292" s="5" t="s">
        <v>1192</v>
      </c>
      <c r="C292" s="13" t="s">
        <v>2075</v>
      </c>
      <c r="D292" s="3">
        <v>0</v>
      </c>
      <c r="H292" s="3" t="s">
        <v>1193</v>
      </c>
      <c r="I292" s="3" t="s">
        <v>1193</v>
      </c>
      <c r="J292" s="3" t="s">
        <v>1194</v>
      </c>
      <c r="K292" s="3" t="s">
        <v>1193</v>
      </c>
      <c r="L292" s="3">
        <v>1</v>
      </c>
      <c r="M292" s="3" t="s">
        <v>1195</v>
      </c>
      <c r="O292" s="3">
        <v>1</v>
      </c>
      <c r="P292" s="3" t="s">
        <v>1196</v>
      </c>
      <c r="Q292" s="1" t="s">
        <v>1652</v>
      </c>
      <c r="R292" s="1"/>
      <c r="S292" s="3">
        <v>17</v>
      </c>
      <c r="V292" s="3">
        <v>17</v>
      </c>
      <c r="W292" s="1">
        <v>17</v>
      </c>
      <c r="X292" s="1">
        <v>14</v>
      </c>
      <c r="Y292" s="1" t="s">
        <v>2415</v>
      </c>
      <c r="Z292" s="3">
        <v>1</v>
      </c>
      <c r="AA292" s="1" t="b">
        <v>1</v>
      </c>
      <c r="AB292" s="1"/>
      <c r="AC292" s="57" t="s">
        <v>1399</v>
      </c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  <c r="IX292" s="1"/>
      <c r="IY292" s="1"/>
      <c r="IZ292" s="1"/>
      <c r="JA292" s="1"/>
      <c r="JB292" s="1"/>
      <c r="JC292" s="1"/>
      <c r="JD292" s="1"/>
      <c r="JE292" s="1"/>
      <c r="JF292" s="1"/>
      <c r="JG292" s="1"/>
      <c r="JH292" s="1"/>
      <c r="JI292" s="1"/>
      <c r="JJ292" s="1"/>
      <c r="JK292" s="1"/>
      <c r="JL292" s="1"/>
      <c r="JM292" s="1"/>
      <c r="JN292" s="1"/>
      <c r="JO292" s="1"/>
      <c r="JP292" s="1"/>
      <c r="JQ292" s="1"/>
      <c r="JR292" s="1"/>
      <c r="JS292" s="1"/>
      <c r="JT292" s="1"/>
      <c r="JU292" s="1"/>
      <c r="JV292" s="1"/>
      <c r="JW292" s="1"/>
      <c r="JX292" s="1"/>
      <c r="JY292" s="1"/>
      <c r="JZ292" s="1"/>
      <c r="KA292" s="1"/>
      <c r="KB292" s="1"/>
      <c r="KC292" s="1"/>
      <c r="KD292" s="1"/>
      <c r="KE292" s="1"/>
      <c r="KF292" s="1"/>
      <c r="KG292" s="1"/>
      <c r="KH292" s="1"/>
      <c r="KI292" s="1"/>
      <c r="KJ292" s="1"/>
      <c r="KK292" s="1"/>
      <c r="KL292" s="1"/>
      <c r="KM292" s="1"/>
      <c r="KN292" s="1"/>
      <c r="KO292" s="1"/>
      <c r="KP292" s="1"/>
      <c r="KQ292" s="1"/>
      <c r="KR292" s="1"/>
      <c r="KS292" s="1"/>
      <c r="KT292" s="1"/>
      <c r="KU292" s="1"/>
      <c r="KV292" s="1"/>
      <c r="KW292" s="1"/>
      <c r="KX292" s="1"/>
      <c r="KY292" s="1"/>
      <c r="KZ292" s="1"/>
      <c r="LA292" s="1"/>
      <c r="LB292" s="1"/>
      <c r="LC292" s="1"/>
      <c r="LD292" s="1"/>
      <c r="LE292" s="1"/>
      <c r="LF292" s="1"/>
      <c r="LG292" s="1"/>
      <c r="LH292" s="1"/>
      <c r="LI292" s="1"/>
      <c r="LJ292" s="1"/>
      <c r="LK292" s="1"/>
      <c r="LL292" s="1"/>
      <c r="LM292" s="1"/>
      <c r="LN292" s="1"/>
      <c r="LO292" s="1"/>
      <c r="LP292" s="1"/>
      <c r="LQ292" s="1"/>
      <c r="LR292" s="1"/>
      <c r="LS292" s="1"/>
    </row>
    <row r="293" spans="1:331" s="3" customFormat="1" x14ac:dyDescent="0.25">
      <c r="A293" s="3" t="s">
        <v>1197</v>
      </c>
      <c r="B293" s="5" t="s">
        <v>1198</v>
      </c>
      <c r="C293" s="13" t="s">
        <v>2075</v>
      </c>
      <c r="D293" s="3">
        <v>0</v>
      </c>
      <c r="H293" s="3" t="s">
        <v>1199</v>
      </c>
      <c r="I293" s="3" t="s">
        <v>1199</v>
      </c>
      <c r="J293" s="3" t="s">
        <v>1200</v>
      </c>
      <c r="K293" s="3" t="s">
        <v>1199</v>
      </c>
      <c r="L293" s="3">
        <v>1</v>
      </c>
      <c r="M293" s="3" t="s">
        <v>1201</v>
      </c>
      <c r="O293" s="3">
        <v>1</v>
      </c>
      <c r="P293" s="3" t="s">
        <v>1202</v>
      </c>
      <c r="Q293" s="1" t="s">
        <v>1653</v>
      </c>
      <c r="R293" s="1"/>
      <c r="S293" s="3">
        <v>10</v>
      </c>
      <c r="V293" s="3">
        <v>24</v>
      </c>
      <c r="W293" s="1">
        <v>10</v>
      </c>
      <c r="X293" s="1">
        <v>14</v>
      </c>
      <c r="Y293" s="1" t="s">
        <v>2416</v>
      </c>
      <c r="Z293" s="3">
        <v>1</v>
      </c>
      <c r="AA293" s="1" t="b">
        <v>1</v>
      </c>
      <c r="AB293" s="1"/>
      <c r="AC293" s="57" t="s">
        <v>1404</v>
      </c>
      <c r="AD293" s="1" t="b">
        <v>1</v>
      </c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  <c r="IX293" s="1"/>
      <c r="IY293" s="1"/>
      <c r="IZ293" s="1"/>
      <c r="JA293" s="1"/>
      <c r="JB293" s="1"/>
      <c r="JC293" s="1"/>
      <c r="JD293" s="1"/>
      <c r="JE293" s="1"/>
      <c r="JF293" s="1"/>
      <c r="JG293" s="1"/>
      <c r="JH293" s="1"/>
      <c r="JI293" s="1"/>
      <c r="JJ293" s="1"/>
      <c r="JK293" s="1"/>
      <c r="JL293" s="1"/>
      <c r="JM293" s="1"/>
      <c r="JN293" s="1"/>
      <c r="JO293" s="1"/>
      <c r="JP293" s="1"/>
      <c r="JQ293" s="1"/>
      <c r="JR293" s="1"/>
      <c r="JS293" s="1"/>
      <c r="JT293" s="1"/>
      <c r="JU293" s="1"/>
      <c r="JV293" s="1"/>
      <c r="JW293" s="1"/>
      <c r="JX293" s="1"/>
      <c r="JY293" s="1"/>
      <c r="JZ293" s="1"/>
      <c r="KA293" s="1"/>
      <c r="KB293" s="1"/>
      <c r="KC293" s="1"/>
      <c r="KD293" s="1"/>
      <c r="KE293" s="1"/>
      <c r="KF293" s="1"/>
      <c r="KG293" s="1"/>
      <c r="KH293" s="1"/>
      <c r="KI293" s="1"/>
      <c r="KJ293" s="1"/>
      <c r="KK293" s="1"/>
      <c r="KL293" s="1"/>
      <c r="KM293" s="1"/>
      <c r="KN293" s="1"/>
      <c r="KO293" s="1"/>
      <c r="KP293" s="1"/>
      <c r="KQ293" s="1"/>
      <c r="KR293" s="1"/>
      <c r="KS293" s="1"/>
      <c r="KT293" s="1"/>
      <c r="KU293" s="1"/>
      <c r="KV293" s="1"/>
      <c r="KW293" s="1"/>
      <c r="KX293" s="1"/>
      <c r="KY293" s="1"/>
      <c r="KZ293" s="1"/>
      <c r="LA293" s="1"/>
      <c r="LB293" s="1"/>
      <c r="LC293" s="1"/>
      <c r="LD293" s="1"/>
      <c r="LE293" s="1"/>
      <c r="LF293" s="1"/>
      <c r="LG293" s="1"/>
      <c r="LH293" s="1"/>
      <c r="LI293" s="1"/>
      <c r="LJ293" s="1"/>
      <c r="LK293" s="1"/>
      <c r="LL293" s="1"/>
      <c r="LM293" s="1"/>
      <c r="LN293" s="1"/>
      <c r="LO293" s="1"/>
      <c r="LP293" s="1"/>
      <c r="LQ293" s="1"/>
      <c r="LR293" s="1"/>
      <c r="LS293" s="1"/>
    </row>
    <row r="294" spans="1:331" s="3" customFormat="1" x14ac:dyDescent="0.25">
      <c r="A294" s="3" t="s">
        <v>1203</v>
      </c>
      <c r="B294" s="5" t="s">
        <v>1204</v>
      </c>
      <c r="C294" s="13" t="s">
        <v>2075</v>
      </c>
      <c r="D294" s="3">
        <v>0</v>
      </c>
      <c r="H294" s="3" t="s">
        <v>1205</v>
      </c>
      <c r="I294" s="3" t="s">
        <v>1205</v>
      </c>
      <c r="J294" s="3" t="s">
        <v>1206</v>
      </c>
      <c r="K294" s="3" t="s">
        <v>1205</v>
      </c>
      <c r="L294" s="3">
        <v>2</v>
      </c>
      <c r="M294" s="3" t="s">
        <v>1207</v>
      </c>
      <c r="N294" s="3" t="s">
        <v>1208</v>
      </c>
      <c r="O294" s="3">
        <v>1</v>
      </c>
      <c r="P294" s="3" t="s">
        <v>1209</v>
      </c>
      <c r="Q294" s="1" t="s">
        <v>269</v>
      </c>
      <c r="R294" s="1"/>
      <c r="T294" s="3">
        <v>8</v>
      </c>
      <c r="V294" s="3">
        <v>18</v>
      </c>
      <c r="W294" s="1">
        <v>8</v>
      </c>
      <c r="X294" s="1">
        <v>17</v>
      </c>
      <c r="Y294" s="1" t="s">
        <v>2417</v>
      </c>
      <c r="Z294" s="3">
        <v>1</v>
      </c>
      <c r="AA294" s="1" t="b">
        <v>1</v>
      </c>
      <c r="AB294" s="1"/>
      <c r="AC294" s="57" t="s">
        <v>1316</v>
      </c>
      <c r="AD294" s="1" t="b">
        <v>1</v>
      </c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  <c r="IW294" s="1"/>
      <c r="IX294" s="1"/>
      <c r="IY294" s="1"/>
      <c r="IZ294" s="1"/>
      <c r="JA294" s="1"/>
      <c r="JB294" s="1"/>
      <c r="JC294" s="1"/>
      <c r="JD294" s="1"/>
      <c r="JE294" s="1"/>
      <c r="JF294" s="1"/>
      <c r="JG294" s="1"/>
      <c r="JH294" s="1"/>
      <c r="JI294" s="1"/>
      <c r="JJ294" s="1"/>
      <c r="JK294" s="1"/>
      <c r="JL294" s="1"/>
      <c r="JM294" s="1"/>
      <c r="JN294" s="1"/>
      <c r="JO294" s="1"/>
      <c r="JP294" s="1"/>
      <c r="JQ294" s="1"/>
      <c r="JR294" s="1"/>
      <c r="JS294" s="1"/>
      <c r="JT294" s="1"/>
      <c r="JU294" s="1"/>
      <c r="JV294" s="1"/>
      <c r="JW294" s="1"/>
      <c r="JX294" s="1"/>
      <c r="JY294" s="1"/>
      <c r="JZ294" s="1"/>
      <c r="KA294" s="1"/>
      <c r="KB294" s="1"/>
      <c r="KC294" s="1"/>
      <c r="KD294" s="1"/>
      <c r="KE294" s="1"/>
      <c r="KF294" s="1"/>
      <c r="KG294" s="1"/>
      <c r="KH294" s="1"/>
      <c r="KI294" s="1"/>
      <c r="KJ294" s="1"/>
      <c r="KK294" s="1"/>
      <c r="KL294" s="1"/>
      <c r="KM294" s="1"/>
      <c r="KN294" s="1"/>
      <c r="KO294" s="1"/>
      <c r="KP294" s="1"/>
      <c r="KQ294" s="1"/>
      <c r="KR294" s="1"/>
      <c r="KS294" s="1"/>
      <c r="KT294" s="1"/>
      <c r="KU294" s="1"/>
      <c r="KV294" s="1"/>
      <c r="KW294" s="1"/>
      <c r="KX294" s="1"/>
      <c r="KY294" s="1"/>
      <c r="KZ294" s="1"/>
      <c r="LA294" s="1"/>
      <c r="LB294" s="1"/>
      <c r="LC294" s="1"/>
      <c r="LD294" s="1"/>
      <c r="LE294" s="1"/>
      <c r="LF294" s="1"/>
      <c r="LG294" s="1"/>
      <c r="LH294" s="1"/>
      <c r="LI294" s="1"/>
      <c r="LJ294" s="1"/>
      <c r="LK294" s="1"/>
      <c r="LL294" s="1"/>
      <c r="LM294" s="1"/>
      <c r="LN294" s="1"/>
      <c r="LO294" s="1"/>
      <c r="LP294" s="1"/>
      <c r="LQ294" s="1"/>
      <c r="LR294" s="1"/>
      <c r="LS294" s="1"/>
    </row>
    <row r="295" spans="1:331" s="3" customFormat="1" x14ac:dyDescent="0.25">
      <c r="A295" s="3" t="s">
        <v>1210</v>
      </c>
      <c r="B295" s="5" t="s">
        <v>1211</v>
      </c>
      <c r="C295" s="13" t="s">
        <v>2075</v>
      </c>
      <c r="D295" s="3">
        <v>0</v>
      </c>
      <c r="H295" s="3" t="s">
        <v>245</v>
      </c>
      <c r="I295" s="3" t="s">
        <v>245</v>
      </c>
      <c r="J295" s="3" t="s">
        <v>1212</v>
      </c>
      <c r="K295" s="3" t="s">
        <v>245</v>
      </c>
      <c r="L295" s="3">
        <v>1</v>
      </c>
      <c r="M295" s="3" t="s">
        <v>1213</v>
      </c>
      <c r="O295" s="3">
        <v>0</v>
      </c>
      <c r="Q295" s="1" t="s">
        <v>1654</v>
      </c>
      <c r="R295" s="1"/>
      <c r="T295" s="3">
        <v>10</v>
      </c>
      <c r="V295" s="3">
        <v>13</v>
      </c>
      <c r="W295" s="1">
        <v>10</v>
      </c>
      <c r="X295" s="1">
        <v>16</v>
      </c>
      <c r="Y295" s="1" t="s">
        <v>2418</v>
      </c>
      <c r="Z295" s="3">
        <v>1</v>
      </c>
      <c r="AA295" s="1" t="b">
        <v>1</v>
      </c>
      <c r="AB295" s="1"/>
      <c r="AC295" s="57" t="s">
        <v>1317</v>
      </c>
      <c r="AD295" s="1" t="b">
        <v>1</v>
      </c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  <c r="IW295" s="1"/>
      <c r="IX295" s="1"/>
      <c r="IY295" s="1"/>
      <c r="IZ295" s="1"/>
      <c r="JA295" s="1"/>
      <c r="JB295" s="1"/>
      <c r="JC295" s="1"/>
      <c r="JD295" s="1"/>
      <c r="JE295" s="1"/>
      <c r="JF295" s="1"/>
      <c r="JG295" s="1"/>
      <c r="JH295" s="1"/>
      <c r="JI295" s="1"/>
      <c r="JJ295" s="1"/>
      <c r="JK295" s="1"/>
      <c r="JL295" s="1"/>
      <c r="JM295" s="1"/>
      <c r="JN295" s="1"/>
      <c r="JO295" s="1"/>
      <c r="JP295" s="1"/>
      <c r="JQ295" s="1"/>
      <c r="JR295" s="1"/>
      <c r="JS295" s="1"/>
      <c r="JT295" s="1"/>
      <c r="JU295" s="1"/>
      <c r="JV295" s="1"/>
      <c r="JW295" s="1"/>
      <c r="JX295" s="1"/>
      <c r="JY295" s="1"/>
      <c r="JZ295" s="1"/>
      <c r="KA295" s="1"/>
      <c r="KB295" s="1"/>
      <c r="KC295" s="1"/>
      <c r="KD295" s="1"/>
      <c r="KE295" s="1"/>
      <c r="KF295" s="1"/>
      <c r="KG295" s="1"/>
      <c r="KH295" s="1"/>
      <c r="KI295" s="1"/>
      <c r="KJ295" s="1"/>
      <c r="KK295" s="1"/>
      <c r="KL295" s="1"/>
      <c r="KM295" s="1"/>
      <c r="KN295" s="1"/>
      <c r="KO295" s="1"/>
      <c r="KP295" s="1"/>
      <c r="KQ295" s="1"/>
      <c r="KR295" s="1"/>
      <c r="KS295" s="1"/>
      <c r="KT295" s="1"/>
      <c r="KU295" s="1"/>
      <c r="KV295" s="1"/>
      <c r="KW295" s="1"/>
      <c r="KX295" s="1"/>
      <c r="KY295" s="1"/>
      <c r="KZ295" s="1"/>
      <c r="LA295" s="1"/>
      <c r="LB295" s="1"/>
      <c r="LC295" s="1"/>
      <c r="LD295" s="1"/>
      <c r="LE295" s="1"/>
      <c r="LF295" s="1"/>
      <c r="LG295" s="1"/>
      <c r="LH295" s="1"/>
      <c r="LI295" s="1"/>
      <c r="LJ295" s="1"/>
      <c r="LK295" s="1"/>
      <c r="LL295" s="1"/>
      <c r="LM295" s="1"/>
      <c r="LN295" s="1"/>
      <c r="LO295" s="1"/>
      <c r="LP295" s="1"/>
      <c r="LQ295" s="1"/>
      <c r="LR295" s="1"/>
      <c r="LS295" s="1"/>
    </row>
    <row r="296" spans="1:331" s="3" customFormat="1" x14ac:dyDescent="0.25">
      <c r="A296" s="3" t="s">
        <v>1214</v>
      </c>
      <c r="B296" s="5" t="s">
        <v>1215</v>
      </c>
      <c r="C296" s="13" t="s">
        <v>2075</v>
      </c>
      <c r="D296" s="3">
        <v>0</v>
      </c>
      <c r="H296" s="3" t="s">
        <v>1216</v>
      </c>
      <c r="I296" s="3" t="s">
        <v>1216</v>
      </c>
      <c r="J296" s="3" t="s">
        <v>1217</v>
      </c>
      <c r="K296" s="3" t="s">
        <v>1216</v>
      </c>
      <c r="L296" s="3">
        <v>1</v>
      </c>
      <c r="M296" s="3" t="s">
        <v>1103</v>
      </c>
      <c r="O296" s="3">
        <v>1</v>
      </c>
      <c r="P296" s="3" t="s">
        <v>1218</v>
      </c>
      <c r="Q296" s="1" t="s">
        <v>1655</v>
      </c>
      <c r="R296" s="1"/>
      <c r="S296" s="3">
        <v>10</v>
      </c>
      <c r="U296" s="3">
        <v>10</v>
      </c>
      <c r="W296" s="1">
        <v>10</v>
      </c>
      <c r="X296" s="1">
        <v>15</v>
      </c>
      <c r="Y296" s="1" t="s">
        <v>2419</v>
      </c>
      <c r="Z296" s="3">
        <v>1</v>
      </c>
      <c r="AA296" s="1" t="b">
        <v>1</v>
      </c>
      <c r="AB296" s="1"/>
      <c r="AC296" s="57" t="s">
        <v>1480</v>
      </c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  <c r="IX296" s="1"/>
      <c r="IY296" s="1"/>
      <c r="IZ296" s="1"/>
      <c r="JA296" s="1"/>
      <c r="JB296" s="1"/>
      <c r="JC296" s="1"/>
      <c r="JD296" s="1"/>
      <c r="JE296" s="1"/>
      <c r="JF296" s="1"/>
      <c r="JG296" s="1"/>
      <c r="JH296" s="1"/>
      <c r="JI296" s="1"/>
      <c r="JJ296" s="1"/>
      <c r="JK296" s="1"/>
      <c r="JL296" s="1"/>
      <c r="JM296" s="1"/>
      <c r="JN296" s="1"/>
      <c r="JO296" s="1"/>
      <c r="JP296" s="1"/>
      <c r="JQ296" s="1"/>
      <c r="JR296" s="1"/>
      <c r="JS296" s="1"/>
      <c r="JT296" s="1"/>
      <c r="JU296" s="1"/>
      <c r="JV296" s="1"/>
      <c r="JW296" s="1"/>
      <c r="JX296" s="1"/>
      <c r="JY296" s="1"/>
      <c r="JZ296" s="1"/>
      <c r="KA296" s="1"/>
      <c r="KB296" s="1"/>
      <c r="KC296" s="1"/>
      <c r="KD296" s="1"/>
      <c r="KE296" s="1"/>
      <c r="KF296" s="1"/>
      <c r="KG296" s="1"/>
      <c r="KH296" s="1"/>
      <c r="KI296" s="1"/>
      <c r="KJ296" s="1"/>
      <c r="KK296" s="1"/>
      <c r="KL296" s="1"/>
      <c r="KM296" s="1"/>
      <c r="KN296" s="1"/>
      <c r="KO296" s="1"/>
      <c r="KP296" s="1"/>
      <c r="KQ296" s="1"/>
      <c r="KR296" s="1"/>
      <c r="KS296" s="1"/>
      <c r="KT296" s="1"/>
      <c r="KU296" s="1"/>
      <c r="KV296" s="1"/>
      <c r="KW296" s="1"/>
      <c r="KX296" s="1"/>
      <c r="KY296" s="1"/>
      <c r="KZ296" s="1"/>
      <c r="LA296" s="1"/>
      <c r="LB296" s="1"/>
      <c r="LC296" s="1"/>
      <c r="LD296" s="1"/>
      <c r="LE296" s="1"/>
      <c r="LF296" s="1"/>
      <c r="LG296" s="1"/>
      <c r="LH296" s="1"/>
      <c r="LI296" s="1"/>
      <c r="LJ296" s="1"/>
      <c r="LK296" s="1"/>
      <c r="LL296" s="1"/>
      <c r="LM296" s="1"/>
      <c r="LN296" s="1"/>
      <c r="LO296" s="1"/>
      <c r="LP296" s="1"/>
      <c r="LQ296" s="1"/>
      <c r="LR296" s="1"/>
      <c r="LS296" s="1"/>
    </row>
    <row r="297" spans="1:331" s="3" customFormat="1" x14ac:dyDescent="0.25">
      <c r="A297" s="3" t="s">
        <v>1219</v>
      </c>
      <c r="B297" s="5" t="s">
        <v>1220</v>
      </c>
      <c r="C297" s="13" t="s">
        <v>2075</v>
      </c>
      <c r="D297" s="3">
        <v>0</v>
      </c>
      <c r="H297" s="3" t="s">
        <v>1221</v>
      </c>
      <c r="I297" s="3" t="s">
        <v>1221</v>
      </c>
      <c r="J297" s="3" t="s">
        <v>1221</v>
      </c>
      <c r="K297" s="3" t="s">
        <v>1221</v>
      </c>
      <c r="L297" s="3">
        <v>1</v>
      </c>
      <c r="M297" s="3" t="s">
        <v>1222</v>
      </c>
      <c r="O297" s="3">
        <v>0</v>
      </c>
      <c r="Q297" s="1" t="s">
        <v>1656</v>
      </c>
      <c r="R297" s="1"/>
      <c r="S297" s="3">
        <v>7</v>
      </c>
      <c r="U297" s="3">
        <v>12</v>
      </c>
      <c r="W297" s="1">
        <v>7</v>
      </c>
      <c r="X297" s="1">
        <v>13</v>
      </c>
      <c r="Y297" s="1" t="s">
        <v>2420</v>
      </c>
      <c r="Z297" s="3">
        <v>1</v>
      </c>
      <c r="AA297" s="1" t="b">
        <v>1</v>
      </c>
      <c r="AB297" s="1"/>
      <c r="AC297" s="57" t="s">
        <v>1405</v>
      </c>
      <c r="AD297" s="1" t="b">
        <v>1</v>
      </c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  <c r="IX297" s="1"/>
      <c r="IY297" s="1"/>
      <c r="IZ297" s="1"/>
      <c r="JA297" s="1"/>
      <c r="JB297" s="1"/>
      <c r="JC297" s="1"/>
      <c r="JD297" s="1"/>
      <c r="JE297" s="1"/>
      <c r="JF297" s="1"/>
      <c r="JG297" s="1"/>
      <c r="JH297" s="1"/>
      <c r="JI297" s="1"/>
      <c r="JJ297" s="1"/>
      <c r="JK297" s="1"/>
      <c r="JL297" s="1"/>
      <c r="JM297" s="1"/>
      <c r="JN297" s="1"/>
      <c r="JO297" s="1"/>
      <c r="JP297" s="1"/>
      <c r="JQ297" s="1"/>
      <c r="JR297" s="1"/>
      <c r="JS297" s="1"/>
      <c r="JT297" s="1"/>
      <c r="JU297" s="1"/>
      <c r="JV297" s="1"/>
      <c r="JW297" s="1"/>
      <c r="JX297" s="1"/>
      <c r="JY297" s="1"/>
      <c r="JZ297" s="1"/>
      <c r="KA297" s="1"/>
      <c r="KB297" s="1"/>
      <c r="KC297" s="1"/>
      <c r="KD297" s="1"/>
      <c r="KE297" s="1"/>
      <c r="KF297" s="1"/>
      <c r="KG297" s="1"/>
      <c r="KH297" s="1"/>
      <c r="KI297" s="1"/>
      <c r="KJ297" s="1"/>
      <c r="KK297" s="1"/>
      <c r="KL297" s="1"/>
      <c r="KM297" s="1"/>
      <c r="KN297" s="1"/>
      <c r="KO297" s="1"/>
      <c r="KP297" s="1"/>
      <c r="KQ297" s="1"/>
      <c r="KR297" s="1"/>
      <c r="KS297" s="1"/>
      <c r="KT297" s="1"/>
      <c r="KU297" s="1"/>
      <c r="KV297" s="1"/>
      <c r="KW297" s="1"/>
      <c r="KX297" s="1"/>
      <c r="KY297" s="1"/>
      <c r="KZ297" s="1"/>
      <c r="LA297" s="1"/>
      <c r="LB297" s="1"/>
      <c r="LC297" s="1"/>
      <c r="LD297" s="1"/>
      <c r="LE297" s="1"/>
      <c r="LF297" s="1"/>
      <c r="LG297" s="1"/>
      <c r="LH297" s="1"/>
      <c r="LI297" s="1"/>
      <c r="LJ297" s="1"/>
      <c r="LK297" s="1"/>
      <c r="LL297" s="1"/>
      <c r="LM297" s="1"/>
      <c r="LN297" s="1"/>
      <c r="LO297" s="1"/>
      <c r="LP297" s="1"/>
      <c r="LQ297" s="1"/>
      <c r="LR297" s="1"/>
      <c r="LS297" s="1"/>
    </row>
    <row r="298" spans="1:331" s="59" customFormat="1" x14ac:dyDescent="0.25">
      <c r="A298" s="59" t="s">
        <v>1223</v>
      </c>
      <c r="B298" s="61" t="s">
        <v>1142</v>
      </c>
      <c r="C298" s="13" t="s">
        <v>2075</v>
      </c>
      <c r="D298" s="59">
        <v>0</v>
      </c>
      <c r="H298" s="59" t="s">
        <v>1224</v>
      </c>
      <c r="I298" s="59" t="s">
        <v>1224</v>
      </c>
      <c r="J298" s="59" t="s">
        <v>1225</v>
      </c>
      <c r="K298" s="59" t="s">
        <v>2141</v>
      </c>
      <c r="L298" s="59">
        <v>2</v>
      </c>
      <c r="M298" s="59" t="s">
        <v>1226</v>
      </c>
      <c r="N298" s="59" t="s">
        <v>1227</v>
      </c>
      <c r="O298" s="59">
        <v>1</v>
      </c>
      <c r="Q298" s="1"/>
      <c r="R298" s="1" t="s">
        <v>1146</v>
      </c>
      <c r="S298" s="59">
        <v>36</v>
      </c>
      <c r="W298" s="1">
        <v>36</v>
      </c>
      <c r="X298" s="1"/>
      <c r="Y298" s="1"/>
      <c r="Z298" s="59">
        <v>11</v>
      </c>
      <c r="AA298" s="1" t="b">
        <v>1</v>
      </c>
      <c r="AB298" s="1"/>
      <c r="AC298" s="57" t="s">
        <v>1406</v>
      </c>
      <c r="AD298" s="1" t="b">
        <v>1</v>
      </c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  <c r="IX298" s="1"/>
      <c r="IY298" s="1"/>
      <c r="IZ298" s="1"/>
      <c r="JA298" s="1"/>
      <c r="JB298" s="1"/>
      <c r="JC298" s="1"/>
      <c r="JD298" s="1"/>
      <c r="JE298" s="1"/>
      <c r="JF298" s="1"/>
      <c r="JG298" s="1"/>
      <c r="JH298" s="1"/>
      <c r="JI298" s="1"/>
      <c r="JJ298" s="1"/>
      <c r="JK298" s="1"/>
      <c r="JL298" s="1"/>
      <c r="JM298" s="1"/>
      <c r="JN298" s="1"/>
      <c r="JO298" s="1"/>
      <c r="JP298" s="1"/>
      <c r="JQ298" s="1"/>
      <c r="JR298" s="1"/>
      <c r="JS298" s="1"/>
      <c r="JT298" s="1"/>
      <c r="JU298" s="1"/>
      <c r="JV298" s="1"/>
      <c r="JW298" s="1"/>
      <c r="JX298" s="1"/>
      <c r="JY298" s="1"/>
      <c r="JZ298" s="1"/>
      <c r="KA298" s="1"/>
      <c r="KB298" s="1"/>
      <c r="KC298" s="1"/>
      <c r="KD298" s="1"/>
      <c r="KE298" s="1"/>
      <c r="KF298" s="1"/>
      <c r="KG298" s="1"/>
      <c r="KH298" s="1"/>
      <c r="KI298" s="1"/>
      <c r="KJ298" s="1"/>
      <c r="KK298" s="1"/>
      <c r="KL298" s="1"/>
      <c r="KM298" s="1"/>
      <c r="KN298" s="1"/>
      <c r="KO298" s="1"/>
      <c r="KP298" s="1"/>
      <c r="KQ298" s="1"/>
      <c r="KR298" s="1"/>
      <c r="KS298" s="1"/>
      <c r="KT298" s="1"/>
      <c r="KU298" s="1"/>
      <c r="KV298" s="1"/>
      <c r="KW298" s="1"/>
      <c r="KX298" s="1"/>
      <c r="KY298" s="1"/>
      <c r="KZ298" s="1"/>
      <c r="LA298" s="1"/>
      <c r="LB298" s="1"/>
      <c r="LC298" s="1"/>
      <c r="LD298" s="1"/>
      <c r="LE298" s="1"/>
      <c r="LF298" s="1"/>
      <c r="LG298" s="1"/>
      <c r="LH298" s="1"/>
      <c r="LI298" s="1"/>
      <c r="LJ298" s="1"/>
      <c r="LK298" s="1"/>
      <c r="LL298" s="1"/>
      <c r="LM298" s="1"/>
      <c r="LN298" s="1"/>
      <c r="LO298" s="1"/>
      <c r="LP298" s="1"/>
      <c r="LQ298" s="1"/>
      <c r="LR298" s="1"/>
      <c r="LS298" s="1"/>
    </row>
    <row r="299" spans="1:331" s="3" customFormat="1" x14ac:dyDescent="0.25">
      <c r="A299" s="3" t="s">
        <v>1228</v>
      </c>
      <c r="B299" s="5" t="s">
        <v>1229</v>
      </c>
      <c r="C299" s="13" t="s">
        <v>2075</v>
      </c>
      <c r="D299" s="3">
        <v>0</v>
      </c>
      <c r="H299" s="3" t="s">
        <v>1230</v>
      </c>
      <c r="I299" s="3" t="s">
        <v>1230</v>
      </c>
      <c r="J299" s="3" t="s">
        <v>1231</v>
      </c>
      <c r="K299" s="3" t="s">
        <v>1230</v>
      </c>
      <c r="L299" s="3">
        <v>1</v>
      </c>
      <c r="M299" s="3" t="s">
        <v>1232</v>
      </c>
      <c r="O299" s="3">
        <v>1</v>
      </c>
      <c r="P299" s="3" t="s">
        <v>1233</v>
      </c>
      <c r="Q299" s="1" t="s">
        <v>1657</v>
      </c>
      <c r="R299" s="1"/>
      <c r="S299" s="3">
        <v>8</v>
      </c>
      <c r="U299" s="3">
        <v>10</v>
      </c>
      <c r="W299" s="1">
        <v>8</v>
      </c>
      <c r="X299" s="1">
        <v>11</v>
      </c>
      <c r="Y299" s="1" t="s">
        <v>2421</v>
      </c>
      <c r="Z299" s="3">
        <v>1</v>
      </c>
      <c r="AA299" s="1" t="b">
        <v>1</v>
      </c>
      <c r="AB299" s="1"/>
      <c r="AC299" s="57" t="s">
        <v>1407</v>
      </c>
      <c r="AD299" s="1" t="b">
        <v>1</v>
      </c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  <c r="IX299" s="1"/>
      <c r="IY299" s="1"/>
      <c r="IZ299" s="1"/>
      <c r="JA299" s="1"/>
      <c r="JB299" s="1"/>
      <c r="JC299" s="1"/>
      <c r="JD299" s="1"/>
      <c r="JE299" s="1"/>
      <c r="JF299" s="1"/>
      <c r="JG299" s="1"/>
      <c r="JH299" s="1"/>
      <c r="JI299" s="1"/>
      <c r="JJ299" s="1"/>
      <c r="JK299" s="1"/>
      <c r="JL299" s="1"/>
      <c r="JM299" s="1"/>
      <c r="JN299" s="1"/>
      <c r="JO299" s="1"/>
      <c r="JP299" s="1"/>
      <c r="JQ299" s="1"/>
      <c r="JR299" s="1"/>
      <c r="JS299" s="1"/>
      <c r="JT299" s="1"/>
      <c r="JU299" s="1"/>
      <c r="JV299" s="1"/>
      <c r="JW299" s="1"/>
      <c r="JX299" s="1"/>
      <c r="JY299" s="1"/>
      <c r="JZ299" s="1"/>
      <c r="KA299" s="1"/>
      <c r="KB299" s="1"/>
      <c r="KC299" s="1"/>
      <c r="KD299" s="1"/>
      <c r="KE299" s="1"/>
      <c r="KF299" s="1"/>
      <c r="KG299" s="1"/>
      <c r="KH299" s="1"/>
      <c r="KI299" s="1"/>
      <c r="KJ299" s="1"/>
      <c r="KK299" s="1"/>
      <c r="KL299" s="1"/>
      <c r="KM299" s="1"/>
      <c r="KN299" s="1"/>
      <c r="KO299" s="1"/>
      <c r="KP299" s="1"/>
      <c r="KQ299" s="1"/>
      <c r="KR299" s="1"/>
      <c r="KS299" s="1"/>
      <c r="KT299" s="1"/>
      <c r="KU299" s="1"/>
      <c r="KV299" s="1"/>
      <c r="KW299" s="1"/>
      <c r="KX299" s="1"/>
      <c r="KY299" s="1"/>
      <c r="KZ299" s="1"/>
      <c r="LA299" s="1"/>
      <c r="LB299" s="1"/>
      <c r="LC299" s="1"/>
      <c r="LD299" s="1"/>
      <c r="LE299" s="1"/>
      <c r="LF299" s="1"/>
      <c r="LG299" s="1"/>
      <c r="LH299" s="1"/>
      <c r="LI299" s="1"/>
      <c r="LJ299" s="1"/>
      <c r="LK299" s="1"/>
      <c r="LL299" s="1"/>
      <c r="LM299" s="1"/>
      <c r="LN299" s="1"/>
      <c r="LO299" s="1"/>
      <c r="LP299" s="1"/>
      <c r="LQ299" s="1"/>
      <c r="LR299" s="1"/>
      <c r="LS299" s="1"/>
    </row>
    <row r="300" spans="1:331" s="45" customFormat="1" x14ac:dyDescent="0.25">
      <c r="A300" s="45" t="s">
        <v>264</v>
      </c>
      <c r="C300" s="45" t="s">
        <v>2575</v>
      </c>
      <c r="AA300" s="45" t="b">
        <v>0</v>
      </c>
      <c r="AC300" s="84" t="s">
        <v>2576</v>
      </c>
    </row>
    <row r="301" spans="1:331" x14ac:dyDescent="0.25">
      <c r="A301" s="1" t="s">
        <v>2539</v>
      </c>
      <c r="B301" s="1"/>
      <c r="C301" s="1" t="s">
        <v>2575</v>
      </c>
      <c r="D301" s="1">
        <v>1</v>
      </c>
      <c r="E301" s="1" t="s">
        <v>706</v>
      </c>
      <c r="H301" s="1" t="s">
        <v>706</v>
      </c>
      <c r="I301" s="1" t="s">
        <v>706</v>
      </c>
      <c r="J301" s="1" t="s">
        <v>706</v>
      </c>
      <c r="K301" s="1" t="s">
        <v>706</v>
      </c>
      <c r="L301" s="1">
        <v>1</v>
      </c>
      <c r="M301" s="1" t="s">
        <v>702</v>
      </c>
      <c r="O301" s="1">
        <v>1</v>
      </c>
      <c r="P301" s="1" t="s">
        <v>702</v>
      </c>
      <c r="R301" s="1" t="s">
        <v>706</v>
      </c>
      <c r="T301" s="1">
        <v>37</v>
      </c>
    </row>
    <row r="302" spans="1:331" x14ac:dyDescent="0.25">
      <c r="A302" s="1" t="s">
        <v>2540</v>
      </c>
      <c r="B302" s="1"/>
      <c r="C302" s="1" t="s">
        <v>2575</v>
      </c>
      <c r="D302" s="1">
        <v>0</v>
      </c>
      <c r="H302" s="1" t="s">
        <v>706</v>
      </c>
      <c r="I302" s="1" t="s">
        <v>137</v>
      </c>
      <c r="L302" s="1">
        <v>2</v>
      </c>
      <c r="M302" s="1" t="s">
        <v>699</v>
      </c>
      <c r="N302" s="1" t="s">
        <v>699</v>
      </c>
      <c r="O302" s="1">
        <v>1</v>
      </c>
      <c r="Q302" s="1" t="s">
        <v>1344</v>
      </c>
    </row>
    <row r="303" spans="1:331" x14ac:dyDescent="0.25">
      <c r="A303" s="1" t="s">
        <v>2541</v>
      </c>
      <c r="B303" s="1"/>
      <c r="C303" s="1" t="s">
        <v>2575</v>
      </c>
      <c r="D303" s="1">
        <v>1</v>
      </c>
      <c r="E303" s="1" t="s">
        <v>1594</v>
      </c>
      <c r="H303" s="1" t="s">
        <v>723</v>
      </c>
      <c r="I303" s="1" t="s">
        <v>1594</v>
      </c>
      <c r="J303" s="1" t="s">
        <v>723</v>
      </c>
      <c r="K303" s="1" t="s">
        <v>1594</v>
      </c>
      <c r="L303" s="1">
        <v>0</v>
      </c>
      <c r="O303" s="1">
        <v>0</v>
      </c>
      <c r="R303" s="1" t="s">
        <v>2542</v>
      </c>
    </row>
    <row r="304" spans="1:331" x14ac:dyDescent="0.25">
      <c r="A304" s="1" t="s">
        <v>2543</v>
      </c>
      <c r="B304" s="1"/>
      <c r="C304" s="1" t="s">
        <v>2575</v>
      </c>
      <c r="D304" s="1">
        <v>1</v>
      </c>
      <c r="E304" s="1" t="s">
        <v>2544</v>
      </c>
      <c r="H304" s="1" t="s">
        <v>2544</v>
      </c>
      <c r="I304" s="1" t="s">
        <v>2544</v>
      </c>
      <c r="J304" s="1" t="s">
        <v>2545</v>
      </c>
      <c r="K304" s="1" t="s">
        <v>2544</v>
      </c>
      <c r="L304" s="1">
        <v>1</v>
      </c>
      <c r="M304" s="1" t="s">
        <v>2546</v>
      </c>
      <c r="O304" s="1">
        <v>1</v>
      </c>
      <c r="P304" s="1" t="s">
        <v>2547</v>
      </c>
      <c r="R304" s="1" t="s">
        <v>2548</v>
      </c>
    </row>
    <row r="305" spans="1:29" x14ac:dyDescent="0.25">
      <c r="A305" s="1" t="s">
        <v>2549</v>
      </c>
      <c r="B305" s="1"/>
      <c r="C305" s="1" t="s">
        <v>2575</v>
      </c>
      <c r="D305" s="1">
        <v>0</v>
      </c>
      <c r="H305" s="1" t="s">
        <v>1542</v>
      </c>
      <c r="I305" s="1" t="s">
        <v>1596</v>
      </c>
      <c r="J305" s="1" t="s">
        <v>1541</v>
      </c>
      <c r="K305" s="1" t="s">
        <v>1596</v>
      </c>
      <c r="L305" s="1">
        <v>3</v>
      </c>
      <c r="M305" s="1" t="s">
        <v>2550</v>
      </c>
      <c r="N305" s="1" t="s">
        <v>2547</v>
      </c>
      <c r="O305" s="1">
        <v>1</v>
      </c>
      <c r="P305" s="1" t="s">
        <v>2551</v>
      </c>
      <c r="R305" s="1" t="s">
        <v>2552</v>
      </c>
      <c r="S305" s="1">
        <v>11</v>
      </c>
    </row>
    <row r="306" spans="1:29" x14ac:dyDescent="0.25">
      <c r="A306" s="1" t="s">
        <v>2553</v>
      </c>
      <c r="B306" s="1"/>
      <c r="C306" s="1" t="s">
        <v>2575</v>
      </c>
      <c r="D306" s="1">
        <v>1</v>
      </c>
      <c r="E306" s="1" t="s">
        <v>1541</v>
      </c>
      <c r="H306" s="1" t="s">
        <v>2542</v>
      </c>
      <c r="I306" s="1" t="s">
        <v>1541</v>
      </c>
      <c r="J306" s="1" t="s">
        <v>2554</v>
      </c>
      <c r="K306" s="1" t="s">
        <v>2542</v>
      </c>
      <c r="L306" s="1">
        <v>1</v>
      </c>
      <c r="M306" s="1" t="s">
        <v>2555</v>
      </c>
      <c r="O306" s="1">
        <v>1</v>
      </c>
      <c r="R306" s="1" t="s">
        <v>2556</v>
      </c>
    </row>
    <row r="307" spans="1:29" x14ac:dyDescent="0.25">
      <c r="A307" s="1" t="s">
        <v>2557</v>
      </c>
      <c r="B307" s="1"/>
      <c r="C307" s="1" t="s">
        <v>2575</v>
      </c>
      <c r="D307" s="1">
        <v>1</v>
      </c>
      <c r="E307" s="1" t="s">
        <v>2558</v>
      </c>
      <c r="H307" s="1" t="s">
        <v>2554</v>
      </c>
      <c r="I307" s="1" t="s">
        <v>2559</v>
      </c>
      <c r="J307" s="1" t="s">
        <v>2558</v>
      </c>
      <c r="K307" s="1" t="s">
        <v>2559</v>
      </c>
      <c r="L307" s="1">
        <v>0</v>
      </c>
      <c r="O307" s="1">
        <v>1</v>
      </c>
      <c r="P307" s="1" t="s">
        <v>2560</v>
      </c>
      <c r="R307" s="1" t="s">
        <v>2554</v>
      </c>
      <c r="S307" s="1">
        <v>10</v>
      </c>
    </row>
    <row r="308" spans="1:29" x14ac:dyDescent="0.25">
      <c r="A308" s="1" t="s">
        <v>2561</v>
      </c>
      <c r="B308" s="1"/>
      <c r="C308" s="1" t="s">
        <v>2575</v>
      </c>
      <c r="D308" s="1">
        <v>0</v>
      </c>
      <c r="H308" s="1" t="s">
        <v>2562</v>
      </c>
      <c r="I308" s="1" t="s">
        <v>1568</v>
      </c>
      <c r="J308" s="1" t="s">
        <v>2562</v>
      </c>
      <c r="K308" s="1" t="s">
        <v>124</v>
      </c>
      <c r="L308" s="1">
        <v>0</v>
      </c>
      <c r="O308" s="1">
        <v>1</v>
      </c>
      <c r="P308" s="1" t="s">
        <v>1588</v>
      </c>
      <c r="R308" s="1" t="s">
        <v>2563</v>
      </c>
      <c r="T308" s="1">
        <v>20</v>
      </c>
    </row>
    <row r="309" spans="1:29" x14ac:dyDescent="0.25">
      <c r="A309" s="1" t="s">
        <v>2564</v>
      </c>
      <c r="B309" s="1"/>
      <c r="C309" s="1" t="s">
        <v>2575</v>
      </c>
      <c r="D309" s="1">
        <v>0</v>
      </c>
      <c r="H309" s="1" t="s">
        <v>2565</v>
      </c>
      <c r="I309" s="1" t="s">
        <v>2565</v>
      </c>
      <c r="J309" s="1" t="s">
        <v>2566</v>
      </c>
      <c r="K309" s="1" t="s">
        <v>2565</v>
      </c>
      <c r="L309" s="1">
        <v>0</v>
      </c>
      <c r="O309" s="1">
        <v>1</v>
      </c>
      <c r="P309" s="1" t="s">
        <v>2567</v>
      </c>
      <c r="Q309" s="1" t="s">
        <v>2567</v>
      </c>
    </row>
    <row r="310" spans="1:29" x14ac:dyDescent="0.25">
      <c r="A310" s="1" t="s">
        <v>2568</v>
      </c>
      <c r="B310" s="1"/>
      <c r="C310" s="1" t="s">
        <v>2575</v>
      </c>
      <c r="D310" s="1">
        <v>0</v>
      </c>
      <c r="H310" s="1" t="s">
        <v>2569</v>
      </c>
      <c r="I310" s="1" t="s">
        <v>2551</v>
      </c>
      <c r="J310" s="1" t="s">
        <v>2566</v>
      </c>
      <c r="K310" s="1" t="s">
        <v>2569</v>
      </c>
      <c r="L310" s="1">
        <v>0</v>
      </c>
      <c r="O310" s="1">
        <v>1</v>
      </c>
      <c r="P310" s="1" t="s">
        <v>2570</v>
      </c>
      <c r="R310" s="1" t="s">
        <v>2571</v>
      </c>
      <c r="S310" s="1">
        <v>20</v>
      </c>
    </row>
    <row r="311" spans="1:29" x14ac:dyDescent="0.25">
      <c r="A311" s="1" t="s">
        <v>2572</v>
      </c>
      <c r="B311" s="1"/>
      <c r="C311" s="1" t="s">
        <v>2575</v>
      </c>
      <c r="D311" s="1">
        <v>0</v>
      </c>
      <c r="H311" s="1" t="s">
        <v>2573</v>
      </c>
      <c r="I311" s="1" t="s">
        <v>2573</v>
      </c>
      <c r="J311" s="1" t="s">
        <v>2551</v>
      </c>
      <c r="K311" s="1" t="s">
        <v>2573</v>
      </c>
      <c r="L311" s="1">
        <v>0</v>
      </c>
      <c r="O311" s="1">
        <v>1</v>
      </c>
      <c r="Q311" s="1" t="s">
        <v>2574</v>
      </c>
      <c r="S311" s="1">
        <v>6</v>
      </c>
    </row>
    <row r="312" spans="1:29" s="25" customFormat="1" x14ac:dyDescent="0.25">
      <c r="A312" s="25">
        <v>1369</v>
      </c>
      <c r="B312" s="29">
        <v>583232</v>
      </c>
      <c r="C312" s="1" t="s">
        <v>2076</v>
      </c>
      <c r="D312" s="25">
        <v>0</v>
      </c>
      <c r="H312" s="25" t="s">
        <v>1849</v>
      </c>
      <c r="I312" s="25" t="s">
        <v>1755</v>
      </c>
      <c r="J312" s="25" t="s">
        <v>1686</v>
      </c>
      <c r="L312" s="25">
        <v>0</v>
      </c>
      <c r="O312" s="25">
        <v>0</v>
      </c>
      <c r="Q312" s="25" t="s">
        <v>1953</v>
      </c>
      <c r="S312" s="25">
        <v>14</v>
      </c>
      <c r="U312" s="25">
        <v>14</v>
      </c>
      <c r="W312" s="25">
        <v>14</v>
      </c>
      <c r="X312" s="1">
        <v>9</v>
      </c>
      <c r="Y312" s="1" t="s">
        <v>2452</v>
      </c>
      <c r="Z312" s="25">
        <v>5</v>
      </c>
      <c r="AC312" s="28"/>
    </row>
    <row r="313" spans="1:29" s="83" customFormat="1" x14ac:dyDescent="0.25">
      <c r="A313" s="1">
        <v>1358</v>
      </c>
      <c r="B313" s="13">
        <v>570657</v>
      </c>
      <c r="C313" s="1" t="s">
        <v>2076</v>
      </c>
      <c r="D313" s="1">
        <v>0</v>
      </c>
      <c r="H313" s="1" t="s">
        <v>1850</v>
      </c>
      <c r="I313" s="1" t="s">
        <v>1756</v>
      </c>
      <c r="J313" s="2" t="s">
        <v>1687</v>
      </c>
      <c r="K313" s="2"/>
      <c r="L313" s="1" t="s">
        <v>1928</v>
      </c>
      <c r="O313" s="1">
        <v>1</v>
      </c>
      <c r="P313" s="1" t="s">
        <v>2009</v>
      </c>
      <c r="Q313" s="1"/>
      <c r="R313" s="1" t="s">
        <v>2042</v>
      </c>
      <c r="S313" s="1"/>
      <c r="T313" s="1">
        <v>17</v>
      </c>
      <c r="U313" s="1"/>
      <c r="V313" s="1"/>
      <c r="W313" s="1">
        <v>17</v>
      </c>
      <c r="X313" s="1">
        <v>21</v>
      </c>
      <c r="Y313" s="1" t="s">
        <v>2453</v>
      </c>
      <c r="Z313" s="1"/>
      <c r="AA313" s="1"/>
      <c r="AB313" s="1"/>
      <c r="AC313" s="57" t="s">
        <v>2149</v>
      </c>
    </row>
    <row r="314" spans="1:29" s="45" customFormat="1" x14ac:dyDescent="0.25">
      <c r="A314" s="45">
        <v>1340</v>
      </c>
      <c r="B314" s="47">
        <v>574915</v>
      </c>
      <c r="C314" s="1" t="s">
        <v>2076</v>
      </c>
      <c r="H314" s="45" t="s">
        <v>1851</v>
      </c>
      <c r="I314" s="45" t="s">
        <v>1757</v>
      </c>
      <c r="J314" s="45" t="s">
        <v>1095</v>
      </c>
      <c r="O314" s="45">
        <v>0</v>
      </c>
      <c r="P314" s="1"/>
      <c r="Q314" s="1" t="s">
        <v>1954</v>
      </c>
      <c r="R314" s="1"/>
      <c r="S314" s="45" t="s">
        <v>1920</v>
      </c>
      <c r="T314" s="45">
        <v>13</v>
      </c>
      <c r="W314" s="45">
        <v>13</v>
      </c>
      <c r="X314" s="1">
        <v>11</v>
      </c>
      <c r="Y314" s="1" t="s">
        <v>2454</v>
      </c>
      <c r="AC314" s="84" t="s">
        <v>1923</v>
      </c>
    </row>
    <row r="315" spans="1:29" s="49" customFormat="1" x14ac:dyDescent="0.25">
      <c r="A315" s="49">
        <v>1327</v>
      </c>
      <c r="B315" s="51">
        <v>574656</v>
      </c>
      <c r="C315" s="1" t="s">
        <v>2076</v>
      </c>
      <c r="D315" s="49">
        <v>0</v>
      </c>
      <c r="H315" s="49" t="s">
        <v>1670</v>
      </c>
      <c r="I315" s="49" t="s">
        <v>1758</v>
      </c>
      <c r="J315" s="49" t="s">
        <v>1688</v>
      </c>
      <c r="L315" s="49">
        <v>0</v>
      </c>
      <c r="O315" s="49">
        <v>0</v>
      </c>
      <c r="R315" s="49" t="s">
        <v>1688</v>
      </c>
      <c r="S315" s="49" t="s">
        <v>1920</v>
      </c>
      <c r="T315" s="49" t="s">
        <v>1920</v>
      </c>
      <c r="U315" s="49">
        <v>8</v>
      </c>
      <c r="W315" s="49">
        <v>8</v>
      </c>
      <c r="X315" s="1">
        <v>7</v>
      </c>
      <c r="Y315" s="1" t="s">
        <v>2455</v>
      </c>
      <c r="Z315" s="49">
        <v>9</v>
      </c>
      <c r="AC315" s="50" t="s">
        <v>1921</v>
      </c>
    </row>
    <row r="316" spans="1:29" s="25" customFormat="1" x14ac:dyDescent="0.25">
      <c r="A316" s="25">
        <v>1311</v>
      </c>
      <c r="B316" s="29">
        <v>570046</v>
      </c>
      <c r="C316" s="1" t="s">
        <v>2076</v>
      </c>
      <c r="D316" s="25">
        <v>0</v>
      </c>
      <c r="H316" s="25" t="s">
        <v>1852</v>
      </c>
      <c r="I316" s="25" t="s">
        <v>1759</v>
      </c>
      <c r="J316" s="25" t="s">
        <v>1689</v>
      </c>
      <c r="L316" s="25">
        <v>0</v>
      </c>
      <c r="O316" s="25">
        <v>0</v>
      </c>
      <c r="Q316" s="25" t="s">
        <v>1955</v>
      </c>
      <c r="T316" s="25">
        <v>8</v>
      </c>
      <c r="W316" s="25">
        <v>8</v>
      </c>
      <c r="X316" s="1">
        <v>13</v>
      </c>
      <c r="Y316" s="1" t="s">
        <v>2456</v>
      </c>
      <c r="Z316" s="25">
        <v>5</v>
      </c>
      <c r="AC316" s="28"/>
    </row>
    <row r="317" spans="1:29" s="45" customFormat="1" x14ac:dyDescent="0.25">
      <c r="A317" s="45">
        <v>1276</v>
      </c>
      <c r="B317" s="47">
        <v>561372</v>
      </c>
      <c r="C317" s="1" t="s">
        <v>2076</v>
      </c>
      <c r="D317" s="88">
        <v>41702</v>
      </c>
      <c r="H317" s="45" t="s">
        <v>1853</v>
      </c>
      <c r="I317" s="45" t="s">
        <v>1760</v>
      </c>
      <c r="J317" s="88">
        <v>41723</v>
      </c>
      <c r="O317" s="45">
        <v>1</v>
      </c>
      <c r="P317" s="1" t="s">
        <v>2010</v>
      </c>
      <c r="Q317" s="1" t="s">
        <v>1956</v>
      </c>
      <c r="R317" s="1"/>
      <c r="S317" s="45">
        <v>6</v>
      </c>
      <c r="T317" s="45">
        <v>9</v>
      </c>
      <c r="U317" s="45">
        <v>8</v>
      </c>
      <c r="W317" s="45">
        <v>8</v>
      </c>
      <c r="X317" s="1">
        <v>12</v>
      </c>
      <c r="Y317" s="1" t="s">
        <v>2457</v>
      </c>
      <c r="AC317" s="84" t="s">
        <v>2150</v>
      </c>
    </row>
    <row r="318" spans="1:29" x14ac:dyDescent="0.25">
      <c r="A318" s="1">
        <v>1265</v>
      </c>
      <c r="B318" s="13">
        <v>561771</v>
      </c>
      <c r="C318" s="1" t="s">
        <v>2076</v>
      </c>
      <c r="D318" s="1">
        <v>0</v>
      </c>
      <c r="H318" s="1" t="s">
        <v>1680</v>
      </c>
      <c r="I318" s="1" t="s">
        <v>1680</v>
      </c>
      <c r="J318" s="2" t="s">
        <v>1691</v>
      </c>
      <c r="K318" s="2"/>
      <c r="L318" s="1" t="s">
        <v>1928</v>
      </c>
      <c r="O318" s="1">
        <v>1</v>
      </c>
      <c r="P318" s="1" t="s">
        <v>1691</v>
      </c>
      <c r="Q318" s="1" t="s">
        <v>1957</v>
      </c>
      <c r="T318" s="1">
        <v>30</v>
      </c>
      <c r="W318" s="1">
        <v>30</v>
      </c>
      <c r="X318" s="1">
        <v>26</v>
      </c>
      <c r="Y318" s="1" t="s">
        <v>2458</v>
      </c>
      <c r="AC318" s="57" t="s">
        <v>2151</v>
      </c>
    </row>
    <row r="319" spans="1:29" x14ac:dyDescent="0.25">
      <c r="A319" s="1">
        <v>1258</v>
      </c>
      <c r="B319" s="13">
        <v>522703</v>
      </c>
      <c r="C319" s="1" t="s">
        <v>2076</v>
      </c>
      <c r="D319" s="1">
        <v>0</v>
      </c>
      <c r="E319" s="1" t="s">
        <v>1761</v>
      </c>
      <c r="H319" s="1" t="s">
        <v>1854</v>
      </c>
      <c r="I319" s="1" t="s">
        <v>1761</v>
      </c>
      <c r="J319" s="2" t="s">
        <v>1692</v>
      </c>
      <c r="K319" s="2"/>
      <c r="L319" s="87">
        <v>40792</v>
      </c>
      <c r="O319" s="1">
        <v>1</v>
      </c>
      <c r="P319" s="87">
        <v>40791</v>
      </c>
      <c r="Q319" s="1" t="s">
        <v>1958</v>
      </c>
      <c r="T319" s="1">
        <v>34</v>
      </c>
      <c r="W319" s="1">
        <v>34</v>
      </c>
      <c r="X319" s="1">
        <v>33</v>
      </c>
      <c r="Y319" s="1" t="s">
        <v>2459</v>
      </c>
      <c r="AC319" s="57" t="s">
        <v>2152</v>
      </c>
    </row>
    <row r="320" spans="1:29" s="49" customFormat="1" x14ac:dyDescent="0.25">
      <c r="A320" s="49">
        <v>1257</v>
      </c>
      <c r="B320" s="51">
        <v>501567</v>
      </c>
      <c r="C320" s="1" t="s">
        <v>2076</v>
      </c>
      <c r="D320" s="49">
        <v>0</v>
      </c>
      <c r="H320" s="49" t="s">
        <v>1855</v>
      </c>
      <c r="I320" s="49" t="s">
        <v>1762</v>
      </c>
      <c r="J320" s="49" t="s">
        <v>1693</v>
      </c>
      <c r="L320" s="49">
        <v>0</v>
      </c>
      <c r="O320" s="49">
        <v>0</v>
      </c>
      <c r="R320" s="49" t="s">
        <v>2043</v>
      </c>
      <c r="T320" s="49">
        <v>17</v>
      </c>
      <c r="W320" s="49">
        <v>17</v>
      </c>
      <c r="X320" s="1">
        <v>18</v>
      </c>
      <c r="Y320" s="1" t="s">
        <v>2460</v>
      </c>
      <c r="Z320" s="49">
        <v>9</v>
      </c>
      <c r="AC320" s="50"/>
    </row>
    <row r="321" spans="1:29" s="25" customFormat="1" x14ac:dyDescent="0.25">
      <c r="A321" s="25">
        <v>1256</v>
      </c>
      <c r="B321" s="29">
        <v>548824</v>
      </c>
      <c r="C321" s="1" t="s">
        <v>2076</v>
      </c>
      <c r="D321" s="25">
        <v>0</v>
      </c>
      <c r="H321" s="25" t="s">
        <v>1856</v>
      </c>
      <c r="I321" s="25" t="s">
        <v>1763</v>
      </c>
      <c r="J321" s="25" t="s">
        <v>1694</v>
      </c>
      <c r="L321" s="25">
        <v>0</v>
      </c>
      <c r="O321" s="25">
        <v>0</v>
      </c>
      <c r="Q321" s="25" t="s">
        <v>1959</v>
      </c>
      <c r="S321" s="25">
        <v>4</v>
      </c>
      <c r="W321" s="25">
        <v>4</v>
      </c>
      <c r="X321" s="1">
        <v>13</v>
      </c>
      <c r="Y321" s="1" t="s">
        <v>2461</v>
      </c>
      <c r="Z321" s="25">
        <v>5</v>
      </c>
      <c r="AC321" s="28"/>
    </row>
    <row r="322" spans="1:29" x14ac:dyDescent="0.25">
      <c r="A322" s="1">
        <v>1254</v>
      </c>
      <c r="B322" s="13">
        <v>302583</v>
      </c>
      <c r="C322" s="1" t="s">
        <v>2076</v>
      </c>
      <c r="D322" s="57" t="s">
        <v>1941</v>
      </c>
      <c r="H322" s="1" t="s">
        <v>1857</v>
      </c>
      <c r="I322" s="1" t="s">
        <v>1764</v>
      </c>
      <c r="J322" s="2" t="s">
        <v>1695</v>
      </c>
      <c r="K322" s="2"/>
      <c r="L322" s="1">
        <v>0</v>
      </c>
      <c r="O322" s="1">
        <v>0</v>
      </c>
      <c r="R322" s="1" t="s">
        <v>2044</v>
      </c>
      <c r="T322" s="1">
        <v>15</v>
      </c>
      <c r="W322" s="1">
        <v>15</v>
      </c>
      <c r="X322" s="1">
        <v>16</v>
      </c>
      <c r="Y322" s="1" t="s">
        <v>2462</v>
      </c>
      <c r="AC322" s="57" t="s">
        <v>1672</v>
      </c>
    </row>
    <row r="323" spans="1:29" s="45" customFormat="1" x14ac:dyDescent="0.25">
      <c r="A323" s="45">
        <v>1110</v>
      </c>
      <c r="B323" s="47">
        <v>568310</v>
      </c>
      <c r="C323" s="1" t="s">
        <v>2076</v>
      </c>
      <c r="H323" s="45" t="s">
        <v>1765</v>
      </c>
      <c r="I323" s="45" t="s">
        <v>1765</v>
      </c>
      <c r="J323" s="45" t="s">
        <v>1696</v>
      </c>
      <c r="L323" s="45" t="s">
        <v>1926</v>
      </c>
      <c r="O323" s="45">
        <v>1</v>
      </c>
      <c r="P323" s="1" t="s">
        <v>2011</v>
      </c>
      <c r="Q323" s="1" t="s">
        <v>1960</v>
      </c>
      <c r="R323" s="1"/>
      <c r="T323" s="45">
        <v>6.7</v>
      </c>
      <c r="W323" s="45">
        <v>7</v>
      </c>
      <c r="X323" s="1">
        <v>20</v>
      </c>
      <c r="Y323" s="1" t="s">
        <v>2463</v>
      </c>
      <c r="AC323" s="84" t="s">
        <v>1924</v>
      </c>
    </row>
    <row r="324" spans="1:29" s="25" customFormat="1" x14ac:dyDescent="0.25">
      <c r="A324" s="25">
        <v>1089</v>
      </c>
      <c r="B324" s="29">
        <v>170459</v>
      </c>
      <c r="C324" s="1" t="s">
        <v>2076</v>
      </c>
      <c r="D324" s="25">
        <v>0</v>
      </c>
      <c r="H324" s="25" t="s">
        <v>1858</v>
      </c>
      <c r="I324" s="25" t="s">
        <v>1766</v>
      </c>
      <c r="J324" s="25" t="s">
        <v>1697</v>
      </c>
      <c r="L324" s="25">
        <v>0</v>
      </c>
      <c r="O324" s="25">
        <v>0</v>
      </c>
      <c r="Q324" s="25" t="s">
        <v>1961</v>
      </c>
      <c r="S324" s="25">
        <v>19</v>
      </c>
      <c r="W324" s="25">
        <v>19</v>
      </c>
      <c r="X324" s="1">
        <v>13</v>
      </c>
      <c r="Y324" s="1" t="s">
        <v>2464</v>
      </c>
      <c r="Z324" s="25">
        <v>5</v>
      </c>
      <c r="AC324" s="28"/>
    </row>
    <row r="325" spans="1:29" x14ac:dyDescent="0.25">
      <c r="A325" s="1">
        <v>1066</v>
      </c>
      <c r="B325" s="13">
        <v>19150</v>
      </c>
      <c r="C325" s="1" t="s">
        <v>2076</v>
      </c>
      <c r="D325" s="1" t="s">
        <v>1938</v>
      </c>
      <c r="H325" s="1" t="s">
        <v>1859</v>
      </c>
      <c r="I325" s="1" t="s">
        <v>1767</v>
      </c>
      <c r="J325" s="2" t="s">
        <v>1698</v>
      </c>
      <c r="K325" s="2"/>
      <c r="L325" s="1">
        <v>0</v>
      </c>
      <c r="O325" s="1">
        <v>0</v>
      </c>
      <c r="R325" s="1" t="s">
        <v>2045</v>
      </c>
      <c r="T325" s="1">
        <v>17</v>
      </c>
      <c r="W325" s="1">
        <v>17</v>
      </c>
      <c r="X325" s="1">
        <v>25</v>
      </c>
      <c r="Y325" s="1" t="s">
        <v>2465</v>
      </c>
    </row>
    <row r="326" spans="1:29" s="45" customFormat="1" x14ac:dyDescent="0.25">
      <c r="A326" s="45">
        <v>1054</v>
      </c>
      <c r="B326" s="47">
        <v>176184</v>
      </c>
      <c r="C326" s="1" t="s">
        <v>2076</v>
      </c>
      <c r="D326" s="45" t="s">
        <v>2068</v>
      </c>
      <c r="H326" s="45" t="s">
        <v>1860</v>
      </c>
      <c r="I326" s="45" t="s">
        <v>1768</v>
      </c>
      <c r="J326" s="45" t="s">
        <v>1699</v>
      </c>
      <c r="L326" s="45" t="s">
        <v>1926</v>
      </c>
      <c r="O326" s="45">
        <v>0</v>
      </c>
      <c r="P326" s="1"/>
      <c r="Q326" s="1" t="s">
        <v>1962</v>
      </c>
      <c r="R326" s="1"/>
      <c r="S326" s="45">
        <v>9</v>
      </c>
      <c r="W326" s="45">
        <v>9</v>
      </c>
      <c r="X326" s="1">
        <v>7</v>
      </c>
      <c r="Y326" s="1" t="s">
        <v>2466</v>
      </c>
      <c r="AC326" s="84" t="s">
        <v>1923</v>
      </c>
    </row>
    <row r="327" spans="1:29" s="40" customFormat="1" x14ac:dyDescent="0.25">
      <c r="A327" s="40">
        <v>1046</v>
      </c>
      <c r="B327" s="44">
        <v>104825</v>
      </c>
      <c r="C327" s="1" t="s">
        <v>2076</v>
      </c>
      <c r="D327" s="40">
        <v>0</v>
      </c>
      <c r="H327" s="40" t="s">
        <v>1861</v>
      </c>
      <c r="I327" s="40" t="s">
        <v>1769</v>
      </c>
      <c r="J327" s="40" t="s">
        <v>1700</v>
      </c>
      <c r="L327" s="40">
        <v>0</v>
      </c>
      <c r="O327" s="40">
        <v>1</v>
      </c>
      <c r="P327" s="40" t="s">
        <v>2012</v>
      </c>
      <c r="Q327" s="40" t="s">
        <v>1963</v>
      </c>
      <c r="S327" s="40">
        <v>22</v>
      </c>
      <c r="W327" s="40">
        <v>22</v>
      </c>
      <c r="X327" s="1">
        <v>19</v>
      </c>
      <c r="Y327" s="1" t="s">
        <v>2467</v>
      </c>
      <c r="Z327" s="40">
        <v>8</v>
      </c>
    </row>
    <row r="328" spans="1:29" x14ac:dyDescent="0.25">
      <c r="A328" s="1">
        <v>1044</v>
      </c>
      <c r="B328" s="13">
        <v>468861</v>
      </c>
      <c r="C328" s="1" t="s">
        <v>2076</v>
      </c>
      <c r="D328" s="1">
        <v>0</v>
      </c>
      <c r="H328" s="1" t="s">
        <v>1862</v>
      </c>
      <c r="I328" s="1" t="s">
        <v>1770</v>
      </c>
      <c r="J328" s="2" t="s">
        <v>1701</v>
      </c>
      <c r="K328" s="2"/>
      <c r="L328" s="1">
        <v>0</v>
      </c>
      <c r="O328" s="1">
        <v>1</v>
      </c>
      <c r="P328" s="1" t="s">
        <v>2013</v>
      </c>
      <c r="R328" s="1" t="s">
        <v>2046</v>
      </c>
      <c r="S328" s="1">
        <v>5</v>
      </c>
      <c r="T328" s="1">
        <v>15</v>
      </c>
      <c r="W328" s="1">
        <v>15</v>
      </c>
      <c r="X328" s="1">
        <v>22</v>
      </c>
      <c r="Y328" s="1" t="s">
        <v>2468</v>
      </c>
    </row>
    <row r="329" spans="1:29" x14ac:dyDescent="0.25">
      <c r="A329" s="1">
        <v>1036</v>
      </c>
      <c r="B329" s="13">
        <v>144867</v>
      </c>
      <c r="C329" s="1" t="s">
        <v>2076</v>
      </c>
      <c r="D329" s="1">
        <v>0</v>
      </c>
      <c r="H329" s="1" t="s">
        <v>1863</v>
      </c>
      <c r="I329" s="1" t="s">
        <v>1771</v>
      </c>
      <c r="J329" s="2" t="s">
        <v>1702</v>
      </c>
      <c r="K329" s="2"/>
      <c r="L329" s="1">
        <v>0</v>
      </c>
      <c r="O329" s="1">
        <v>1</v>
      </c>
      <c r="P329" s="1" t="s">
        <v>1702</v>
      </c>
      <c r="R329" s="1" t="s">
        <v>2047</v>
      </c>
      <c r="S329" s="1">
        <v>17</v>
      </c>
      <c r="W329" s="1">
        <v>17</v>
      </c>
      <c r="X329" s="1">
        <v>21</v>
      </c>
      <c r="Y329" s="1" t="s">
        <v>2469</v>
      </c>
    </row>
    <row r="330" spans="1:29" x14ac:dyDescent="0.25">
      <c r="A330" s="1">
        <v>1034</v>
      </c>
      <c r="B330" s="13">
        <v>186107</v>
      </c>
      <c r="C330" s="1" t="s">
        <v>2076</v>
      </c>
      <c r="D330" s="1">
        <v>0</v>
      </c>
      <c r="H330" s="1" t="s">
        <v>1864</v>
      </c>
      <c r="I330" s="1" t="s">
        <v>1772</v>
      </c>
      <c r="J330" s="2" t="s">
        <v>1703</v>
      </c>
      <c r="K330" s="2"/>
      <c r="L330" s="1" t="s">
        <v>1929</v>
      </c>
      <c r="O330" s="1">
        <v>0</v>
      </c>
      <c r="R330" s="1" t="s">
        <v>2048</v>
      </c>
      <c r="T330" s="1">
        <v>1.7</v>
      </c>
      <c r="W330" s="1">
        <v>2</v>
      </c>
      <c r="X330" s="1">
        <v>19</v>
      </c>
      <c r="Y330" s="1" t="s">
        <v>2470</v>
      </c>
    </row>
    <row r="331" spans="1:29" x14ac:dyDescent="0.25">
      <c r="A331" s="1">
        <v>1030</v>
      </c>
      <c r="B331" s="13">
        <v>464332</v>
      </c>
      <c r="C331" s="1" t="s">
        <v>2076</v>
      </c>
      <c r="D331" s="1">
        <v>0</v>
      </c>
      <c r="H331" s="1" t="s">
        <v>1865</v>
      </c>
      <c r="I331" s="1" t="s">
        <v>1773</v>
      </c>
      <c r="J331" s="2" t="s">
        <v>1704</v>
      </c>
      <c r="K331" s="2"/>
      <c r="L331" s="1">
        <v>0</v>
      </c>
      <c r="O331" s="1">
        <v>0</v>
      </c>
      <c r="R331" s="1" t="s">
        <v>2049</v>
      </c>
      <c r="T331" s="1" t="s">
        <v>1690</v>
      </c>
      <c r="V331" s="1">
        <v>10</v>
      </c>
      <c r="W331" s="1">
        <v>10</v>
      </c>
      <c r="X331" s="1">
        <v>12</v>
      </c>
      <c r="Y331" s="1" t="s">
        <v>2471</v>
      </c>
    </row>
    <row r="332" spans="1:29" s="40" customFormat="1" x14ac:dyDescent="0.25">
      <c r="A332" s="40">
        <v>954</v>
      </c>
      <c r="B332" s="44">
        <v>183934</v>
      </c>
      <c r="C332" s="1" t="s">
        <v>2076</v>
      </c>
      <c r="D332" s="40">
        <v>0</v>
      </c>
      <c r="H332" s="40" t="s">
        <v>1866</v>
      </c>
      <c r="I332" s="40" t="s">
        <v>1774</v>
      </c>
      <c r="J332" s="40" t="s">
        <v>1705</v>
      </c>
      <c r="L332" s="40">
        <v>0</v>
      </c>
      <c r="O332" s="40">
        <v>1</v>
      </c>
      <c r="P332" s="40" t="s">
        <v>2014</v>
      </c>
      <c r="Q332" s="40" t="s">
        <v>1964</v>
      </c>
      <c r="S332" s="40">
        <v>33</v>
      </c>
      <c r="W332" s="40">
        <v>33</v>
      </c>
      <c r="X332" s="1">
        <v>17</v>
      </c>
      <c r="Y332" s="1" t="s">
        <v>2472</v>
      </c>
      <c r="Z332" s="40">
        <v>8</v>
      </c>
      <c r="AC332" s="43"/>
    </row>
    <row r="333" spans="1:29" s="40" customFormat="1" x14ac:dyDescent="0.25">
      <c r="A333" s="40">
        <v>953</v>
      </c>
      <c r="B333" s="44">
        <v>190260</v>
      </c>
      <c r="C333" s="1" t="s">
        <v>2076</v>
      </c>
      <c r="D333" s="40">
        <v>0</v>
      </c>
      <c r="H333" s="40" t="s">
        <v>1682</v>
      </c>
      <c r="I333" s="40" t="s">
        <v>1775</v>
      </c>
      <c r="J333" s="40" t="s">
        <v>1706</v>
      </c>
      <c r="L333" s="40">
        <v>0</v>
      </c>
      <c r="O333" s="40">
        <v>1</v>
      </c>
      <c r="P333" s="40" t="s">
        <v>1706</v>
      </c>
      <c r="Q333" s="40" t="s">
        <v>1965</v>
      </c>
      <c r="T333" s="40" t="s">
        <v>1690</v>
      </c>
      <c r="V333" s="40">
        <v>10</v>
      </c>
      <c r="W333" s="40">
        <v>10</v>
      </c>
      <c r="X333" s="1">
        <v>11</v>
      </c>
      <c r="Y333" s="1" t="s">
        <v>2473</v>
      </c>
      <c r="Z333" s="40">
        <v>8</v>
      </c>
      <c r="AC333" s="43" t="s">
        <v>1921</v>
      </c>
    </row>
    <row r="334" spans="1:29" s="45" customFormat="1" x14ac:dyDescent="0.25">
      <c r="A334" s="45">
        <v>945</v>
      </c>
      <c r="B334" s="47">
        <v>500675</v>
      </c>
      <c r="C334" s="1" t="s">
        <v>2076</v>
      </c>
      <c r="D334" s="45" t="s">
        <v>1925</v>
      </c>
      <c r="H334" s="45" t="s">
        <v>1867</v>
      </c>
      <c r="I334" s="45" t="s">
        <v>1776</v>
      </c>
      <c r="J334" s="45" t="s">
        <v>1696</v>
      </c>
      <c r="O334" s="45">
        <v>0</v>
      </c>
      <c r="P334" s="1"/>
      <c r="Q334" s="1" t="s">
        <v>1966</v>
      </c>
      <c r="R334" s="1"/>
      <c r="T334" s="45">
        <v>10</v>
      </c>
      <c r="W334" s="45">
        <v>10</v>
      </c>
      <c r="X334" s="1">
        <v>10</v>
      </c>
      <c r="Y334" s="1" t="s">
        <v>2474</v>
      </c>
      <c r="AC334" s="84" t="s">
        <v>1924</v>
      </c>
    </row>
    <row r="335" spans="1:29" s="45" customFormat="1" x14ac:dyDescent="0.25">
      <c r="A335" s="45">
        <v>931</v>
      </c>
      <c r="B335" s="47">
        <v>496043</v>
      </c>
      <c r="C335" s="1" t="s">
        <v>2076</v>
      </c>
      <c r="D335" s="45" t="s">
        <v>1925</v>
      </c>
      <c r="H335" s="45" t="s">
        <v>1868</v>
      </c>
      <c r="I335" s="45" t="s">
        <v>1777</v>
      </c>
      <c r="J335" s="45" t="s">
        <v>1696</v>
      </c>
      <c r="O335" s="45">
        <v>1</v>
      </c>
      <c r="P335" s="1" t="s">
        <v>2015</v>
      </c>
      <c r="Q335" s="1" t="s">
        <v>1713</v>
      </c>
      <c r="R335" s="1"/>
      <c r="S335" s="45">
        <v>15</v>
      </c>
      <c r="W335" s="45">
        <v>15</v>
      </c>
      <c r="X335" s="1">
        <v>15</v>
      </c>
      <c r="Y335" s="1" t="s">
        <v>2475</v>
      </c>
      <c r="AC335" s="84" t="s">
        <v>1924</v>
      </c>
    </row>
    <row r="336" spans="1:29" s="40" customFormat="1" x14ac:dyDescent="0.25">
      <c r="A336" s="40">
        <v>930</v>
      </c>
      <c r="B336" s="44">
        <v>491140</v>
      </c>
      <c r="C336" s="1" t="s">
        <v>2076</v>
      </c>
      <c r="D336" s="40">
        <v>0</v>
      </c>
      <c r="H336" s="40" t="s">
        <v>1683</v>
      </c>
      <c r="I336" s="40" t="s">
        <v>1778</v>
      </c>
      <c r="J336" s="40" t="s">
        <v>1707</v>
      </c>
      <c r="L336" s="40">
        <v>0</v>
      </c>
      <c r="O336" s="40">
        <v>1</v>
      </c>
      <c r="P336" s="40" t="s">
        <v>2016</v>
      </c>
      <c r="Q336" s="40" t="s">
        <v>1967</v>
      </c>
      <c r="S336" s="40">
        <v>12</v>
      </c>
      <c r="T336" s="40" t="s">
        <v>1690</v>
      </c>
      <c r="V336" s="40">
        <v>9</v>
      </c>
      <c r="W336" s="40">
        <v>12</v>
      </c>
      <c r="X336" s="1">
        <v>16</v>
      </c>
      <c r="Y336" s="1" t="s">
        <v>2476</v>
      </c>
      <c r="Z336" s="40">
        <v>8</v>
      </c>
      <c r="AC336" s="43"/>
    </row>
    <row r="337" spans="1:29" x14ac:dyDescent="0.25">
      <c r="A337" s="1">
        <v>929</v>
      </c>
      <c r="B337" s="13">
        <v>167458</v>
      </c>
      <c r="C337" s="1" t="s">
        <v>2076</v>
      </c>
      <c r="D337" s="1">
        <v>0</v>
      </c>
      <c r="H337" s="1" t="s">
        <v>1869</v>
      </c>
      <c r="I337" s="1" t="s">
        <v>1779</v>
      </c>
      <c r="J337" s="2" t="s">
        <v>1708</v>
      </c>
      <c r="K337" s="2"/>
      <c r="L337" s="1">
        <v>0</v>
      </c>
      <c r="O337" s="1">
        <v>0</v>
      </c>
      <c r="Q337" s="1" t="s">
        <v>1968</v>
      </c>
      <c r="T337" s="1" t="s">
        <v>1690</v>
      </c>
      <c r="V337" s="1">
        <v>15</v>
      </c>
      <c r="W337" s="1">
        <v>15</v>
      </c>
      <c r="X337" s="1">
        <v>18</v>
      </c>
      <c r="Y337" s="1" t="s">
        <v>2477</v>
      </c>
    </row>
    <row r="338" spans="1:29" s="49" customFormat="1" x14ac:dyDescent="0.25">
      <c r="A338" s="49">
        <v>928</v>
      </c>
      <c r="B338" s="51">
        <v>489435</v>
      </c>
      <c r="C338" s="1" t="s">
        <v>2076</v>
      </c>
      <c r="D338" s="49">
        <v>0</v>
      </c>
      <c r="H338" s="49" t="s">
        <v>1870</v>
      </c>
      <c r="I338" s="49" t="s">
        <v>1780</v>
      </c>
      <c r="J338" s="49" t="s">
        <v>1709</v>
      </c>
      <c r="L338" s="49">
        <v>0</v>
      </c>
      <c r="O338" s="49">
        <v>0</v>
      </c>
      <c r="R338" s="49" t="s">
        <v>2050</v>
      </c>
      <c r="S338" s="49">
        <v>7</v>
      </c>
      <c r="W338" s="49">
        <v>7</v>
      </c>
      <c r="X338" s="1">
        <v>12</v>
      </c>
      <c r="Y338" s="1" t="s">
        <v>2478</v>
      </c>
      <c r="Z338" s="49">
        <v>9</v>
      </c>
      <c r="AC338" s="50"/>
    </row>
    <row r="339" spans="1:29" s="25" customFormat="1" x14ac:dyDescent="0.25">
      <c r="A339" s="25">
        <v>926</v>
      </c>
      <c r="B339" s="29">
        <v>394734</v>
      </c>
      <c r="C339" s="1" t="s">
        <v>2076</v>
      </c>
      <c r="D339" s="25">
        <v>0</v>
      </c>
      <c r="H339" s="25" t="s">
        <v>1871</v>
      </c>
      <c r="I339" s="25" t="s">
        <v>1781</v>
      </c>
      <c r="J339" s="25" t="s">
        <v>1710</v>
      </c>
      <c r="L339" s="25">
        <v>0</v>
      </c>
      <c r="O339" s="25">
        <v>0</v>
      </c>
      <c r="Q339" s="25" t="s">
        <v>1969</v>
      </c>
      <c r="T339" s="25" t="s">
        <v>1690</v>
      </c>
      <c r="V339" s="25">
        <v>12</v>
      </c>
      <c r="W339" s="25">
        <v>12</v>
      </c>
      <c r="X339" s="1">
        <v>13</v>
      </c>
      <c r="Y339" s="1" t="s">
        <v>2479</v>
      </c>
      <c r="Z339" s="25">
        <v>5</v>
      </c>
      <c r="AC339" s="28"/>
    </row>
    <row r="340" spans="1:29" x14ac:dyDescent="0.25">
      <c r="A340" s="1">
        <v>923</v>
      </c>
      <c r="B340" s="13">
        <v>494359</v>
      </c>
      <c r="C340" s="1" t="s">
        <v>2076</v>
      </c>
      <c r="D340" s="1">
        <v>0</v>
      </c>
      <c r="H340" s="1" t="s">
        <v>1872</v>
      </c>
      <c r="I340" s="1" t="s">
        <v>1782</v>
      </c>
      <c r="J340" s="2" t="s">
        <v>1711</v>
      </c>
      <c r="K340" s="2"/>
      <c r="L340" s="1">
        <v>0</v>
      </c>
      <c r="O340" s="1">
        <v>0</v>
      </c>
      <c r="Q340" s="1" t="s">
        <v>1970</v>
      </c>
      <c r="T340" s="1">
        <v>11</v>
      </c>
      <c r="W340" s="1">
        <v>11</v>
      </c>
      <c r="X340" s="1">
        <v>15</v>
      </c>
      <c r="Y340" s="1" t="s">
        <v>2480</v>
      </c>
    </row>
    <row r="341" spans="1:29" s="45" customFormat="1" x14ac:dyDescent="0.25">
      <c r="A341" s="45">
        <v>912</v>
      </c>
      <c r="B341" s="47">
        <v>500379</v>
      </c>
      <c r="C341" s="1" t="s">
        <v>2076</v>
      </c>
      <c r="H341" s="45" t="s">
        <v>1873</v>
      </c>
      <c r="I341" s="45" t="s">
        <v>1776</v>
      </c>
      <c r="J341" s="45" t="s">
        <v>1696</v>
      </c>
      <c r="O341" s="45">
        <v>0</v>
      </c>
      <c r="P341" s="1"/>
      <c r="Q341" s="1" t="s">
        <v>1971</v>
      </c>
      <c r="R341" s="1"/>
      <c r="T341" s="45">
        <v>11</v>
      </c>
      <c r="W341" s="45">
        <v>11</v>
      </c>
      <c r="X341" s="1">
        <v>23</v>
      </c>
      <c r="Y341" s="1" t="s">
        <v>2481</v>
      </c>
      <c r="AC341" s="84" t="s">
        <v>1924</v>
      </c>
    </row>
    <row r="342" spans="1:29" x14ac:dyDescent="0.25">
      <c r="A342" s="1">
        <v>911</v>
      </c>
      <c r="B342" s="13">
        <v>499628</v>
      </c>
      <c r="C342" s="1" t="s">
        <v>2076</v>
      </c>
      <c r="D342" s="1" t="s">
        <v>1939</v>
      </c>
      <c r="H342" s="1" t="s">
        <v>1874</v>
      </c>
      <c r="I342" s="1" t="s">
        <v>1783</v>
      </c>
      <c r="J342" s="2" t="s">
        <v>1712</v>
      </c>
      <c r="K342" s="2"/>
      <c r="L342" s="1">
        <v>0</v>
      </c>
      <c r="O342" s="1">
        <v>0</v>
      </c>
      <c r="Q342" s="1" t="s">
        <v>1972</v>
      </c>
      <c r="T342" s="1">
        <v>12</v>
      </c>
      <c r="W342" s="1">
        <v>12</v>
      </c>
      <c r="X342" s="1">
        <v>20</v>
      </c>
      <c r="Y342" s="1" t="s">
        <v>2482</v>
      </c>
    </row>
    <row r="343" spans="1:29" x14ac:dyDescent="0.25">
      <c r="A343" s="1">
        <v>910</v>
      </c>
      <c r="B343" s="13">
        <v>246674</v>
      </c>
      <c r="C343" s="1" t="s">
        <v>2076</v>
      </c>
      <c r="D343" s="1">
        <v>0</v>
      </c>
      <c r="H343" s="1" t="s">
        <v>1673</v>
      </c>
      <c r="I343" s="1" t="s">
        <v>1784</v>
      </c>
      <c r="J343" s="2" t="s">
        <v>1713</v>
      </c>
      <c r="K343" s="2"/>
      <c r="L343" s="1" t="s">
        <v>1930</v>
      </c>
      <c r="O343" s="1">
        <v>0</v>
      </c>
      <c r="Q343" s="1" t="s">
        <v>1973</v>
      </c>
      <c r="T343" s="1">
        <v>12</v>
      </c>
      <c r="W343" s="1">
        <v>12</v>
      </c>
      <c r="X343" s="1">
        <v>17</v>
      </c>
      <c r="Y343" s="1" t="s">
        <v>2483</v>
      </c>
    </row>
    <row r="344" spans="1:29" s="45" customFormat="1" x14ac:dyDescent="0.25">
      <c r="A344" s="45">
        <v>884</v>
      </c>
      <c r="B344" s="47">
        <v>358879</v>
      </c>
      <c r="C344" s="1" t="s">
        <v>2076</v>
      </c>
      <c r="H344" s="45" t="s">
        <v>1781</v>
      </c>
      <c r="I344" s="45" t="s">
        <v>1785</v>
      </c>
      <c r="J344" s="45" t="s">
        <v>1696</v>
      </c>
      <c r="O344" s="45">
        <v>1</v>
      </c>
      <c r="P344" s="1" t="s">
        <v>2017</v>
      </c>
      <c r="Q344" s="1"/>
      <c r="R344" s="1" t="s">
        <v>2051</v>
      </c>
      <c r="S344" s="45">
        <v>7</v>
      </c>
      <c r="T344" s="45">
        <v>7</v>
      </c>
      <c r="W344" s="45">
        <v>7</v>
      </c>
      <c r="X344" s="1">
        <v>18</v>
      </c>
      <c r="Y344" s="1" t="s">
        <v>2484</v>
      </c>
      <c r="AC344" s="84" t="s">
        <v>1924</v>
      </c>
    </row>
    <row r="345" spans="1:29" s="45" customFormat="1" x14ac:dyDescent="0.25">
      <c r="A345" s="45">
        <v>882</v>
      </c>
      <c r="B345" s="47">
        <v>149749</v>
      </c>
      <c r="C345" s="1" t="s">
        <v>2076</v>
      </c>
      <c r="D345" s="45" t="s">
        <v>1925</v>
      </c>
      <c r="H345" s="45" t="s">
        <v>1875</v>
      </c>
      <c r="I345" s="45" t="s">
        <v>1786</v>
      </c>
      <c r="J345" s="45" t="s">
        <v>1696</v>
      </c>
      <c r="L345" s="45" t="s">
        <v>1927</v>
      </c>
      <c r="O345" s="45">
        <v>0</v>
      </c>
      <c r="P345" s="1"/>
      <c r="Q345" s="1"/>
      <c r="R345" s="1" t="s">
        <v>2052</v>
      </c>
      <c r="S345" s="45">
        <v>8</v>
      </c>
      <c r="W345" s="45">
        <v>8</v>
      </c>
      <c r="X345" s="1">
        <v>13</v>
      </c>
      <c r="Y345" s="1" t="s">
        <v>2485</v>
      </c>
      <c r="AC345" s="84" t="s">
        <v>1924</v>
      </c>
    </row>
    <row r="346" spans="1:29" s="25" customFormat="1" x14ac:dyDescent="0.25">
      <c r="A346" s="25">
        <v>879</v>
      </c>
      <c r="B346" s="29">
        <v>490196</v>
      </c>
      <c r="C346" s="1" t="s">
        <v>2076</v>
      </c>
      <c r="D346" s="25">
        <v>0</v>
      </c>
      <c r="H346" s="25" t="s">
        <v>1876</v>
      </c>
      <c r="I346" s="25" t="s">
        <v>1787</v>
      </c>
      <c r="J346" s="25" t="s">
        <v>1714</v>
      </c>
      <c r="L346" s="25">
        <v>0</v>
      </c>
      <c r="O346" s="25">
        <v>0</v>
      </c>
      <c r="Q346" s="25" t="s">
        <v>1969</v>
      </c>
      <c r="S346" s="25">
        <v>30</v>
      </c>
      <c r="W346" s="25">
        <v>30</v>
      </c>
      <c r="X346" s="1">
        <v>11</v>
      </c>
      <c r="Y346" s="1" t="s">
        <v>2486</v>
      </c>
      <c r="Z346" s="25">
        <v>5</v>
      </c>
      <c r="AC346" s="28"/>
    </row>
    <row r="347" spans="1:29" s="49" customFormat="1" x14ac:dyDescent="0.25">
      <c r="A347" s="49">
        <v>874</v>
      </c>
      <c r="B347" s="51">
        <v>294614</v>
      </c>
      <c r="C347" s="1" t="s">
        <v>2076</v>
      </c>
      <c r="D347" s="49">
        <v>0</v>
      </c>
      <c r="H347" s="49" t="s">
        <v>1877</v>
      </c>
      <c r="I347" s="49" t="s">
        <v>1788</v>
      </c>
      <c r="J347" s="49" t="s">
        <v>1715</v>
      </c>
      <c r="L347" s="49">
        <v>0</v>
      </c>
      <c r="O347" s="49">
        <v>0</v>
      </c>
      <c r="R347" s="49" t="s">
        <v>2053</v>
      </c>
      <c r="S347" s="49" t="s">
        <v>1690</v>
      </c>
      <c r="T347" s="49" t="s">
        <v>1690</v>
      </c>
      <c r="U347" s="49">
        <v>12</v>
      </c>
      <c r="V347" s="49">
        <v>15</v>
      </c>
      <c r="W347" s="49">
        <v>15</v>
      </c>
      <c r="X347" s="1">
        <v>18</v>
      </c>
      <c r="Y347" s="1" t="s">
        <v>2487</v>
      </c>
      <c r="Z347" s="49">
        <v>9</v>
      </c>
      <c r="AC347" s="50"/>
    </row>
    <row r="348" spans="1:29" s="45" customFormat="1" x14ac:dyDescent="0.25">
      <c r="A348" s="45">
        <v>866</v>
      </c>
      <c r="B348" s="47">
        <v>480524</v>
      </c>
      <c r="C348" s="1" t="s">
        <v>2076</v>
      </c>
      <c r="H348" s="45" t="s">
        <v>1878</v>
      </c>
      <c r="I348" s="45" t="s">
        <v>1789</v>
      </c>
      <c r="J348" s="45" t="s">
        <v>1696</v>
      </c>
      <c r="O348" s="45">
        <v>0</v>
      </c>
      <c r="P348" s="1"/>
      <c r="Q348" s="1" t="s">
        <v>1974</v>
      </c>
      <c r="R348" s="1"/>
      <c r="S348" s="45">
        <v>25</v>
      </c>
      <c r="W348" s="45">
        <v>25</v>
      </c>
      <c r="X348" s="1">
        <v>8</v>
      </c>
      <c r="Y348" s="1" t="s">
        <v>2488</v>
      </c>
      <c r="AC348" s="84" t="s">
        <v>1924</v>
      </c>
    </row>
    <row r="349" spans="1:29" x14ac:dyDescent="0.25">
      <c r="A349" s="1">
        <v>865</v>
      </c>
      <c r="B349" s="13">
        <v>474490</v>
      </c>
      <c r="C349" s="1" t="s">
        <v>2076</v>
      </c>
      <c r="D349" s="1">
        <v>0</v>
      </c>
      <c r="H349" s="1" t="s">
        <v>1671</v>
      </c>
      <c r="I349" s="1" t="s">
        <v>1790</v>
      </c>
      <c r="J349" s="2" t="s">
        <v>1716</v>
      </c>
      <c r="K349" s="2"/>
      <c r="L349" s="1" t="s">
        <v>1931</v>
      </c>
      <c r="O349" s="1">
        <v>0</v>
      </c>
      <c r="Q349" s="1" t="s">
        <v>1975</v>
      </c>
      <c r="S349" s="1">
        <v>10</v>
      </c>
      <c r="W349" s="1">
        <v>10</v>
      </c>
      <c r="X349" s="1">
        <v>8</v>
      </c>
      <c r="Y349" s="1" t="s">
        <v>2489</v>
      </c>
    </row>
    <row r="350" spans="1:29" s="49" customFormat="1" x14ac:dyDescent="0.25">
      <c r="A350" s="49">
        <v>800</v>
      </c>
      <c r="B350" s="51">
        <v>470952</v>
      </c>
      <c r="C350" s="1" t="s">
        <v>2076</v>
      </c>
      <c r="D350" s="49">
        <v>0</v>
      </c>
      <c r="H350" s="49" t="s">
        <v>1879</v>
      </c>
      <c r="I350" s="49" t="s">
        <v>1674</v>
      </c>
      <c r="J350" s="49" t="s">
        <v>1717</v>
      </c>
      <c r="L350" s="49">
        <v>0</v>
      </c>
      <c r="O350" s="49">
        <v>0</v>
      </c>
      <c r="R350" s="49" t="s">
        <v>2054</v>
      </c>
      <c r="S350" s="49">
        <v>4</v>
      </c>
      <c r="W350" s="49">
        <v>4</v>
      </c>
      <c r="X350" s="1">
        <v>7</v>
      </c>
      <c r="Y350" s="1" t="s">
        <v>2490</v>
      </c>
      <c r="Z350" s="49">
        <v>9</v>
      </c>
      <c r="AC350" s="50"/>
    </row>
    <row r="351" spans="1:29" s="25" customFormat="1" x14ac:dyDescent="0.25">
      <c r="A351" s="25">
        <v>794</v>
      </c>
      <c r="B351" s="29">
        <v>224023</v>
      </c>
      <c r="C351" s="1" t="s">
        <v>2076</v>
      </c>
      <c r="D351" s="25">
        <v>0</v>
      </c>
      <c r="H351" s="25" t="s">
        <v>1880</v>
      </c>
      <c r="I351" s="25" t="s">
        <v>1791</v>
      </c>
      <c r="J351" s="25" t="s">
        <v>1718</v>
      </c>
      <c r="L351" s="25">
        <v>0</v>
      </c>
      <c r="O351" s="25">
        <v>0</v>
      </c>
      <c r="Q351" s="25" t="s">
        <v>1976</v>
      </c>
      <c r="S351" s="25">
        <v>15</v>
      </c>
      <c r="W351" s="25">
        <v>15</v>
      </c>
      <c r="X351" s="1">
        <v>8</v>
      </c>
      <c r="Y351" s="1" t="s">
        <v>2491</v>
      </c>
      <c r="Z351" s="25">
        <v>5</v>
      </c>
      <c r="AC351" s="28"/>
    </row>
    <row r="352" spans="1:29" x14ac:dyDescent="0.25">
      <c r="A352" s="1">
        <v>793</v>
      </c>
      <c r="B352" s="13">
        <v>307583</v>
      </c>
      <c r="C352" s="1" t="s">
        <v>2076</v>
      </c>
      <c r="D352" s="1" t="s">
        <v>1938</v>
      </c>
      <c r="H352" s="1" t="s">
        <v>1881</v>
      </c>
      <c r="I352" s="1" t="s">
        <v>1792</v>
      </c>
      <c r="J352" s="2" t="s">
        <v>1719</v>
      </c>
      <c r="K352" s="2"/>
      <c r="L352" s="1">
        <v>0</v>
      </c>
      <c r="O352" s="1">
        <v>0</v>
      </c>
      <c r="Q352" s="1" t="s">
        <v>1977</v>
      </c>
      <c r="T352" s="1">
        <v>7</v>
      </c>
      <c r="W352" s="1">
        <v>7</v>
      </c>
      <c r="X352" s="1">
        <v>8</v>
      </c>
      <c r="Y352" s="1" t="s">
        <v>2492</v>
      </c>
    </row>
    <row r="353" spans="1:29" x14ac:dyDescent="0.25">
      <c r="A353" s="1">
        <v>789</v>
      </c>
      <c r="B353" s="13">
        <v>318671</v>
      </c>
      <c r="C353" s="1" t="s">
        <v>2076</v>
      </c>
      <c r="D353" s="1" t="s">
        <v>1938</v>
      </c>
      <c r="H353" s="1" t="s">
        <v>1865</v>
      </c>
      <c r="I353" s="1" t="s">
        <v>1793</v>
      </c>
      <c r="J353" s="2" t="s">
        <v>1720</v>
      </c>
      <c r="K353" s="2"/>
      <c r="L353" s="1">
        <v>0</v>
      </c>
      <c r="O353" s="1">
        <v>0</v>
      </c>
      <c r="R353" s="1" t="s">
        <v>1978</v>
      </c>
      <c r="S353" s="1">
        <v>18</v>
      </c>
      <c r="W353" s="1">
        <v>18</v>
      </c>
      <c r="X353" s="1">
        <v>12</v>
      </c>
      <c r="Y353" s="1" t="s">
        <v>2493</v>
      </c>
    </row>
    <row r="354" spans="1:29" s="49" customFormat="1" x14ac:dyDescent="0.25">
      <c r="A354" s="49">
        <v>788</v>
      </c>
      <c r="B354" s="51">
        <v>457585</v>
      </c>
      <c r="C354" s="1" t="s">
        <v>2076</v>
      </c>
      <c r="D354" s="49">
        <v>0</v>
      </c>
      <c r="H354" s="49" t="s">
        <v>1882</v>
      </c>
      <c r="I354" s="49" t="s">
        <v>1794</v>
      </c>
      <c r="J354" s="49" t="s">
        <v>1721</v>
      </c>
      <c r="L354" s="49">
        <v>0</v>
      </c>
      <c r="O354" s="49">
        <v>0</v>
      </c>
      <c r="R354" s="49" t="s">
        <v>2055</v>
      </c>
      <c r="S354" s="49">
        <v>10</v>
      </c>
      <c r="T354" s="49">
        <v>20</v>
      </c>
      <c r="W354" s="49">
        <v>20</v>
      </c>
      <c r="X354" s="1">
        <v>18</v>
      </c>
      <c r="Y354" s="1" t="s">
        <v>2494</v>
      </c>
      <c r="Z354" s="49">
        <v>9</v>
      </c>
      <c r="AC354" s="50"/>
    </row>
    <row r="355" spans="1:29" s="25" customFormat="1" x14ac:dyDescent="0.25">
      <c r="A355" s="25">
        <v>785</v>
      </c>
      <c r="B355" s="29">
        <v>463467</v>
      </c>
      <c r="C355" s="1" t="s">
        <v>2076</v>
      </c>
      <c r="D355" s="25">
        <v>0</v>
      </c>
      <c r="H355" s="25" t="s">
        <v>1883</v>
      </c>
      <c r="I355" s="25" t="s">
        <v>1795</v>
      </c>
      <c r="J355" s="25" t="s">
        <v>1722</v>
      </c>
      <c r="L355" s="25">
        <v>0</v>
      </c>
      <c r="O355" s="25">
        <v>0</v>
      </c>
      <c r="Q355" s="25" t="s">
        <v>1978</v>
      </c>
      <c r="T355" s="25">
        <v>12</v>
      </c>
      <c r="W355" s="25">
        <v>12</v>
      </c>
      <c r="X355" s="1">
        <v>19</v>
      </c>
      <c r="Y355" s="1" t="s">
        <v>2495</v>
      </c>
      <c r="Z355" s="25">
        <v>5</v>
      </c>
      <c r="AC355" s="28"/>
    </row>
    <row r="356" spans="1:29" s="25" customFormat="1" x14ac:dyDescent="0.25">
      <c r="A356" s="25">
        <v>781</v>
      </c>
      <c r="B356" s="29">
        <v>461004</v>
      </c>
      <c r="C356" s="1" t="s">
        <v>2076</v>
      </c>
      <c r="D356" s="25">
        <v>0</v>
      </c>
      <c r="H356" s="25" t="s">
        <v>1884</v>
      </c>
      <c r="I356" s="25" t="s">
        <v>1796</v>
      </c>
      <c r="J356" s="25" t="s">
        <v>1723</v>
      </c>
      <c r="L356" s="25">
        <v>0</v>
      </c>
      <c r="O356" s="25">
        <v>0</v>
      </c>
      <c r="Q356" s="25" t="s">
        <v>1979</v>
      </c>
      <c r="T356" s="25">
        <v>15</v>
      </c>
      <c r="W356" s="25">
        <v>15</v>
      </c>
      <c r="X356" s="1">
        <v>22</v>
      </c>
      <c r="Y356" s="1" t="s">
        <v>2496</v>
      </c>
      <c r="Z356" s="25">
        <v>5</v>
      </c>
      <c r="AC356" s="28"/>
    </row>
    <row r="357" spans="1:29" s="45" customFormat="1" x14ac:dyDescent="0.25">
      <c r="A357" s="45">
        <v>445</v>
      </c>
      <c r="B357" s="47">
        <v>75711</v>
      </c>
      <c r="C357" s="1" t="s">
        <v>2076</v>
      </c>
      <c r="H357" s="45" t="s">
        <v>1885</v>
      </c>
      <c r="I357" s="45" t="s">
        <v>1797</v>
      </c>
      <c r="J357" s="45" t="s">
        <v>1696</v>
      </c>
      <c r="O357" s="45">
        <v>1</v>
      </c>
      <c r="P357" s="1" t="s">
        <v>2018</v>
      </c>
      <c r="Q357" s="1" t="s">
        <v>1980</v>
      </c>
      <c r="R357" s="1"/>
      <c r="T357" s="45">
        <v>7</v>
      </c>
      <c r="W357" s="45">
        <v>7</v>
      </c>
      <c r="X357" s="1">
        <v>17</v>
      </c>
      <c r="Y357" s="1" t="s">
        <v>2497</v>
      </c>
      <c r="AC357" s="84" t="s">
        <v>1924</v>
      </c>
    </row>
    <row r="358" spans="1:29" x14ac:dyDescent="0.25">
      <c r="A358" s="1">
        <v>251</v>
      </c>
      <c r="B358" s="13">
        <v>367201</v>
      </c>
      <c r="C358" s="1" t="s">
        <v>2076</v>
      </c>
      <c r="D358" s="1">
        <v>0</v>
      </c>
      <c r="H358" s="1" t="s">
        <v>1886</v>
      </c>
      <c r="I358" s="1" t="s">
        <v>1798</v>
      </c>
      <c r="J358" s="2" t="s">
        <v>1724</v>
      </c>
      <c r="K358" s="2"/>
      <c r="L358" s="1">
        <v>0</v>
      </c>
      <c r="O358" s="1">
        <v>1</v>
      </c>
      <c r="P358" s="1" t="s">
        <v>2019</v>
      </c>
      <c r="R358" s="1" t="s">
        <v>2056</v>
      </c>
      <c r="S358" s="1">
        <v>16</v>
      </c>
      <c r="W358" s="1">
        <v>16</v>
      </c>
      <c r="X358" s="1">
        <v>14</v>
      </c>
      <c r="Y358" s="1" t="s">
        <v>2498</v>
      </c>
    </row>
    <row r="359" spans="1:29" s="45" customFormat="1" x14ac:dyDescent="0.25">
      <c r="A359" s="45">
        <v>250</v>
      </c>
      <c r="B359" s="47">
        <v>298314</v>
      </c>
      <c r="C359" s="1" t="s">
        <v>2076</v>
      </c>
      <c r="H359" s="45" t="s">
        <v>1676</v>
      </c>
      <c r="I359" s="45" t="s">
        <v>1799</v>
      </c>
      <c r="J359" s="45" t="s">
        <v>1696</v>
      </c>
      <c r="O359" s="45">
        <v>0</v>
      </c>
      <c r="P359" s="1"/>
      <c r="Q359" s="1" t="s">
        <v>1981</v>
      </c>
      <c r="R359" s="1"/>
      <c r="S359" s="45">
        <v>13</v>
      </c>
      <c r="W359" s="45">
        <v>13</v>
      </c>
      <c r="X359" s="1">
        <v>14</v>
      </c>
      <c r="Y359" s="1" t="s">
        <v>2499</v>
      </c>
      <c r="AC359" s="84" t="s">
        <v>1924</v>
      </c>
    </row>
    <row r="360" spans="1:29" s="45" customFormat="1" x14ac:dyDescent="0.25">
      <c r="A360" s="45">
        <v>249</v>
      </c>
      <c r="B360" s="47">
        <v>548476</v>
      </c>
      <c r="C360" s="1" t="s">
        <v>2076</v>
      </c>
      <c r="H360" s="45" t="s">
        <v>1887</v>
      </c>
      <c r="I360" s="45" t="s">
        <v>1800</v>
      </c>
      <c r="J360" s="45" t="s">
        <v>1696</v>
      </c>
      <c r="O360" s="45">
        <v>1</v>
      </c>
      <c r="P360" s="1" t="s">
        <v>2020</v>
      </c>
      <c r="Q360" s="1" t="s">
        <v>1982</v>
      </c>
      <c r="R360" s="1"/>
      <c r="S360" s="45">
        <v>4</v>
      </c>
      <c r="T360" s="45">
        <v>22</v>
      </c>
      <c r="W360" s="45">
        <v>22</v>
      </c>
      <c r="X360" s="1">
        <v>19</v>
      </c>
      <c r="Y360" s="1" t="s">
        <v>2500</v>
      </c>
      <c r="AC360" s="84" t="s">
        <v>1924</v>
      </c>
    </row>
    <row r="361" spans="1:29" s="45" customFormat="1" x14ac:dyDescent="0.25">
      <c r="A361" s="45">
        <v>248</v>
      </c>
      <c r="B361" s="47">
        <v>7902</v>
      </c>
      <c r="C361" s="1" t="s">
        <v>2076</v>
      </c>
      <c r="H361" s="45" t="s">
        <v>1675</v>
      </c>
      <c r="I361" s="45" t="s">
        <v>1801</v>
      </c>
      <c r="J361" s="45" t="s">
        <v>1696</v>
      </c>
      <c r="O361" s="45">
        <v>1</v>
      </c>
      <c r="P361" s="1" t="s">
        <v>2021</v>
      </c>
      <c r="Q361" s="1"/>
      <c r="R361" s="1" t="s">
        <v>2057</v>
      </c>
      <c r="S361" s="45">
        <v>6</v>
      </c>
      <c r="T361" s="45" t="s">
        <v>1690</v>
      </c>
      <c r="U361" s="45">
        <v>6</v>
      </c>
      <c r="V361" s="45">
        <v>5</v>
      </c>
      <c r="W361" s="45">
        <v>6</v>
      </c>
      <c r="X361" s="1">
        <v>10</v>
      </c>
      <c r="Y361" s="1" t="s">
        <v>2501</v>
      </c>
      <c r="AC361" s="84" t="s">
        <v>1924</v>
      </c>
    </row>
    <row r="362" spans="1:29" s="45" customFormat="1" x14ac:dyDescent="0.25">
      <c r="A362" s="45">
        <v>247</v>
      </c>
      <c r="B362" s="47">
        <v>547606</v>
      </c>
      <c r="C362" s="1" t="s">
        <v>2076</v>
      </c>
      <c r="H362" s="45" t="s">
        <v>1888</v>
      </c>
      <c r="I362" s="45" t="s">
        <v>1802</v>
      </c>
      <c r="J362" s="45" t="s">
        <v>1725</v>
      </c>
      <c r="O362" s="45">
        <v>1</v>
      </c>
      <c r="P362" s="1" t="s">
        <v>1725</v>
      </c>
      <c r="Q362" s="1" t="s">
        <v>1983</v>
      </c>
      <c r="R362" s="1"/>
      <c r="S362" s="45">
        <v>10</v>
      </c>
      <c r="W362" s="45">
        <v>10</v>
      </c>
      <c r="X362" s="1">
        <v>9</v>
      </c>
      <c r="Y362" s="1" t="s">
        <v>2502</v>
      </c>
      <c r="AC362" s="84" t="s">
        <v>1923</v>
      </c>
    </row>
    <row r="363" spans="1:29" s="45" customFormat="1" x14ac:dyDescent="0.25">
      <c r="A363" s="45">
        <v>224</v>
      </c>
      <c r="B363" s="47">
        <v>545495</v>
      </c>
      <c r="C363" s="1" t="s">
        <v>2076</v>
      </c>
      <c r="H363" s="45" t="s">
        <v>1889</v>
      </c>
      <c r="I363" s="45" t="s">
        <v>1803</v>
      </c>
      <c r="J363" s="45" t="s">
        <v>1696</v>
      </c>
      <c r="O363" s="45">
        <v>1</v>
      </c>
      <c r="P363" s="1" t="s">
        <v>2022</v>
      </c>
      <c r="Q363" s="1" t="s">
        <v>1984</v>
      </c>
      <c r="R363" s="1"/>
      <c r="T363" s="45">
        <v>24</v>
      </c>
      <c r="W363" s="45">
        <v>24</v>
      </c>
      <c r="X363" s="1">
        <v>21</v>
      </c>
      <c r="Y363" s="1" t="s">
        <v>2503</v>
      </c>
      <c r="AC363" s="84" t="s">
        <v>1924</v>
      </c>
    </row>
    <row r="364" spans="1:29" s="45" customFormat="1" x14ac:dyDescent="0.25">
      <c r="A364" s="45">
        <v>199</v>
      </c>
      <c r="B364" s="47">
        <v>113566</v>
      </c>
      <c r="C364" s="1" t="s">
        <v>2076</v>
      </c>
      <c r="H364" s="45" t="s">
        <v>1890</v>
      </c>
      <c r="I364" s="45" t="s">
        <v>1804</v>
      </c>
      <c r="J364" s="45" t="s">
        <v>1696</v>
      </c>
      <c r="L364" s="45" t="s">
        <v>1927</v>
      </c>
      <c r="O364" s="45">
        <v>0</v>
      </c>
      <c r="P364" s="1"/>
      <c r="Q364" s="1"/>
      <c r="R364" s="1" t="s">
        <v>2058</v>
      </c>
      <c r="S364" s="45">
        <v>11</v>
      </c>
      <c r="W364" s="45">
        <v>11</v>
      </c>
      <c r="X364" s="1"/>
      <c r="Y364" s="1"/>
      <c r="AC364" s="84" t="s">
        <v>1924</v>
      </c>
    </row>
    <row r="365" spans="1:29" x14ac:dyDescent="0.25">
      <c r="A365" s="1">
        <v>181</v>
      </c>
      <c r="B365" s="13">
        <v>524647</v>
      </c>
      <c r="C365" s="1" t="s">
        <v>2076</v>
      </c>
      <c r="D365" s="1" t="s">
        <v>1940</v>
      </c>
      <c r="H365" s="1" t="s">
        <v>1891</v>
      </c>
      <c r="I365" s="1" t="s">
        <v>1805</v>
      </c>
      <c r="J365" s="2" t="s">
        <v>1726</v>
      </c>
      <c r="K365" s="2"/>
      <c r="L365" s="1" t="s">
        <v>1932</v>
      </c>
      <c r="O365" s="1">
        <v>1</v>
      </c>
      <c r="P365" s="1" t="s">
        <v>2023</v>
      </c>
      <c r="Q365" s="1" t="s">
        <v>1985</v>
      </c>
      <c r="T365" s="1">
        <v>17</v>
      </c>
      <c r="W365" s="1">
        <v>17</v>
      </c>
      <c r="X365" s="1">
        <v>19</v>
      </c>
      <c r="Y365" s="1" t="s">
        <v>2504</v>
      </c>
    </row>
    <row r="366" spans="1:29" s="49" customFormat="1" x14ac:dyDescent="0.25">
      <c r="A366" s="49">
        <v>174</v>
      </c>
      <c r="B366" s="51">
        <v>255622</v>
      </c>
      <c r="C366" s="1" t="s">
        <v>2076</v>
      </c>
      <c r="D366" s="49">
        <v>0</v>
      </c>
      <c r="H366" s="49" t="s">
        <v>1892</v>
      </c>
      <c r="I366" s="49" t="s">
        <v>1806</v>
      </c>
      <c r="J366" s="49" t="s">
        <v>1727</v>
      </c>
      <c r="L366" s="49">
        <v>0</v>
      </c>
      <c r="O366" s="49">
        <v>0</v>
      </c>
      <c r="R366" s="49" t="s">
        <v>2059</v>
      </c>
      <c r="T366" s="49">
        <v>12</v>
      </c>
      <c r="W366" s="49">
        <v>12</v>
      </c>
      <c r="X366" s="1">
        <v>15</v>
      </c>
      <c r="Y366" s="1" t="s">
        <v>2505</v>
      </c>
      <c r="Z366" s="49">
        <v>9</v>
      </c>
      <c r="AC366" s="50"/>
    </row>
    <row r="367" spans="1:29" s="45" customFormat="1" x14ac:dyDescent="0.25">
      <c r="A367" s="45">
        <v>172</v>
      </c>
      <c r="B367" s="47">
        <v>544732</v>
      </c>
      <c r="C367" s="1" t="s">
        <v>2076</v>
      </c>
      <c r="H367" s="45" t="s">
        <v>1893</v>
      </c>
      <c r="I367" s="45" t="s">
        <v>1807</v>
      </c>
      <c r="J367" s="45" t="s">
        <v>1696</v>
      </c>
      <c r="O367" s="45">
        <v>1</v>
      </c>
      <c r="P367" s="1" t="s">
        <v>2024</v>
      </c>
      <c r="Q367" s="1" t="s">
        <v>1986</v>
      </c>
      <c r="R367" s="1"/>
      <c r="T367" s="45">
        <v>31</v>
      </c>
      <c r="W367" s="45">
        <v>31</v>
      </c>
      <c r="X367" s="1">
        <v>21</v>
      </c>
      <c r="Y367" s="1" t="s">
        <v>2506</v>
      </c>
      <c r="AC367" s="84" t="s">
        <v>1924</v>
      </c>
    </row>
    <row r="368" spans="1:29" s="45" customFormat="1" x14ac:dyDescent="0.25">
      <c r="A368" s="45">
        <v>160</v>
      </c>
      <c r="B368" s="47">
        <v>486219</v>
      </c>
      <c r="C368" s="1" t="s">
        <v>2076</v>
      </c>
      <c r="H368" s="45" t="s">
        <v>1894</v>
      </c>
      <c r="I368" s="45" t="s">
        <v>1808</v>
      </c>
      <c r="J368" s="45" t="s">
        <v>1696</v>
      </c>
      <c r="O368" s="45">
        <v>1</v>
      </c>
      <c r="P368" s="1" t="s">
        <v>2025</v>
      </c>
      <c r="Q368" s="1" t="s">
        <v>1987</v>
      </c>
      <c r="R368" s="1"/>
      <c r="S368" s="45">
        <v>13.9</v>
      </c>
      <c r="W368" s="45">
        <v>14</v>
      </c>
      <c r="X368" s="1">
        <v>17</v>
      </c>
      <c r="Y368" s="1" t="s">
        <v>2507</v>
      </c>
      <c r="AC368" s="84" t="s">
        <v>1924</v>
      </c>
    </row>
    <row r="369" spans="1:29" x14ac:dyDescent="0.25">
      <c r="A369" s="1">
        <v>137</v>
      </c>
      <c r="B369" s="13">
        <v>432306</v>
      </c>
      <c r="C369" s="1" t="s">
        <v>2076</v>
      </c>
      <c r="D369" s="1">
        <v>0</v>
      </c>
      <c r="H369" s="1" t="s">
        <v>1895</v>
      </c>
      <c r="I369" s="1" t="s">
        <v>1809</v>
      </c>
      <c r="J369" s="2" t="s">
        <v>1697</v>
      </c>
      <c r="K369" s="2"/>
      <c r="L369" s="1">
        <v>0</v>
      </c>
      <c r="O369" s="1">
        <v>1</v>
      </c>
      <c r="P369" s="1" t="s">
        <v>2026</v>
      </c>
      <c r="R369" s="1" t="s">
        <v>2060</v>
      </c>
      <c r="T369" s="1">
        <v>11</v>
      </c>
      <c r="W369" s="1">
        <v>11</v>
      </c>
      <c r="X369" s="1">
        <v>13</v>
      </c>
      <c r="Y369" s="1" t="s">
        <v>2508</v>
      </c>
    </row>
    <row r="370" spans="1:29" x14ac:dyDescent="0.25">
      <c r="A370" s="1">
        <v>136</v>
      </c>
      <c r="B370" s="13">
        <v>533553</v>
      </c>
      <c r="C370" s="1" t="s">
        <v>2076</v>
      </c>
      <c r="D370" s="1" t="s">
        <v>1939</v>
      </c>
      <c r="H370" s="1" t="s">
        <v>1810</v>
      </c>
      <c r="I370" s="1" t="s">
        <v>1810</v>
      </c>
      <c r="J370" s="2" t="s">
        <v>1728</v>
      </c>
      <c r="K370" s="2"/>
      <c r="L370" s="1" t="s">
        <v>1933</v>
      </c>
      <c r="O370" s="1">
        <v>0</v>
      </c>
      <c r="Q370" s="1" t="s">
        <v>1988</v>
      </c>
      <c r="T370" s="1" t="s">
        <v>1690</v>
      </c>
      <c r="V370" s="1">
        <v>10</v>
      </c>
      <c r="W370" s="1">
        <v>10</v>
      </c>
      <c r="X370" s="1">
        <v>12</v>
      </c>
      <c r="Y370" s="1" t="s">
        <v>2509</v>
      </c>
    </row>
    <row r="371" spans="1:29" s="40" customFormat="1" x14ac:dyDescent="0.25">
      <c r="A371" s="40">
        <v>129</v>
      </c>
      <c r="B371" s="44">
        <v>379982</v>
      </c>
      <c r="C371" s="1" t="s">
        <v>2076</v>
      </c>
      <c r="D371" s="40">
        <v>0</v>
      </c>
      <c r="H371" s="40" t="s">
        <v>1811</v>
      </c>
      <c r="I371" s="40" t="s">
        <v>1811</v>
      </c>
      <c r="J371" s="40" t="s">
        <v>1729</v>
      </c>
      <c r="L371" s="40">
        <v>0</v>
      </c>
      <c r="O371" s="40">
        <v>1</v>
      </c>
      <c r="P371" s="40" t="s">
        <v>1990</v>
      </c>
      <c r="Q371" s="40" t="s">
        <v>1989</v>
      </c>
      <c r="T371" s="40">
        <v>10</v>
      </c>
      <c r="W371" s="40">
        <v>10</v>
      </c>
      <c r="X371" s="1">
        <v>19</v>
      </c>
      <c r="Y371" s="1" t="s">
        <v>2510</v>
      </c>
      <c r="Z371" s="40">
        <v>8</v>
      </c>
      <c r="AC371" s="43"/>
    </row>
    <row r="372" spans="1:29" s="40" customFormat="1" x14ac:dyDescent="0.25">
      <c r="A372" s="40">
        <v>119</v>
      </c>
      <c r="B372" s="44">
        <v>531755</v>
      </c>
      <c r="C372" s="1" t="s">
        <v>2076</v>
      </c>
      <c r="D372" s="40">
        <v>0</v>
      </c>
      <c r="H372" s="40" t="s">
        <v>1812</v>
      </c>
      <c r="I372" s="40" t="s">
        <v>1812</v>
      </c>
      <c r="J372" s="40" t="s">
        <v>1730</v>
      </c>
      <c r="L372" s="40">
        <v>0</v>
      </c>
      <c r="O372" s="40">
        <v>1</v>
      </c>
      <c r="P372" s="40" t="s">
        <v>1730</v>
      </c>
      <c r="Q372" s="40" t="s">
        <v>1990</v>
      </c>
      <c r="S372" s="40">
        <v>24</v>
      </c>
      <c r="T372" s="40" t="s">
        <v>1690</v>
      </c>
      <c r="V372" s="40">
        <v>7</v>
      </c>
      <c r="W372" s="40">
        <v>24</v>
      </c>
      <c r="X372" s="1">
        <v>14</v>
      </c>
      <c r="Y372" s="1" t="s">
        <v>2511</v>
      </c>
      <c r="Z372" s="40">
        <v>8</v>
      </c>
      <c r="AC372" s="43"/>
    </row>
    <row r="373" spans="1:29" s="40" customFormat="1" x14ac:dyDescent="0.25">
      <c r="A373" s="40">
        <v>106</v>
      </c>
      <c r="B373" s="44">
        <v>202197</v>
      </c>
      <c r="C373" s="1" t="s">
        <v>2076</v>
      </c>
      <c r="D373" s="40">
        <v>0</v>
      </c>
      <c r="H373" s="40" t="s">
        <v>1858</v>
      </c>
      <c r="I373" s="40" t="s">
        <v>1813</v>
      </c>
      <c r="J373" s="40" t="s">
        <v>1731</v>
      </c>
      <c r="L373" s="40">
        <v>0</v>
      </c>
      <c r="O373" s="40">
        <v>1</v>
      </c>
      <c r="P373" s="40" t="s">
        <v>2027</v>
      </c>
      <c r="Q373" s="40" t="s">
        <v>1991</v>
      </c>
      <c r="S373" s="40">
        <v>12</v>
      </c>
      <c r="W373" s="40">
        <v>12</v>
      </c>
      <c r="X373" s="1">
        <v>14</v>
      </c>
      <c r="Y373" s="1" t="s">
        <v>2512</v>
      </c>
      <c r="Z373" s="40">
        <v>8</v>
      </c>
      <c r="AC373" s="43"/>
    </row>
    <row r="374" spans="1:29" s="40" customFormat="1" x14ac:dyDescent="0.25">
      <c r="A374" s="40">
        <v>105</v>
      </c>
      <c r="B374" s="44">
        <v>233598</v>
      </c>
      <c r="C374" s="1" t="s">
        <v>2076</v>
      </c>
      <c r="D374" s="40">
        <v>0</v>
      </c>
      <c r="H374" s="40" t="s">
        <v>1684</v>
      </c>
      <c r="I374" s="40" t="s">
        <v>1814</v>
      </c>
      <c r="J374" s="40" t="s">
        <v>1732</v>
      </c>
      <c r="L374" s="40">
        <v>0</v>
      </c>
      <c r="O374" s="40">
        <v>1</v>
      </c>
      <c r="P374" s="40" t="s">
        <v>2028</v>
      </c>
      <c r="Q374" s="40" t="s">
        <v>1992</v>
      </c>
      <c r="S374" s="40">
        <v>16</v>
      </c>
      <c r="T374" s="40">
        <v>29</v>
      </c>
      <c r="W374" s="40">
        <v>29</v>
      </c>
      <c r="X374" s="1">
        <v>22</v>
      </c>
      <c r="Y374" s="1" t="s">
        <v>2513</v>
      </c>
      <c r="Z374" s="40">
        <v>8</v>
      </c>
      <c r="AC374" s="43"/>
    </row>
    <row r="375" spans="1:29" s="40" customFormat="1" x14ac:dyDescent="0.25">
      <c r="A375" s="40">
        <v>103</v>
      </c>
      <c r="B375" s="44">
        <v>524298</v>
      </c>
      <c r="C375" s="1" t="s">
        <v>2076</v>
      </c>
      <c r="D375" s="40">
        <v>0</v>
      </c>
      <c r="H375" s="40" t="s">
        <v>1681</v>
      </c>
      <c r="I375" s="40" t="s">
        <v>1815</v>
      </c>
      <c r="J375" s="40" t="s">
        <v>1733</v>
      </c>
      <c r="L375" s="40">
        <v>0</v>
      </c>
      <c r="O375" s="40">
        <v>1</v>
      </c>
      <c r="P375" s="40" t="s">
        <v>2029</v>
      </c>
      <c r="Q375" s="40" t="s">
        <v>1993</v>
      </c>
      <c r="T375" s="40">
        <v>27</v>
      </c>
      <c r="W375" s="40">
        <v>27</v>
      </c>
      <c r="X375" s="1">
        <v>24</v>
      </c>
      <c r="Y375" s="1" t="s">
        <v>2514</v>
      </c>
      <c r="Z375" s="40">
        <v>8</v>
      </c>
      <c r="AC375" s="43"/>
    </row>
    <row r="376" spans="1:29" x14ac:dyDescent="0.25">
      <c r="A376" s="1">
        <v>93</v>
      </c>
      <c r="B376" s="13">
        <v>529484</v>
      </c>
      <c r="C376" s="1" t="s">
        <v>2076</v>
      </c>
      <c r="D376" s="1">
        <v>0</v>
      </c>
      <c r="H376" s="1" t="s">
        <v>1896</v>
      </c>
      <c r="I376" s="1" t="s">
        <v>1816</v>
      </c>
      <c r="J376" s="2" t="s">
        <v>1731</v>
      </c>
      <c r="K376" s="2"/>
      <c r="L376" s="1">
        <v>0</v>
      </c>
      <c r="O376" s="1">
        <v>1</v>
      </c>
      <c r="P376" s="1" t="s">
        <v>2030</v>
      </c>
      <c r="R376" s="1" t="s">
        <v>2061</v>
      </c>
      <c r="S376" s="1">
        <v>12</v>
      </c>
      <c r="T376" s="1" t="s">
        <v>1690</v>
      </c>
      <c r="U376" s="1">
        <v>9</v>
      </c>
      <c r="V376" s="1">
        <v>14</v>
      </c>
      <c r="W376" s="1">
        <v>12</v>
      </c>
      <c r="X376" s="1">
        <v>13</v>
      </c>
      <c r="Y376" s="1" t="s">
        <v>2515</v>
      </c>
    </row>
    <row r="377" spans="1:29" s="40" customFormat="1" x14ac:dyDescent="0.25">
      <c r="A377" s="40">
        <v>76</v>
      </c>
      <c r="B377" s="44">
        <v>513976</v>
      </c>
      <c r="C377" s="1" t="s">
        <v>2076</v>
      </c>
      <c r="D377" s="40">
        <v>0</v>
      </c>
      <c r="H377" s="40" t="s">
        <v>1897</v>
      </c>
      <c r="I377" s="40" t="s">
        <v>1817</v>
      </c>
      <c r="J377" s="40" t="s">
        <v>1734</v>
      </c>
      <c r="L377" s="40">
        <v>0</v>
      </c>
      <c r="O377" s="40">
        <v>1</v>
      </c>
      <c r="P377" s="40" t="s">
        <v>2031</v>
      </c>
      <c r="Q377" s="40" t="s">
        <v>1994</v>
      </c>
      <c r="S377" s="40">
        <v>12</v>
      </c>
      <c r="W377" s="40">
        <v>12</v>
      </c>
      <c r="X377" s="1">
        <v>10</v>
      </c>
      <c r="Y377" s="1" t="s">
        <v>2516</v>
      </c>
      <c r="Z377" s="40">
        <v>8</v>
      </c>
      <c r="AC377" s="43"/>
    </row>
    <row r="378" spans="1:29" s="45" customFormat="1" x14ac:dyDescent="0.25">
      <c r="A378" s="45">
        <v>62</v>
      </c>
      <c r="B378" s="47">
        <v>395572</v>
      </c>
      <c r="C378" s="1" t="s">
        <v>2076</v>
      </c>
      <c r="H378" s="45" t="s">
        <v>1898</v>
      </c>
      <c r="I378" s="45" t="s">
        <v>1818</v>
      </c>
      <c r="J378" s="45" t="s">
        <v>1735</v>
      </c>
      <c r="O378" s="45">
        <v>0</v>
      </c>
      <c r="P378" s="1"/>
      <c r="Q378" s="1" t="s">
        <v>1995</v>
      </c>
      <c r="R378" s="1"/>
      <c r="S378" s="45">
        <v>6</v>
      </c>
      <c r="W378" s="45">
        <v>6</v>
      </c>
      <c r="X378" s="1">
        <v>10</v>
      </c>
      <c r="Y378" s="1" t="s">
        <v>2517</v>
      </c>
      <c r="AC378" s="84" t="s">
        <v>1923</v>
      </c>
    </row>
    <row r="379" spans="1:29" s="45" customFormat="1" x14ac:dyDescent="0.25">
      <c r="A379" s="45">
        <v>2121</v>
      </c>
      <c r="B379" s="47">
        <v>140923</v>
      </c>
      <c r="C379" s="1" t="s">
        <v>2076</v>
      </c>
      <c r="E379" s="47" t="s">
        <v>2148</v>
      </c>
      <c r="H379" s="45" t="s">
        <v>1899</v>
      </c>
      <c r="I379" s="45" t="s">
        <v>1819</v>
      </c>
      <c r="J379" s="45" t="s">
        <v>1736</v>
      </c>
      <c r="L379" s="45" t="s">
        <v>1926</v>
      </c>
      <c r="O379" s="45">
        <v>1</v>
      </c>
      <c r="P379" s="1" t="s">
        <v>1736</v>
      </c>
      <c r="Q379" s="1" t="s">
        <v>1996</v>
      </c>
      <c r="R379" s="1"/>
      <c r="T379" s="45">
        <v>13</v>
      </c>
      <c r="W379" s="45">
        <v>13</v>
      </c>
      <c r="X379" s="1">
        <v>19</v>
      </c>
      <c r="Y379" s="1" t="s">
        <v>2422</v>
      </c>
      <c r="AC379" s="84" t="s">
        <v>1923</v>
      </c>
    </row>
    <row r="380" spans="1:29" x14ac:dyDescent="0.25">
      <c r="A380" s="1">
        <v>2111</v>
      </c>
      <c r="B380" s="13">
        <v>353529</v>
      </c>
      <c r="C380" s="17" t="s">
        <v>2076</v>
      </c>
      <c r="D380" s="87">
        <v>45288</v>
      </c>
      <c r="H380" s="1" t="s">
        <v>1900</v>
      </c>
      <c r="I380" s="1" t="s">
        <v>1820</v>
      </c>
      <c r="J380" s="2" t="s">
        <v>1206</v>
      </c>
      <c r="K380" s="2"/>
      <c r="L380" s="87">
        <v>45298</v>
      </c>
      <c r="M380" s="87">
        <v>45310</v>
      </c>
      <c r="O380" s="1">
        <v>0</v>
      </c>
      <c r="R380" s="1" t="s">
        <v>2062</v>
      </c>
      <c r="T380" s="1">
        <v>9</v>
      </c>
      <c r="W380" s="1">
        <v>9</v>
      </c>
      <c r="X380" s="1">
        <v>12</v>
      </c>
      <c r="Y380" s="1" t="s">
        <v>2423</v>
      </c>
    </row>
    <row r="381" spans="1:29" x14ac:dyDescent="0.25">
      <c r="A381" s="1" t="s">
        <v>1669</v>
      </c>
      <c r="B381" s="13">
        <v>570084</v>
      </c>
      <c r="C381" s="1" t="s">
        <v>2076</v>
      </c>
      <c r="D381" s="1" t="s">
        <v>1925</v>
      </c>
      <c r="H381" s="1" t="s">
        <v>1677</v>
      </c>
      <c r="I381" s="1" t="s">
        <v>1821</v>
      </c>
      <c r="J381" s="2" t="s">
        <v>401</v>
      </c>
      <c r="K381" s="2"/>
      <c r="L381" s="1">
        <v>0</v>
      </c>
      <c r="O381" s="1">
        <v>0</v>
      </c>
      <c r="Q381" s="1" t="s">
        <v>1997</v>
      </c>
      <c r="S381" s="1">
        <v>4</v>
      </c>
      <c r="T381" s="1">
        <v>9</v>
      </c>
      <c r="W381" s="1">
        <v>9</v>
      </c>
      <c r="X381" s="1">
        <v>10</v>
      </c>
      <c r="Y381" s="1" t="s">
        <v>2424</v>
      </c>
      <c r="AC381" s="57" t="s">
        <v>1922</v>
      </c>
    </row>
    <row r="382" spans="1:29" s="25" customFormat="1" x14ac:dyDescent="0.25">
      <c r="A382" s="25">
        <v>2069</v>
      </c>
      <c r="B382" s="29">
        <v>245399</v>
      </c>
      <c r="C382" s="1" t="s">
        <v>2076</v>
      </c>
      <c r="D382" s="25">
        <v>0</v>
      </c>
      <c r="H382" s="25" t="s">
        <v>1901</v>
      </c>
      <c r="I382" s="25" t="s">
        <v>1822</v>
      </c>
      <c r="J382" s="25" t="s">
        <v>1737</v>
      </c>
      <c r="L382" s="25">
        <v>0</v>
      </c>
      <c r="O382" s="25">
        <v>0</v>
      </c>
      <c r="Q382" s="25" t="s">
        <v>1511</v>
      </c>
      <c r="T382" s="25">
        <v>16</v>
      </c>
      <c r="W382" s="25">
        <v>16</v>
      </c>
      <c r="X382" s="1">
        <v>10</v>
      </c>
      <c r="Y382" s="1" t="s">
        <v>2425</v>
      </c>
      <c r="Z382" s="25">
        <v>5</v>
      </c>
      <c r="AC382" s="28"/>
    </row>
    <row r="383" spans="1:29" x14ac:dyDescent="0.25">
      <c r="A383" s="1">
        <v>2061</v>
      </c>
      <c r="B383" s="13">
        <v>80783</v>
      </c>
      <c r="C383" s="1" t="s">
        <v>2076</v>
      </c>
      <c r="D383" s="1">
        <v>0</v>
      </c>
      <c r="H383" s="1" t="s">
        <v>1902</v>
      </c>
      <c r="I383" s="1" t="s">
        <v>1823</v>
      </c>
      <c r="J383" s="2" t="s">
        <v>277</v>
      </c>
      <c r="K383" s="2"/>
      <c r="L383" s="1">
        <v>0</v>
      </c>
      <c r="O383" s="1">
        <v>1</v>
      </c>
      <c r="P383" s="1" t="s">
        <v>2032</v>
      </c>
      <c r="R383" s="1" t="s">
        <v>2063</v>
      </c>
      <c r="T383" s="1">
        <v>14</v>
      </c>
      <c r="W383" s="1">
        <v>14</v>
      </c>
      <c r="X383" s="1">
        <v>16</v>
      </c>
      <c r="Y383" s="1" t="s">
        <v>2426</v>
      </c>
    </row>
    <row r="384" spans="1:29" s="40" customFormat="1" x14ac:dyDescent="0.25">
      <c r="A384" s="40">
        <v>1987</v>
      </c>
      <c r="B384" s="44">
        <v>682127</v>
      </c>
      <c r="C384" s="1" t="s">
        <v>2076</v>
      </c>
      <c r="D384" s="40">
        <v>0</v>
      </c>
      <c r="H384" s="40" t="s">
        <v>1824</v>
      </c>
      <c r="I384" s="40" t="s">
        <v>1824</v>
      </c>
      <c r="J384" s="40" t="s">
        <v>176</v>
      </c>
      <c r="L384" s="40">
        <v>0</v>
      </c>
      <c r="O384" s="40">
        <v>1</v>
      </c>
      <c r="P384" s="40" t="s">
        <v>395</v>
      </c>
      <c r="Q384" s="40" t="s">
        <v>994</v>
      </c>
      <c r="T384" s="40">
        <v>16</v>
      </c>
      <c r="W384" s="40">
        <v>16</v>
      </c>
      <c r="X384" s="1">
        <v>17</v>
      </c>
      <c r="Y384" s="1" t="s">
        <v>2427</v>
      </c>
      <c r="Z384" s="40">
        <v>8</v>
      </c>
      <c r="AC384" s="43"/>
    </row>
    <row r="385" spans="1:29" s="25" customFormat="1" x14ac:dyDescent="0.25">
      <c r="A385" s="25">
        <v>1985</v>
      </c>
      <c r="B385" s="29">
        <v>675204</v>
      </c>
      <c r="C385" s="1" t="s">
        <v>2076</v>
      </c>
      <c r="D385" s="25">
        <v>0</v>
      </c>
      <c r="H385" s="25" t="s">
        <v>1903</v>
      </c>
      <c r="I385" s="25" t="s">
        <v>1825</v>
      </c>
      <c r="J385" s="25" t="s">
        <v>1530</v>
      </c>
      <c r="L385" s="25">
        <v>0</v>
      </c>
      <c r="O385" s="25">
        <v>0</v>
      </c>
      <c r="Q385" s="25" t="s">
        <v>313</v>
      </c>
      <c r="S385" s="25">
        <v>25</v>
      </c>
      <c r="W385" s="25">
        <v>25</v>
      </c>
      <c r="X385" s="1">
        <v>19</v>
      </c>
      <c r="Y385" s="1" t="s">
        <v>2428</v>
      </c>
      <c r="Z385" s="25">
        <v>5</v>
      </c>
      <c r="AC385" s="28"/>
    </row>
    <row r="386" spans="1:29" s="45" customFormat="1" x14ac:dyDescent="0.25">
      <c r="A386" s="45">
        <v>1963</v>
      </c>
      <c r="B386" s="47">
        <v>651237</v>
      </c>
      <c r="C386" s="1" t="s">
        <v>2076</v>
      </c>
      <c r="H386" s="45" t="s">
        <v>1904</v>
      </c>
      <c r="I386" s="45" t="s">
        <v>1826</v>
      </c>
      <c r="J386" s="45" t="s">
        <v>1738</v>
      </c>
      <c r="O386" s="45">
        <v>1</v>
      </c>
      <c r="P386" s="1" t="s">
        <v>2033</v>
      </c>
      <c r="Q386" s="1"/>
      <c r="R386" s="1"/>
      <c r="T386" s="45">
        <v>14</v>
      </c>
      <c r="W386" s="45">
        <v>14</v>
      </c>
      <c r="X386" s="1">
        <v>15</v>
      </c>
      <c r="Y386" s="1" t="s">
        <v>2429</v>
      </c>
      <c r="AC386" s="84" t="s">
        <v>1923</v>
      </c>
    </row>
    <row r="387" spans="1:29" x14ac:dyDescent="0.25">
      <c r="A387" s="1">
        <v>1953</v>
      </c>
      <c r="B387" s="13">
        <v>343836</v>
      </c>
      <c r="C387" s="1" t="s">
        <v>2076</v>
      </c>
      <c r="D387" s="1">
        <v>0</v>
      </c>
      <c r="H387" s="1" t="s">
        <v>1905</v>
      </c>
      <c r="I387" s="1" t="s">
        <v>1827</v>
      </c>
      <c r="J387" s="2" t="s">
        <v>1739</v>
      </c>
      <c r="K387" s="2"/>
      <c r="L387" s="1">
        <v>0</v>
      </c>
      <c r="O387" s="1">
        <v>0</v>
      </c>
      <c r="R387" s="1" t="s">
        <v>2064</v>
      </c>
      <c r="T387" s="1">
        <v>18</v>
      </c>
      <c r="W387" s="1">
        <v>18</v>
      </c>
      <c r="X387" s="1">
        <v>18</v>
      </c>
      <c r="Y387" s="1" t="s">
        <v>2430</v>
      </c>
    </row>
    <row r="388" spans="1:29" x14ac:dyDescent="0.25">
      <c r="A388" s="1">
        <v>1948</v>
      </c>
      <c r="B388" s="13">
        <v>622661</v>
      </c>
      <c r="C388" s="1" t="s">
        <v>2076</v>
      </c>
      <c r="D388" s="1">
        <v>0</v>
      </c>
      <c r="H388" s="1" t="s">
        <v>1906</v>
      </c>
      <c r="I388" s="1" t="s">
        <v>1828</v>
      </c>
      <c r="J388" s="2" t="s">
        <v>1740</v>
      </c>
      <c r="K388" s="2"/>
      <c r="L388" s="1">
        <v>0</v>
      </c>
      <c r="O388" s="1">
        <v>0</v>
      </c>
      <c r="Q388" s="1" t="s">
        <v>1998</v>
      </c>
      <c r="T388" s="1">
        <v>28</v>
      </c>
      <c r="W388" s="1">
        <v>28</v>
      </c>
      <c r="X388" s="1">
        <v>11</v>
      </c>
      <c r="Y388" s="1" t="s">
        <v>2431</v>
      </c>
    </row>
    <row r="389" spans="1:29" s="40" customFormat="1" x14ac:dyDescent="0.25">
      <c r="A389" s="40">
        <v>1943</v>
      </c>
      <c r="B389" s="44">
        <v>673676</v>
      </c>
      <c r="C389" s="1" t="s">
        <v>2076</v>
      </c>
      <c r="D389" s="40">
        <v>0</v>
      </c>
      <c r="H389" s="40" t="s">
        <v>1907</v>
      </c>
      <c r="I389" s="40" t="s">
        <v>1829</v>
      </c>
      <c r="J389" s="40" t="s">
        <v>1741</v>
      </c>
      <c r="L389" s="40">
        <v>0</v>
      </c>
      <c r="O389" s="40">
        <v>1</v>
      </c>
      <c r="P389" s="40" t="s">
        <v>963</v>
      </c>
      <c r="Q389" s="40" t="s">
        <v>371</v>
      </c>
      <c r="S389" s="40">
        <v>26</v>
      </c>
      <c r="W389" s="40">
        <v>26</v>
      </c>
      <c r="X389" s="1">
        <v>22</v>
      </c>
      <c r="Y389" s="1" t="s">
        <v>2432</v>
      </c>
      <c r="Z389" s="40">
        <v>8</v>
      </c>
      <c r="AC389" s="43"/>
    </row>
    <row r="390" spans="1:29" s="40" customFormat="1" x14ac:dyDescent="0.25">
      <c r="A390" s="40">
        <v>1935</v>
      </c>
      <c r="B390" s="44">
        <v>224436</v>
      </c>
      <c r="C390" s="1" t="s">
        <v>2076</v>
      </c>
      <c r="D390" s="40">
        <v>0</v>
      </c>
      <c r="H390" s="40" t="s">
        <v>1678</v>
      </c>
      <c r="I390" s="40" t="s">
        <v>1830</v>
      </c>
      <c r="J390" s="40" t="s">
        <v>1742</v>
      </c>
      <c r="L390" s="40">
        <v>0</v>
      </c>
      <c r="O390" s="40">
        <v>1</v>
      </c>
      <c r="P390" s="40" t="s">
        <v>2034</v>
      </c>
      <c r="Q390" s="40" t="s">
        <v>1999</v>
      </c>
      <c r="S390" s="40">
        <v>20</v>
      </c>
      <c r="W390" s="40">
        <v>20</v>
      </c>
      <c r="X390" s="1">
        <v>16</v>
      </c>
      <c r="Y390" s="1" t="s">
        <v>2433</v>
      </c>
      <c r="Z390" s="40">
        <v>8</v>
      </c>
      <c r="AC390" s="43"/>
    </row>
    <row r="391" spans="1:29" x14ac:dyDescent="0.25">
      <c r="A391" s="1">
        <v>1926</v>
      </c>
      <c r="B391" s="13">
        <v>670615</v>
      </c>
      <c r="C391" s="1" t="s">
        <v>2076</v>
      </c>
      <c r="D391" s="1">
        <v>0</v>
      </c>
      <c r="H391" s="1" t="s">
        <v>1908</v>
      </c>
      <c r="I391" s="1" t="s">
        <v>1831</v>
      </c>
      <c r="J391" s="2" t="s">
        <v>1743</v>
      </c>
      <c r="K391" s="2"/>
      <c r="L391" s="1" t="s">
        <v>1934</v>
      </c>
      <c r="O391" s="1">
        <v>0</v>
      </c>
      <c r="R391" s="1" t="s">
        <v>759</v>
      </c>
      <c r="S391" s="1">
        <v>11</v>
      </c>
      <c r="W391" s="1">
        <v>11</v>
      </c>
      <c r="X391" s="1">
        <v>9</v>
      </c>
      <c r="Y391" s="1" t="s">
        <v>2434</v>
      </c>
    </row>
    <row r="392" spans="1:29" x14ac:dyDescent="0.25">
      <c r="A392" s="1">
        <v>1925</v>
      </c>
      <c r="B392" s="13">
        <v>669183</v>
      </c>
      <c r="C392" s="1" t="s">
        <v>2076</v>
      </c>
      <c r="D392" s="1" t="s">
        <v>1938</v>
      </c>
      <c r="H392" s="1" t="s">
        <v>1909</v>
      </c>
      <c r="I392" s="1" t="s">
        <v>1832</v>
      </c>
      <c r="J392" s="2" t="s">
        <v>111</v>
      </c>
      <c r="K392" s="2"/>
      <c r="L392" s="1" t="s">
        <v>1935</v>
      </c>
      <c r="O392" s="1">
        <v>1</v>
      </c>
      <c r="P392" s="1" t="s">
        <v>2035</v>
      </c>
      <c r="Q392" s="1" t="s">
        <v>2000</v>
      </c>
      <c r="S392" s="1" t="s">
        <v>1690</v>
      </c>
      <c r="T392" s="1">
        <v>12</v>
      </c>
      <c r="U392" s="1">
        <v>5</v>
      </c>
      <c r="W392" s="1">
        <v>12</v>
      </c>
      <c r="X392" s="1">
        <v>18</v>
      </c>
      <c r="Y392" s="1" t="s">
        <v>2435</v>
      </c>
    </row>
    <row r="393" spans="1:29" x14ac:dyDescent="0.25">
      <c r="A393" s="1">
        <v>1924</v>
      </c>
      <c r="B393" s="13">
        <v>109897</v>
      </c>
      <c r="C393" s="1" t="s">
        <v>2076</v>
      </c>
      <c r="D393" s="1">
        <v>0</v>
      </c>
      <c r="H393" s="1" t="s">
        <v>1833</v>
      </c>
      <c r="I393" s="1" t="s">
        <v>1833</v>
      </c>
      <c r="J393" s="2" t="s">
        <v>1744</v>
      </c>
      <c r="K393" s="2"/>
      <c r="L393" s="1">
        <v>0</v>
      </c>
      <c r="O393" s="1">
        <v>0</v>
      </c>
      <c r="Q393" s="1" t="s">
        <v>2001</v>
      </c>
      <c r="S393" s="1">
        <v>14</v>
      </c>
      <c r="W393" s="1">
        <v>14</v>
      </c>
      <c r="X393" s="1">
        <v>14</v>
      </c>
      <c r="Y393" s="1" t="s">
        <v>2436</v>
      </c>
    </row>
    <row r="394" spans="1:29" x14ac:dyDescent="0.25">
      <c r="A394" s="1">
        <v>1912</v>
      </c>
      <c r="B394" s="13">
        <v>272340</v>
      </c>
      <c r="C394" s="1" t="s">
        <v>2076</v>
      </c>
      <c r="D394" s="1">
        <v>0</v>
      </c>
      <c r="H394" s="1" t="s">
        <v>1685</v>
      </c>
      <c r="I394" s="1" t="s">
        <v>1834</v>
      </c>
      <c r="J394" s="2" t="s">
        <v>1745</v>
      </c>
      <c r="K394" s="2"/>
      <c r="L394" s="1">
        <v>0</v>
      </c>
      <c r="O394" s="1">
        <v>1</v>
      </c>
      <c r="P394" s="1" t="s">
        <v>238</v>
      </c>
      <c r="R394" s="1" t="s">
        <v>2065</v>
      </c>
      <c r="T394" s="1">
        <v>11</v>
      </c>
      <c r="W394" s="1">
        <v>11</v>
      </c>
      <c r="X394" s="1">
        <v>17</v>
      </c>
      <c r="Y394" s="1" t="s">
        <v>2437</v>
      </c>
    </row>
    <row r="395" spans="1:29" x14ac:dyDescent="0.25">
      <c r="A395" s="1">
        <v>1883</v>
      </c>
      <c r="B395" s="13">
        <v>385597</v>
      </c>
      <c r="C395" s="1" t="s">
        <v>2076</v>
      </c>
      <c r="D395" s="1">
        <v>0</v>
      </c>
      <c r="H395" s="1" t="s">
        <v>1910</v>
      </c>
      <c r="I395" s="1" t="s">
        <v>1835</v>
      </c>
      <c r="J395" s="1" t="s">
        <v>1746</v>
      </c>
      <c r="L395" s="1">
        <v>0</v>
      </c>
      <c r="O395" s="1">
        <v>1</v>
      </c>
      <c r="P395" s="1" t="s">
        <v>2036</v>
      </c>
      <c r="Q395" s="1" t="s">
        <v>2002</v>
      </c>
      <c r="S395" s="1">
        <v>16</v>
      </c>
      <c r="W395" s="1">
        <v>16</v>
      </c>
      <c r="X395" s="1">
        <v>12</v>
      </c>
      <c r="Y395" s="1" t="s">
        <v>2438</v>
      </c>
    </row>
    <row r="396" spans="1:29" s="40" customFormat="1" x14ac:dyDescent="0.25">
      <c r="A396" s="40">
        <v>1881</v>
      </c>
      <c r="B396" s="44">
        <v>663849</v>
      </c>
      <c r="C396" s="1" t="s">
        <v>2076</v>
      </c>
      <c r="D396" s="40">
        <v>0</v>
      </c>
      <c r="H396" s="40" t="s">
        <v>1834</v>
      </c>
      <c r="I396" s="40" t="s">
        <v>1836</v>
      </c>
      <c r="J396" s="40" t="s">
        <v>239</v>
      </c>
      <c r="L396" s="40">
        <v>0</v>
      </c>
      <c r="O396" s="40">
        <v>1</v>
      </c>
      <c r="P396" s="40" t="s">
        <v>1745</v>
      </c>
      <c r="Q396" s="40" t="s">
        <v>934</v>
      </c>
      <c r="S396" s="40" t="s">
        <v>1690</v>
      </c>
      <c r="U396" s="40">
        <v>12</v>
      </c>
      <c r="W396" s="40">
        <v>12</v>
      </c>
      <c r="X396" s="1">
        <v>17</v>
      </c>
      <c r="Y396" s="1" t="s">
        <v>2439</v>
      </c>
      <c r="Z396" s="40">
        <v>8</v>
      </c>
      <c r="AC396" s="43"/>
    </row>
    <row r="397" spans="1:29" x14ac:dyDescent="0.25">
      <c r="A397" s="1">
        <v>1845</v>
      </c>
      <c r="B397" s="13">
        <v>660022</v>
      </c>
      <c r="C397" s="1" t="s">
        <v>2076</v>
      </c>
      <c r="D397" s="1" t="s">
        <v>1938</v>
      </c>
      <c r="H397" s="1" t="s">
        <v>1911</v>
      </c>
      <c r="I397" s="1" t="s">
        <v>1837</v>
      </c>
      <c r="J397" s="2" t="s">
        <v>1747</v>
      </c>
      <c r="K397" s="2"/>
      <c r="L397" s="1" t="s">
        <v>1936</v>
      </c>
      <c r="O397" s="1">
        <v>1</v>
      </c>
      <c r="P397" s="1" t="s">
        <v>1532</v>
      </c>
      <c r="Q397" s="1" t="s">
        <v>530</v>
      </c>
      <c r="S397" s="1">
        <v>17</v>
      </c>
      <c r="W397" s="1">
        <v>17</v>
      </c>
      <c r="X397" s="1">
        <v>14</v>
      </c>
      <c r="Y397" s="1" t="s">
        <v>2440</v>
      </c>
    </row>
    <row r="398" spans="1:29" x14ac:dyDescent="0.25">
      <c r="A398" s="1">
        <v>1844</v>
      </c>
      <c r="B398" s="13">
        <v>492864</v>
      </c>
      <c r="C398" s="1" t="s">
        <v>2076</v>
      </c>
      <c r="D398" s="1">
        <v>0</v>
      </c>
      <c r="H398" s="1" t="s">
        <v>1912</v>
      </c>
      <c r="I398" s="1" t="s">
        <v>1838</v>
      </c>
      <c r="J398" s="2" t="s">
        <v>1748</v>
      </c>
      <c r="K398" s="2"/>
      <c r="L398" s="1">
        <v>0</v>
      </c>
      <c r="O398" s="1">
        <v>0</v>
      </c>
      <c r="Q398" s="1" t="s">
        <v>2003</v>
      </c>
      <c r="S398" s="1">
        <v>17</v>
      </c>
      <c r="W398" s="1">
        <v>17</v>
      </c>
      <c r="X398" s="1">
        <v>11</v>
      </c>
      <c r="Y398" s="1" t="s">
        <v>2441</v>
      </c>
    </row>
    <row r="399" spans="1:29" s="25" customFormat="1" x14ac:dyDescent="0.25">
      <c r="A399" s="25">
        <v>1835</v>
      </c>
      <c r="B399" s="29">
        <v>44398</v>
      </c>
      <c r="C399" s="1" t="s">
        <v>2076</v>
      </c>
      <c r="D399" s="25">
        <v>0</v>
      </c>
      <c r="H399" s="25" t="s">
        <v>1679</v>
      </c>
      <c r="I399" s="25" t="s">
        <v>1839</v>
      </c>
      <c r="J399" s="25" t="s">
        <v>1749</v>
      </c>
      <c r="L399" s="25">
        <v>0</v>
      </c>
      <c r="O399" s="25">
        <v>0</v>
      </c>
      <c r="Q399" s="25" t="s">
        <v>2004</v>
      </c>
      <c r="T399" s="25">
        <v>13</v>
      </c>
      <c r="W399" s="25">
        <v>13</v>
      </c>
      <c r="X399" s="1">
        <v>11</v>
      </c>
      <c r="Y399" s="1" t="s">
        <v>2442</v>
      </c>
      <c r="Z399" s="25">
        <v>5</v>
      </c>
      <c r="AC399" s="28"/>
    </row>
    <row r="400" spans="1:29" s="40" customFormat="1" x14ac:dyDescent="0.25">
      <c r="A400" s="40">
        <v>1829</v>
      </c>
      <c r="B400" s="44">
        <v>656960</v>
      </c>
      <c r="C400" s="1" t="s">
        <v>2076</v>
      </c>
      <c r="D400" s="40">
        <v>0</v>
      </c>
      <c r="H400" s="40" t="s">
        <v>1840</v>
      </c>
      <c r="I400" s="40" t="s">
        <v>1840</v>
      </c>
      <c r="J400" s="40" t="s">
        <v>1750</v>
      </c>
      <c r="L400" s="40">
        <v>0</v>
      </c>
      <c r="O400" s="40">
        <v>1</v>
      </c>
      <c r="P400" s="40" t="s">
        <v>546</v>
      </c>
      <c r="Q400" s="40" t="s">
        <v>2005</v>
      </c>
      <c r="S400" s="40">
        <v>13</v>
      </c>
      <c r="T400" s="40">
        <v>4</v>
      </c>
      <c r="W400" s="40">
        <v>13</v>
      </c>
      <c r="X400" s="1">
        <v>15</v>
      </c>
      <c r="Y400" s="1" t="s">
        <v>2443</v>
      </c>
      <c r="Z400" s="40">
        <v>8</v>
      </c>
      <c r="AC400" s="43"/>
    </row>
    <row r="401" spans="1:29" x14ac:dyDescent="0.25">
      <c r="A401" s="1">
        <v>1820</v>
      </c>
      <c r="B401" s="13">
        <v>656335</v>
      </c>
      <c r="C401" s="1" t="s">
        <v>2076</v>
      </c>
      <c r="D401" s="1" t="s">
        <v>1938</v>
      </c>
      <c r="H401" s="1" t="s">
        <v>1913</v>
      </c>
      <c r="I401" s="1" t="s">
        <v>1841</v>
      </c>
      <c r="J401" s="2" t="s">
        <v>894</v>
      </c>
      <c r="K401" s="2"/>
      <c r="L401" s="1">
        <v>0</v>
      </c>
      <c r="O401" s="1">
        <v>0</v>
      </c>
      <c r="R401" s="1" t="s">
        <v>2066</v>
      </c>
      <c r="T401" s="1">
        <v>29</v>
      </c>
      <c r="W401" s="1">
        <v>29</v>
      </c>
      <c r="X401" s="1">
        <v>22</v>
      </c>
      <c r="Y401" s="1" t="s">
        <v>2444</v>
      </c>
    </row>
    <row r="402" spans="1:29" s="40" customFormat="1" x14ac:dyDescent="0.25">
      <c r="A402" s="40">
        <v>1785</v>
      </c>
      <c r="B402" s="44">
        <v>651399</v>
      </c>
      <c r="C402" s="1" t="s">
        <v>2076</v>
      </c>
      <c r="D402" s="40">
        <v>0</v>
      </c>
      <c r="H402" s="40" t="s">
        <v>1914</v>
      </c>
      <c r="I402" s="40" t="s">
        <v>1842</v>
      </c>
      <c r="J402" s="40" t="s">
        <v>1751</v>
      </c>
      <c r="L402" s="40">
        <v>0</v>
      </c>
      <c r="O402" s="40">
        <v>1</v>
      </c>
      <c r="P402" s="40" t="s">
        <v>2037</v>
      </c>
      <c r="Q402" s="40" t="s">
        <v>1749</v>
      </c>
      <c r="T402" s="40">
        <v>20</v>
      </c>
      <c r="W402" s="40">
        <v>20</v>
      </c>
      <c r="X402" s="1">
        <v>16</v>
      </c>
      <c r="Y402" s="1" t="s">
        <v>2445</v>
      </c>
      <c r="Z402" s="40">
        <v>8</v>
      </c>
      <c r="AC402" s="43"/>
    </row>
    <row r="403" spans="1:29" s="40" customFormat="1" x14ac:dyDescent="0.25">
      <c r="A403" s="40">
        <v>1758</v>
      </c>
      <c r="B403" s="44">
        <v>6272</v>
      </c>
      <c r="C403" s="1" t="s">
        <v>2076</v>
      </c>
      <c r="D403" s="40">
        <v>0</v>
      </c>
      <c r="H403" s="40" t="s">
        <v>1915</v>
      </c>
      <c r="I403" s="40" t="s">
        <v>1843</v>
      </c>
      <c r="J403" s="40" t="s">
        <v>1138</v>
      </c>
      <c r="L403" s="40">
        <v>0</v>
      </c>
      <c r="O403" s="40">
        <v>1</v>
      </c>
      <c r="P403" s="40" t="s">
        <v>2038</v>
      </c>
      <c r="Q403" s="40" t="s">
        <v>1140</v>
      </c>
      <c r="S403" s="40">
        <v>7</v>
      </c>
      <c r="W403" s="40">
        <v>7</v>
      </c>
      <c r="X403" s="1">
        <v>11</v>
      </c>
      <c r="Y403" s="1" t="s">
        <v>2446</v>
      </c>
      <c r="Z403" s="40">
        <v>8</v>
      </c>
      <c r="AC403" s="43"/>
    </row>
    <row r="404" spans="1:29" s="45" customFormat="1" x14ac:dyDescent="0.25">
      <c r="A404" s="45">
        <v>1754</v>
      </c>
      <c r="B404" s="47">
        <v>646778</v>
      </c>
      <c r="C404" s="1" t="s">
        <v>2076</v>
      </c>
      <c r="H404" s="45" t="s">
        <v>1916</v>
      </c>
      <c r="I404" s="45" t="s">
        <v>1844</v>
      </c>
      <c r="J404" s="45" t="s">
        <v>1139</v>
      </c>
      <c r="O404" s="45">
        <v>1</v>
      </c>
      <c r="P404" s="1" t="s">
        <v>2039</v>
      </c>
      <c r="Q404" s="1"/>
      <c r="R404" s="1" t="s">
        <v>2067</v>
      </c>
      <c r="T404" s="45">
        <v>10</v>
      </c>
      <c r="W404" s="45">
        <v>10</v>
      </c>
      <c r="X404" s="1">
        <v>14</v>
      </c>
      <c r="Y404" s="1" t="s">
        <v>2447</v>
      </c>
      <c r="AC404" s="84" t="s">
        <v>1923</v>
      </c>
    </row>
    <row r="405" spans="1:29" x14ac:dyDescent="0.25">
      <c r="A405" s="1">
        <v>1748</v>
      </c>
      <c r="B405" s="13">
        <v>178572</v>
      </c>
      <c r="C405" s="1" t="s">
        <v>2076</v>
      </c>
      <c r="E405" s="13" t="s">
        <v>2147</v>
      </c>
      <c r="H405" s="1" t="s">
        <v>1917</v>
      </c>
      <c r="I405" s="1" t="s">
        <v>1845</v>
      </c>
      <c r="J405" s="2" t="s">
        <v>1752</v>
      </c>
      <c r="K405" s="2"/>
      <c r="L405" s="1">
        <v>0</v>
      </c>
      <c r="O405" s="1">
        <v>0</v>
      </c>
      <c r="Q405" s="1" t="s">
        <v>2006</v>
      </c>
      <c r="T405" s="1">
        <v>18</v>
      </c>
      <c r="W405" s="1">
        <v>18</v>
      </c>
      <c r="X405" s="1">
        <v>15</v>
      </c>
      <c r="Y405" s="1" t="s">
        <v>2448</v>
      </c>
    </row>
    <row r="406" spans="1:29" s="40" customFormat="1" x14ac:dyDescent="0.25">
      <c r="A406" s="40">
        <v>1737</v>
      </c>
      <c r="B406" s="44">
        <v>380772</v>
      </c>
      <c r="C406" s="1" t="s">
        <v>2076</v>
      </c>
      <c r="D406" s="40">
        <v>0</v>
      </c>
      <c r="H406" s="40" t="s">
        <v>1846</v>
      </c>
      <c r="I406" s="40" t="s">
        <v>1846</v>
      </c>
      <c r="J406" s="40" t="s">
        <v>1132</v>
      </c>
      <c r="L406" s="40">
        <v>0</v>
      </c>
      <c r="O406" s="40">
        <v>1</v>
      </c>
      <c r="P406" s="40" t="s">
        <v>2040</v>
      </c>
      <c r="Q406" s="40" t="s">
        <v>837</v>
      </c>
      <c r="S406" s="40">
        <v>30</v>
      </c>
      <c r="W406" s="40">
        <v>30</v>
      </c>
      <c r="X406" s="1">
        <v>16</v>
      </c>
      <c r="Y406" s="1" t="s">
        <v>2449</v>
      </c>
      <c r="Z406" s="40">
        <v>8</v>
      </c>
      <c r="AC406" s="43"/>
    </row>
    <row r="407" spans="1:29" s="40" customFormat="1" x14ac:dyDescent="0.25">
      <c r="A407" s="40">
        <v>1712</v>
      </c>
      <c r="B407" s="44">
        <v>512291</v>
      </c>
      <c r="C407" s="1" t="s">
        <v>2076</v>
      </c>
      <c r="D407" s="40">
        <v>0</v>
      </c>
      <c r="H407" s="40" t="s">
        <v>1918</v>
      </c>
      <c r="I407" s="40" t="s">
        <v>1847</v>
      </c>
      <c r="J407" s="40" t="s">
        <v>1753</v>
      </c>
      <c r="L407" s="40">
        <v>0</v>
      </c>
      <c r="O407" s="40">
        <v>1</v>
      </c>
      <c r="P407" s="40" t="s">
        <v>838</v>
      </c>
      <c r="Q407" s="40" t="s">
        <v>2007</v>
      </c>
      <c r="T407" s="40">
        <v>6</v>
      </c>
      <c r="W407" s="40">
        <v>6</v>
      </c>
      <c r="X407" s="1">
        <v>6</v>
      </c>
      <c r="Y407" s="1" t="s">
        <v>2450</v>
      </c>
      <c r="Z407" s="40">
        <v>8</v>
      </c>
      <c r="AC407" s="43"/>
    </row>
    <row r="408" spans="1:29" s="40" customFormat="1" x14ac:dyDescent="0.25">
      <c r="A408" s="40">
        <v>1603</v>
      </c>
      <c r="B408" s="44">
        <v>189018</v>
      </c>
      <c r="C408" s="1" t="s">
        <v>2076</v>
      </c>
      <c r="D408" s="40">
        <v>0</v>
      </c>
      <c r="H408" s="40" t="s">
        <v>1919</v>
      </c>
      <c r="I408" s="40" t="s">
        <v>1848</v>
      </c>
      <c r="J408" s="40" t="s">
        <v>1754</v>
      </c>
      <c r="L408" s="40" t="s">
        <v>1937</v>
      </c>
      <c r="O408" s="40">
        <v>1</v>
      </c>
      <c r="P408" s="40" t="s">
        <v>2041</v>
      </c>
      <c r="Q408" s="40" t="s">
        <v>2008</v>
      </c>
      <c r="S408" s="40" t="s">
        <v>1690</v>
      </c>
      <c r="T408" s="40" t="s">
        <v>1690</v>
      </c>
      <c r="V408" s="40">
        <v>17</v>
      </c>
      <c r="W408" s="40">
        <v>17</v>
      </c>
      <c r="X408" s="1">
        <v>17</v>
      </c>
      <c r="Y408" s="1" t="s">
        <v>2451</v>
      </c>
      <c r="Z408" s="40">
        <v>8</v>
      </c>
      <c r="AC408" s="43"/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F630F-1776-42BA-9160-E8F9B63541F9}">
  <dimension ref="B1:L20"/>
  <sheetViews>
    <sheetView workbookViewId="0">
      <selection activeCell="N7" sqref="N7"/>
    </sheetView>
  </sheetViews>
  <sheetFormatPr defaultRowHeight="15" x14ac:dyDescent="0.25"/>
  <sheetData>
    <row r="1" spans="2:10" x14ac:dyDescent="0.25">
      <c r="B1" s="1"/>
    </row>
    <row r="2" spans="2:10" x14ac:dyDescent="0.25">
      <c r="B2" s="45">
        <v>-1</v>
      </c>
      <c r="C2" s="46"/>
      <c r="D2" s="46" t="s">
        <v>1280</v>
      </c>
      <c r="E2" s="46"/>
      <c r="F2" s="46"/>
      <c r="G2" s="46"/>
      <c r="H2" s="46"/>
      <c r="I2" s="46"/>
      <c r="J2" s="45">
        <f>COUNTIF(data!Z2:Z299,-1)</f>
        <v>17</v>
      </c>
    </row>
    <row r="3" spans="2:10" ht="15.75" x14ac:dyDescent="0.25">
      <c r="B3" s="3">
        <v>1</v>
      </c>
      <c r="C3" s="8"/>
      <c r="D3" s="9" t="s">
        <v>2582</v>
      </c>
      <c r="E3" s="10"/>
      <c r="F3" s="3"/>
      <c r="G3" s="3"/>
      <c r="H3" s="3"/>
      <c r="I3" s="3"/>
      <c r="J3" s="3">
        <f>COUNTIF(data!Z2:Z299,1)</f>
        <v>30</v>
      </c>
    </row>
    <row r="4" spans="2:10" ht="15.75" x14ac:dyDescent="0.25">
      <c r="B4" s="2">
        <v>2</v>
      </c>
      <c r="C4" s="14"/>
      <c r="D4" s="15" t="s">
        <v>2583</v>
      </c>
      <c r="E4" s="16"/>
      <c r="F4" s="2"/>
      <c r="G4" s="2"/>
      <c r="H4" s="2"/>
      <c r="I4" s="2"/>
      <c r="J4" s="2">
        <f>COUNTIF(data!Z2:Z299,2)</f>
        <v>4</v>
      </c>
    </row>
    <row r="5" spans="2:10" ht="15.75" x14ac:dyDescent="0.25">
      <c r="B5" s="17">
        <v>3</v>
      </c>
      <c r="C5" s="18"/>
      <c r="D5" s="19" t="s">
        <v>1240</v>
      </c>
      <c r="E5" s="20"/>
      <c r="F5" s="17"/>
      <c r="G5" s="17"/>
      <c r="H5" s="17"/>
      <c r="I5" s="17"/>
      <c r="J5" s="17">
        <f>COUNTIF(data!Z2:Z299,3)</f>
        <v>5</v>
      </c>
    </row>
    <row r="6" spans="2:10" ht="15.75" x14ac:dyDescent="0.25">
      <c r="B6" s="4">
        <v>4</v>
      </c>
      <c r="C6" s="22"/>
      <c r="D6" s="23" t="s">
        <v>2580</v>
      </c>
      <c r="E6" s="24"/>
      <c r="F6" s="4"/>
      <c r="G6" s="4"/>
      <c r="H6" s="4"/>
      <c r="I6" s="4"/>
      <c r="J6" s="4">
        <f>COUNTIF(data!Z2:Z299,4)</f>
        <v>4</v>
      </c>
    </row>
    <row r="7" spans="2:10" ht="15.75" x14ac:dyDescent="0.25">
      <c r="B7" s="25">
        <v>5</v>
      </c>
      <c r="C7" s="26"/>
      <c r="D7" s="27" t="s">
        <v>2155</v>
      </c>
      <c r="E7" s="28"/>
      <c r="F7" s="25"/>
      <c r="G7" s="25"/>
      <c r="H7" s="25"/>
      <c r="I7" s="25"/>
      <c r="J7" s="25">
        <f>COUNTIF(data!Z2:Z299,5)</f>
        <v>68</v>
      </c>
    </row>
    <row r="8" spans="2:10" ht="15.75" x14ac:dyDescent="0.25">
      <c r="B8" s="30">
        <v>6</v>
      </c>
      <c r="C8" s="31"/>
      <c r="D8" s="32" t="s">
        <v>1263</v>
      </c>
      <c r="E8" s="33"/>
      <c r="F8" s="30"/>
      <c r="G8" s="30"/>
      <c r="H8" s="30"/>
      <c r="I8" s="30"/>
      <c r="J8" s="30">
        <f>COUNTIF(data!Z2:Z299,6)</f>
        <v>22</v>
      </c>
    </row>
    <row r="9" spans="2:10" ht="15.75" x14ac:dyDescent="0.25">
      <c r="B9" s="35">
        <v>7</v>
      </c>
      <c r="C9" s="36"/>
      <c r="D9" s="37" t="s">
        <v>1488</v>
      </c>
      <c r="E9" s="38"/>
      <c r="F9" s="35"/>
      <c r="G9" s="35"/>
      <c r="H9" s="35"/>
      <c r="I9" s="35"/>
      <c r="J9" s="35">
        <f>COUNTIF(data!Z2:Z299,7)</f>
        <v>33</v>
      </c>
    </row>
    <row r="10" spans="2:10" ht="15.75" x14ac:dyDescent="0.25">
      <c r="B10" s="40">
        <v>8</v>
      </c>
      <c r="C10" s="41"/>
      <c r="D10" s="42" t="s">
        <v>1493</v>
      </c>
      <c r="E10" s="43"/>
      <c r="F10" s="40"/>
      <c r="G10" s="40"/>
      <c r="H10" s="40"/>
      <c r="I10" s="40"/>
      <c r="J10" s="40">
        <f>COUNTIF(data!Z2:Z299,8)</f>
        <v>56</v>
      </c>
    </row>
    <row r="11" spans="2:10" x14ac:dyDescent="0.25">
      <c r="B11" s="49">
        <v>9</v>
      </c>
      <c r="C11" s="49"/>
      <c r="D11" s="50" t="s">
        <v>1491</v>
      </c>
      <c r="E11" s="50"/>
      <c r="F11" s="49"/>
      <c r="G11" s="49"/>
      <c r="H11" s="49"/>
      <c r="I11" s="49"/>
      <c r="J11" s="49">
        <f>COUNTIF(data!Z2:Z299,9)</f>
        <v>14</v>
      </c>
    </row>
    <row r="12" spans="2:10" ht="15.75" x14ac:dyDescent="0.25">
      <c r="B12" s="52">
        <v>10</v>
      </c>
      <c r="C12" s="53"/>
      <c r="D12" s="55" t="s">
        <v>1484</v>
      </c>
      <c r="E12" s="54"/>
      <c r="F12" s="52"/>
      <c r="G12" s="52"/>
      <c r="H12" s="52"/>
      <c r="I12" s="52"/>
      <c r="J12" s="52">
        <f>COUNTIF(data!Z2:Z299,10)</f>
        <v>3</v>
      </c>
    </row>
    <row r="13" spans="2:10" s="1" customFormat="1" ht="15.75" x14ac:dyDescent="0.25">
      <c r="B13" s="59">
        <v>11</v>
      </c>
      <c r="C13" s="59"/>
      <c r="D13" s="60" t="s">
        <v>1487</v>
      </c>
      <c r="E13" s="59"/>
      <c r="F13" s="59"/>
      <c r="G13" s="59"/>
      <c r="H13" s="59"/>
      <c r="I13" s="59"/>
      <c r="J13" s="59">
        <f>COUNTIF(data!Z2:Z299,11)</f>
        <v>10</v>
      </c>
    </row>
    <row r="14" spans="2:10" x14ac:dyDescent="0.25">
      <c r="B14" s="65">
        <v>12</v>
      </c>
      <c r="C14" s="66"/>
      <c r="D14" s="66" t="s">
        <v>1489</v>
      </c>
      <c r="E14" s="66"/>
      <c r="F14" s="66"/>
      <c r="G14" s="66"/>
      <c r="H14" s="66"/>
      <c r="I14" s="66"/>
      <c r="J14" s="65">
        <f>COUNTIF(data!Z2:Z299,12)</f>
        <v>4</v>
      </c>
    </row>
    <row r="15" spans="2:10" x14ac:dyDescent="0.25">
      <c r="B15" s="70">
        <v>13</v>
      </c>
      <c r="C15" s="71"/>
      <c r="D15" s="71" t="s">
        <v>1490</v>
      </c>
      <c r="E15" s="71"/>
      <c r="F15" s="71"/>
      <c r="G15" s="71"/>
      <c r="H15" s="71"/>
      <c r="I15" s="71"/>
      <c r="J15" s="70">
        <f>COUNTIF(data!Z2:Z299,13)</f>
        <v>4</v>
      </c>
    </row>
    <row r="16" spans="2:10" ht="15.75" x14ac:dyDescent="0.25">
      <c r="B16" s="75">
        <v>14</v>
      </c>
      <c r="C16" s="76"/>
      <c r="D16" s="77" t="s">
        <v>1492</v>
      </c>
      <c r="E16" s="76"/>
      <c r="F16" s="76"/>
      <c r="G16" s="76"/>
      <c r="H16" s="76"/>
      <c r="I16" s="76"/>
      <c r="J16" s="75">
        <f>COUNTIF(data!Z2:Z299,14)</f>
        <v>14</v>
      </c>
    </row>
    <row r="17" spans="2:12" x14ac:dyDescent="0.25">
      <c r="B17" s="1"/>
    </row>
    <row r="20" spans="2:12" x14ac:dyDescent="0.25">
      <c r="J20">
        <f xml:space="preserve"> SUM(J2:J16)</f>
        <v>288</v>
      </c>
      <c r="K20" s="58" t="s">
        <v>1486</v>
      </c>
      <c r="L20" s="64">
        <f>J20-J2</f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PINILLA GARCIA</cp:lastModifiedBy>
  <dcterms:created xsi:type="dcterms:W3CDTF">2025-08-04T07:34:02Z</dcterms:created>
  <dcterms:modified xsi:type="dcterms:W3CDTF">2025-12-16T10:26:31Z</dcterms:modified>
</cp:coreProperties>
</file>